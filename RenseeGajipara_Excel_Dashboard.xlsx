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excel exam\"/>
    </mc:Choice>
  </mc:AlternateContent>
  <xr:revisionPtr revIDLastSave="0" documentId="13_ncr:1_{395785F8-D249-4449-B69C-AFDB4078D848}" xr6:coauthVersionLast="47" xr6:coauthVersionMax="47" xr10:uidLastSave="{00000000-0000-0000-0000-000000000000}"/>
  <bookViews>
    <workbookView xWindow="-108" yWindow="-108" windowWidth="23256" windowHeight="12456" xr2:uid="{3506D9BD-9869-41DA-B413-6C539169F923}"/>
  </bookViews>
  <sheets>
    <sheet name="Dashboard" sheetId="3" r:id="rId1"/>
    <sheet name="Raw Data" sheetId="1" r:id="rId2"/>
    <sheet name="Pivot Tables" sheetId="2" r:id="rId3"/>
    <sheet name="Advanced Analysis" sheetId="5" r:id="rId4"/>
    <sheet name="Statastical Analysis" sheetId="6" r:id="rId5"/>
    <sheet name="Summary" sheetId="4" r:id="rId6"/>
  </sheets>
  <definedNames>
    <definedName name="NativeTimeline_Order_Date">#N/A</definedName>
    <definedName name="Slicer_Category">#N/A</definedName>
    <definedName name="Slicer_Region">#N/A</definedName>
    <definedName name="Slicer_Segment">#N/A</definedName>
  </definedNames>
  <calcPr calcId="191029" iterateDelta="1E-4"/>
  <pivotCaches>
    <pivotCache cacheId="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6" i="3" l="1"/>
  <c r="P6" i="3"/>
  <c r="L6" i="3"/>
  <c r="H6" i="3"/>
  <c r="D6" i="3"/>
  <c r="G38" i="5" l="1"/>
  <c r="G39" i="5"/>
  <c r="G40" i="5"/>
  <c r="G41" i="5"/>
  <c r="G42" i="5"/>
  <c r="G43" i="5"/>
  <c r="G44" i="5"/>
  <c r="G45" i="5"/>
  <c r="D32" i="5" l="1" a="1"/>
  <c r="D32" i="5" s="1"/>
  <c r="F32" i="5" s="1"/>
  <c r="D25" i="5" a="1"/>
  <c r="D25" i="5" s="1"/>
  <c r="F25" i="5" s="1"/>
  <c r="D17" i="5" a="1"/>
  <c r="D17" i="5" s="1"/>
  <c r="F17" i="5" s="1"/>
  <c r="K8" i="5" a="1"/>
  <c r="K8" i="5" s="1"/>
  <c r="L8" i="5" s="1"/>
  <c r="M32" i="5" l="1"/>
  <c r="M20" i="5"/>
  <c r="M31" i="5"/>
  <c r="M19" i="5"/>
  <c r="M30" i="5"/>
  <c r="M18" i="5"/>
  <c r="M41" i="5"/>
  <c r="M29" i="5"/>
  <c r="M17" i="5"/>
  <c r="M40" i="5"/>
  <c r="M28" i="5"/>
  <c r="M16" i="5"/>
  <c r="M39" i="5"/>
  <c r="M27" i="5"/>
  <c r="M15" i="5"/>
  <c r="M38" i="5"/>
  <c r="M26" i="5"/>
  <c r="M14" i="5"/>
  <c r="M37" i="5"/>
  <c r="M25" i="5"/>
  <c r="M13" i="5"/>
  <c r="M33" i="5"/>
  <c r="M21" i="5"/>
  <c r="M9" i="5"/>
  <c r="M36" i="5"/>
  <c r="M24" i="5"/>
  <c r="M12" i="5"/>
  <c r="E20" i="5"/>
  <c r="M35" i="5"/>
  <c r="M23" i="5"/>
  <c r="M11" i="5"/>
  <c r="E19" i="5"/>
  <c r="G19" i="5" s="1"/>
  <c r="M34" i="5"/>
  <c r="M22" i="5"/>
  <c r="M10" i="5"/>
  <c r="H33" i="5"/>
  <c r="E18" i="5"/>
  <c r="E32" i="5"/>
  <c r="H34" i="5"/>
  <c r="F20" i="5"/>
  <c r="H32" i="5"/>
  <c r="E34" i="5"/>
  <c r="E25" i="5"/>
  <c r="G25" i="5" s="1"/>
  <c r="E33" i="5"/>
  <c r="E17" i="5"/>
  <c r="G17" i="5" s="1"/>
  <c r="E27" i="5"/>
  <c r="E26" i="5"/>
  <c r="F34" i="5"/>
  <c r="F33" i="5"/>
  <c r="G33" i="5" s="1"/>
  <c r="F19" i="5"/>
  <c r="F27" i="5"/>
  <c r="F18" i="5"/>
  <c r="F26" i="5"/>
  <c r="L38" i="5"/>
  <c r="L26" i="5"/>
  <c r="N13" i="5"/>
  <c r="N22" i="5"/>
  <c r="L37" i="5"/>
  <c r="N33" i="5"/>
  <c r="L36" i="5"/>
  <c r="N11" i="5"/>
  <c r="N20" i="5"/>
  <c r="L14" i="5"/>
  <c r="L23" i="5"/>
  <c r="N19" i="5"/>
  <c r="L34" i="5"/>
  <c r="N9" i="5"/>
  <c r="N18" i="5"/>
  <c r="L12" i="5"/>
  <c r="L21" i="5"/>
  <c r="L11" i="5"/>
  <c r="N40" i="5"/>
  <c r="L19" i="5"/>
  <c r="N8" i="5"/>
  <c r="N27" i="5"/>
  <c r="L30" i="5"/>
  <c r="N17" i="5"/>
  <c r="N38" i="5"/>
  <c r="L29" i="5"/>
  <c r="N16" i="5"/>
  <c r="N37" i="5"/>
  <c r="N25" i="5"/>
  <c r="L40" i="5"/>
  <c r="L28" i="5"/>
  <c r="N15" i="5"/>
  <c r="N36" i="5"/>
  <c r="N24" i="5"/>
  <c r="L17" i="5"/>
  <c r="N34" i="5"/>
  <c r="L16" i="5"/>
  <c r="L25" i="5"/>
  <c r="N12" i="5"/>
  <c r="N21" i="5"/>
  <c r="L15" i="5"/>
  <c r="L24" i="5"/>
  <c r="N32" i="5"/>
  <c r="L35" i="5"/>
  <c r="N10" i="5"/>
  <c r="N31" i="5"/>
  <c r="L13" i="5"/>
  <c r="L22" i="5"/>
  <c r="N30" i="5"/>
  <c r="L33" i="5"/>
  <c r="N41" i="5"/>
  <c r="N29" i="5"/>
  <c r="L32" i="5"/>
  <c r="L20" i="5"/>
  <c r="N28" i="5"/>
  <c r="L10" i="5"/>
  <c r="L31" i="5"/>
  <c r="N39" i="5"/>
  <c r="L9" i="5"/>
  <c r="L18" i="5"/>
  <c r="N26" i="5"/>
  <c r="L41" i="5"/>
  <c r="M8" i="5"/>
  <c r="L39" i="5"/>
  <c r="L27" i="5"/>
  <c r="N14" i="5"/>
  <c r="N35" i="5"/>
  <c r="N23" i="5"/>
  <c r="G27" i="5" l="1"/>
  <c r="G20" i="5"/>
  <c r="G18" i="5"/>
  <c r="H26" i="5"/>
  <c r="G26" i="5"/>
  <c r="G34" i="5"/>
  <c r="G32" i="5"/>
  <c r="H11" i="5"/>
  <c r="H10" i="5"/>
  <c r="H9" i="5"/>
  <c r="H8" i="5"/>
  <c r="H7" i="5"/>
  <c r="H27" i="5"/>
  <c r="H25" i="5"/>
  <c r="I18" i="5"/>
  <c r="P28" i="5"/>
  <c r="O30" i="5"/>
  <c r="P16" i="5"/>
  <c r="O36" i="5"/>
  <c r="P20" i="5"/>
  <c r="O38" i="5"/>
  <c r="O28" i="5"/>
  <c r="O21" i="5"/>
  <c r="O17" i="5"/>
  <c r="P8" i="5"/>
  <c r="O12" i="5"/>
  <c r="P40" i="5"/>
  <c r="O33" i="5"/>
  <c r="P35" i="5"/>
  <c r="P32" i="5"/>
  <c r="O26" i="5"/>
  <c r="O27" i="5"/>
  <c r="P15" i="5"/>
  <c r="O16" i="5"/>
  <c r="P9" i="5"/>
  <c r="P36" i="5"/>
  <c r="O8" i="5"/>
  <c r="O19" i="5"/>
  <c r="O29" i="5"/>
  <c r="O34" i="5"/>
  <c r="O25" i="5"/>
  <c r="O22" i="5"/>
  <c r="O41" i="5"/>
  <c r="P24" i="5"/>
  <c r="O37" i="5"/>
  <c r="O13" i="5"/>
  <c r="O14" i="5"/>
  <c r="O39" i="5"/>
  <c r="P31" i="5"/>
  <c r="P25" i="5"/>
  <c r="P29" i="5"/>
  <c r="P10" i="5"/>
  <c r="O32" i="5"/>
  <c r="P27" i="5"/>
  <c r="O20" i="5"/>
  <c r="P34" i="5"/>
  <c r="O15" i="5"/>
  <c r="P13" i="5"/>
  <c r="P11" i="5"/>
  <c r="P26" i="5"/>
  <c r="O18" i="5"/>
  <c r="P18" i="5"/>
  <c r="P38" i="5"/>
  <c r="O9" i="5"/>
  <c r="P30" i="5"/>
  <c r="P17" i="5"/>
  <c r="P23" i="5"/>
  <c r="O31" i="5"/>
  <c r="P14" i="5"/>
  <c r="O10" i="5"/>
  <c r="O23" i="5"/>
  <c r="P33" i="5"/>
  <c r="P21" i="5"/>
  <c r="O35" i="5"/>
  <c r="P12" i="5"/>
  <c r="O40" i="5"/>
  <c r="P37" i="5"/>
  <c r="P41" i="5"/>
  <c r="P22" i="5"/>
  <c r="O24" i="5"/>
  <c r="P39" i="5"/>
  <c r="P19" i="5"/>
  <c r="O11" i="5"/>
  <c r="H18" i="5" l="1"/>
  <c r="I17" i="5"/>
  <c r="H17" i="5"/>
  <c r="H19" i="5"/>
  <c r="I20" i="5"/>
  <c r="I19" i="5"/>
  <c r="H20" i="5"/>
  <c r="E12" i="5" l="1"/>
  <c r="E11" i="5"/>
  <c r="E10" i="5"/>
  <c r="E9" i="5"/>
  <c r="E8" i="5"/>
  <c r="E7" i="5"/>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<sst xmlns="http://schemas.openxmlformats.org/spreadsheetml/2006/main" count="16222" uniqueCount="2438">
  <si>
    <t>Order_ID</t>
  </si>
  <si>
    <t>Ship_Date</t>
  </si>
  <si>
    <t>Region</t>
  </si>
  <si>
    <t>Category</t>
  </si>
  <si>
    <t>Sub_Category</t>
  </si>
  <si>
    <t>Product_Name</t>
  </si>
  <si>
    <t>Sales</t>
  </si>
  <si>
    <t>Quantity</t>
  </si>
  <si>
    <t>Discount</t>
  </si>
  <si>
    <t>Profit</t>
  </si>
  <si>
    <t>ORD-1001</t>
  </si>
  <si>
    <t>North</t>
  </si>
  <si>
    <t>Furniture</t>
  </si>
  <si>
    <t>Chairs</t>
  </si>
  <si>
    <t>HON Ignition</t>
  </si>
  <si>
    <t>30%</t>
  </si>
  <si>
    <t>ORD-1002</t>
  </si>
  <si>
    <t>Technology</t>
  </si>
  <si>
    <t>Phones</t>
  </si>
  <si>
    <t>iPhone 15 Pro</t>
  </si>
  <si>
    <t>0%</t>
  </si>
  <si>
    <t>ORD-1003</t>
  </si>
  <si>
    <t>South</t>
  </si>
  <si>
    <t>Office Supplies</t>
  </si>
  <si>
    <t>Paper</t>
  </si>
  <si>
    <t>HP Office 8.5x11</t>
  </si>
  <si>
    <t>ORD-1004</t>
  </si>
  <si>
    <t>Laptops</t>
  </si>
  <si>
    <t>HP Spectre</t>
  </si>
  <si>
    <t>20%</t>
  </si>
  <si>
    <t>ORD-1005</t>
  </si>
  <si>
    <t>West</t>
  </si>
  <si>
    <t>Accessories</t>
  </si>
  <si>
    <t>Anker Hub</t>
  </si>
  <si>
    <t>10%</t>
  </si>
  <si>
    <t>ORD-1006</t>
  </si>
  <si>
    <t>East</t>
  </si>
  <si>
    <t>ORD-1007</t>
  </si>
  <si>
    <t>Bookcases</t>
  </si>
  <si>
    <t>Threshold 5-Shelf</t>
  </si>
  <si>
    <t>ORD-1008</t>
  </si>
  <si>
    <t>ORD-1009</t>
  </si>
  <si>
    <t>Tables</t>
  </si>
  <si>
    <t>Sauder Studio</t>
  </si>
  <si>
    <t>5%</t>
  </si>
  <si>
    <t>ORD-1010</t>
  </si>
  <si>
    <t>Realspace Magellan</t>
  </si>
  <si>
    <t>ORD-1011</t>
  </si>
  <si>
    <t>Bush Furniture</t>
  </si>
  <si>
    <t>15%</t>
  </si>
  <si>
    <t>ORD-1012</t>
  </si>
  <si>
    <t>Herman Miller Aeron</t>
  </si>
  <si>
    <t>ORD-1013</t>
  </si>
  <si>
    <t>ORD-1014</t>
  </si>
  <si>
    <t>OnePlus 12</t>
  </si>
  <si>
    <t>ORD-1015</t>
  </si>
  <si>
    <t>HP Docking Station</t>
  </si>
  <si>
    <t>ORD-1016</t>
  </si>
  <si>
    <t>Storage</t>
  </si>
  <si>
    <t>Rubbermaid ActionPacker</t>
  </si>
  <si>
    <t>ORD-1017</t>
  </si>
  <si>
    <t>Labels</t>
  </si>
  <si>
    <t>HERMA A4</t>
  </si>
  <si>
    <t>ORD-1018</t>
  </si>
  <si>
    <t>ORD-1019</t>
  </si>
  <si>
    <t>Binders</t>
  </si>
  <si>
    <t>Staples 2</t>
  </si>
  <si>
    <t>ORD-1020</t>
  </si>
  <si>
    <t>ORD-1021</t>
  </si>
  <si>
    <t>ORD-1022</t>
  </si>
  <si>
    <t>ORD-1023</t>
  </si>
  <si>
    <t>ORD-1024</t>
  </si>
  <si>
    <t>Ameriwood L-Desk</t>
  </si>
  <si>
    <t>ORD-1025</t>
  </si>
  <si>
    <t>ORD-1026</t>
  </si>
  <si>
    <t>ORD-1027</t>
  </si>
  <si>
    <t>Brother P-Touch</t>
  </si>
  <si>
    <t>ORD-1028</t>
  </si>
  <si>
    <t>Envelopes</t>
  </si>
  <si>
    <t>Office Depot #10</t>
  </si>
  <si>
    <t>ORD-1029</t>
  </si>
  <si>
    <t>Prepac 6-Shelf</t>
  </si>
  <si>
    <t>ORD-1030</t>
  </si>
  <si>
    <t>ORD-1031</t>
  </si>
  <si>
    <t>ORD-1032</t>
  </si>
  <si>
    <t>Better Homes 4-Shelf</t>
  </si>
  <si>
    <t>ORD-1033</t>
  </si>
  <si>
    <t>ORD-1034</t>
  </si>
  <si>
    <t>ORD-1035</t>
  </si>
  <si>
    <t>ORD-1036</t>
  </si>
  <si>
    <t>Pixel 8</t>
  </si>
  <si>
    <t>ORD-1037</t>
  </si>
  <si>
    <t>ORD-1038</t>
  </si>
  <si>
    <t>Hammermill 20lb</t>
  </si>
  <si>
    <t>ORD-1039</t>
  </si>
  <si>
    <t>ORD-1040</t>
  </si>
  <si>
    <t>IKEA Markus</t>
  </si>
  <si>
    <t>ORD-1041</t>
  </si>
  <si>
    <t>Avery 5160</t>
  </si>
  <si>
    <t>ORD-1042</t>
  </si>
  <si>
    <t>ORD-1043</t>
  </si>
  <si>
    <t>ORD-1044</t>
  </si>
  <si>
    <t>ORD-1045</t>
  </si>
  <si>
    <t>ORD-1046</t>
  </si>
  <si>
    <t>ORD-1047</t>
  </si>
  <si>
    <t>mDesign Organizer</t>
  </si>
  <si>
    <t>ORD-1048</t>
  </si>
  <si>
    <t>ORD-1049</t>
  </si>
  <si>
    <t>Lenovo ThinkPad</t>
  </si>
  <si>
    <t>ORD-1050</t>
  </si>
  <si>
    <t>Apple MacBook Pro</t>
  </si>
  <si>
    <t>ORD-1051</t>
  </si>
  <si>
    <t>ORD-1052</t>
  </si>
  <si>
    <t>ORD-1053</t>
  </si>
  <si>
    <t>Avery Heavy Duty</t>
  </si>
  <si>
    <t>ORD-1054</t>
  </si>
  <si>
    <t>ORD-1055</t>
  </si>
  <si>
    <t>ORD-1056</t>
  </si>
  <si>
    <t>Mead 50-Count</t>
  </si>
  <si>
    <t>ORD-1057</t>
  </si>
  <si>
    <t>Iris 4-Stack</t>
  </si>
  <si>
    <t>ORD-1058</t>
  </si>
  <si>
    <t>Five Star Flex</t>
  </si>
  <si>
    <t>ORD-1059</t>
  </si>
  <si>
    <t>ORD-1060</t>
  </si>
  <si>
    <t>ORD-1061</t>
  </si>
  <si>
    <t>ORD-1062</t>
  </si>
  <si>
    <t>ORD-1063</t>
  </si>
  <si>
    <t>ORD-1064</t>
  </si>
  <si>
    <t>Steelcase Leap</t>
  </si>
  <si>
    <t>ORD-1065</t>
  </si>
  <si>
    <t>ORD-1066</t>
  </si>
  <si>
    <t>Dell XPS 15</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</si>
  <si>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</si>
  <si>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</si>
  <si>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</si>
  <si>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</si>
  <si>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</si>
  <si>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</si>
  <si>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</si>
  <si>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</si>
  <si>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</si>
  <si>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</si>
  <si>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</si>
  <si>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</si>
  <si>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</si>
  <si>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</si>
  <si>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</si>
  <si>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</si>
  <si>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</si>
  <si>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Boise X-9</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</si>
  <si>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</si>
  <si>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</si>
  <si>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</si>
  <si>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</si>
  <si>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</si>
  <si>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</si>
  <si>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</si>
  <si>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</si>
  <si>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</si>
  <si>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</si>
  <si>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</si>
  <si>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</si>
  <si>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</si>
  <si>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</si>
  <si>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</si>
  <si>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</si>
  <si>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</si>
  <si>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</si>
  <si>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</si>
  <si>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</si>
  <si>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</si>
  <si>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</si>
  <si>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</si>
  <si>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</si>
  <si>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</si>
  <si>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</si>
  <si>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</si>
  <si>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</si>
  <si>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</si>
  <si>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</si>
  <si>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</si>
  <si>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</si>
  <si>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</si>
  <si>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</si>
  <si>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</si>
  <si>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</si>
  <si>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</si>
  <si>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</si>
  <si>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</si>
  <si>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</si>
  <si>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</si>
  <si>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</si>
  <si>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</si>
  <si>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</si>
  <si>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</si>
  <si>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</si>
  <si>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</si>
  <si>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</si>
  <si>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</si>
  <si>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</si>
  <si>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</si>
  <si>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</si>
  <si>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</si>
  <si>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</si>
  <si>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</si>
  <si>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</si>
  <si>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</si>
  <si>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</si>
  <si>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</si>
  <si>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</si>
  <si>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</si>
  <si>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</si>
  <si>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</si>
  <si>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</si>
  <si>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</si>
  <si>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</si>
  <si>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</si>
  <si>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</si>
  <si>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</si>
  <si>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</si>
  <si>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</si>
  <si>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</si>
  <si>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</si>
  <si>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</si>
  <si>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</si>
  <si>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</si>
  <si>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</si>
  <si>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</si>
  <si>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</si>
  <si>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</si>
  <si>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</si>
  <si>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</si>
  <si>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</si>
  <si>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</si>
  <si>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</si>
  <si>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</si>
  <si>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</si>
  <si>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</si>
  <si>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</si>
  <si>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</si>
  <si>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</si>
  <si>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</si>
  <si>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</si>
  <si>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</si>
  <si>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</si>
  <si>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</si>
  <si>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</si>
  <si>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</si>
  <si>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</si>
  <si>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</si>
  <si>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</si>
  <si>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</si>
  <si>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</si>
  <si>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</si>
  <si>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</si>
  <si>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</si>
  <si>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</si>
  <si>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</si>
  <si>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</si>
  <si>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</si>
  <si>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</si>
  <si>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</si>
  <si>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</si>
  <si>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</si>
  <si>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</si>
  <si>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</si>
  <si>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</si>
  <si>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</si>
  <si>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</si>
  <si>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</si>
  <si>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</si>
  <si>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</si>
  <si>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</si>
  <si>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</si>
  <si>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</si>
  <si>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</si>
  <si>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</si>
  <si>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</si>
  <si>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</si>
  <si>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</si>
  <si>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</si>
  <si>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</si>
  <si>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</si>
  <si>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</si>
  <si>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</si>
  <si>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</si>
  <si>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</si>
  <si>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</si>
  <si>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</si>
  <si>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</si>
  <si>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</si>
  <si>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</si>
  <si>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</si>
  <si>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</si>
  <si>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</si>
  <si>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</si>
  <si>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</si>
  <si>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</si>
  <si>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</si>
  <si>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</si>
  <si>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</si>
  <si>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</si>
  <si>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</si>
  <si>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</si>
  <si>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</si>
  <si>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</si>
  <si>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</si>
  <si>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</si>
  <si>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</si>
  <si>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</si>
  <si>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</si>
  <si>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</si>
  <si>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</si>
  <si>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</si>
  <si>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</si>
  <si>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</si>
  <si>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</si>
  <si>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</si>
  <si>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</si>
  <si>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</si>
  <si>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</si>
  <si>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</si>
  <si>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</si>
  <si>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</si>
  <si>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</si>
  <si>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</si>
  <si>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</si>
  <si>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</si>
  <si>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</si>
  <si>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</si>
  <si>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</si>
  <si>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</si>
  <si>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</si>
  <si>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</si>
  <si>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</si>
  <si>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</si>
  <si>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</si>
  <si>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</si>
  <si>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</si>
  <si>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</si>
  <si>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</si>
  <si>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</si>
  <si>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</si>
  <si>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</si>
  <si>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</si>
  <si>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</si>
  <si>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</si>
  <si>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</si>
  <si>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</si>
  <si>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</si>
  <si>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</si>
  <si>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</si>
  <si>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</si>
  <si>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</si>
  <si>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</si>
  <si>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</si>
  <si>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</si>
  <si>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</si>
  <si>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</si>
  <si>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</si>
  <si>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</si>
  <si>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</si>
  <si>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</si>
  <si>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</si>
  <si>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</si>
  <si>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</si>
  <si>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</si>
  <si>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</si>
  <si>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</si>
  <si>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</si>
  <si>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</si>
  <si>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</si>
  <si>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</si>
  <si>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</si>
  <si>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</si>
  <si>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</si>
  <si>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</si>
  <si>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</si>
  <si>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</si>
  <si>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</si>
  <si>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</si>
  <si>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</si>
  <si>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</si>
  <si>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</si>
  <si>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</si>
  <si>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</si>
  <si>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</si>
  <si>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</si>
  <si>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</si>
  <si>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</si>
  <si>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</si>
  <si>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</si>
  <si>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</si>
  <si>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</si>
  <si>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</si>
  <si>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</si>
  <si>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</si>
  <si>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</si>
  <si>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</si>
  <si>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</si>
  <si>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</si>
  <si>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</si>
  <si>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</si>
  <si>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</si>
  <si>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</si>
  <si>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</si>
  <si>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</si>
  <si>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</si>
  <si>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</si>
  <si>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</si>
  <si>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</si>
  <si>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</si>
  <si>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</si>
  <si>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</si>
  <si>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</si>
  <si>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</si>
  <si>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</si>
  <si>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</si>
  <si>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</si>
  <si>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</si>
  <si>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</si>
  <si>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</si>
  <si>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</si>
  <si>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</si>
  <si>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</si>
  <si>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</si>
  <si>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</si>
  <si>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</si>
  <si>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</si>
  <si>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</si>
  <si>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</si>
  <si>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</si>
  <si>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</si>
  <si>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</si>
  <si>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</si>
  <si>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</si>
  <si>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</si>
  <si>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</si>
  <si>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</si>
  <si>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</si>
  <si>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</si>
  <si>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</si>
  <si>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</si>
  <si>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</si>
  <si>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</si>
  <si>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</si>
  <si>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</si>
  <si>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</si>
  <si>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</si>
  <si>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</si>
  <si>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</si>
  <si>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</si>
  <si>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</si>
  <si>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</si>
  <si>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</si>
  <si>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</si>
  <si>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</si>
  <si>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</si>
  <si>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</si>
  <si>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</si>
  <si>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</si>
  <si>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</si>
  <si>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</si>
  <si>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</si>
  <si>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</si>
  <si>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</si>
  <si>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</si>
  <si>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</si>
  <si>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</si>
  <si>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</si>
  <si>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</si>
  <si>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</si>
  <si>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</si>
  <si>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</si>
  <si>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</si>
  <si>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</si>
  <si>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</si>
  <si>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</si>
  <si>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</si>
  <si>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</si>
  <si>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</si>
  <si>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</si>
  <si>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</si>
  <si>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</si>
  <si>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</si>
  <si>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</si>
  <si>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</si>
  <si>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</si>
  <si>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</si>
  <si>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</si>
  <si>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</si>
  <si>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</si>
  <si>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</si>
  <si>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</si>
  <si>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</si>
  <si>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</si>
  <si>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</si>
  <si>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</si>
  <si>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</si>
  <si>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</si>
  <si>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</si>
  <si>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</si>
  <si>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</si>
  <si>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</si>
  <si>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</si>
  <si>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</si>
  <si>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</si>
  <si>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</si>
  <si>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</si>
  <si>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</si>
  <si>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</si>
  <si>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</si>
  <si>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</si>
  <si>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</si>
  <si>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</si>
  <si>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</si>
  <si>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</si>
  <si>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</si>
  <si>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</si>
  <si>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</si>
  <si>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</si>
  <si>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</si>
  <si>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</si>
  <si>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</si>
  <si>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</si>
  <si>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</si>
  <si>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</si>
  <si>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</si>
  <si>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</si>
  <si>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</si>
  <si>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</si>
  <si>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</si>
  <si>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</si>
  <si>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</si>
  <si>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</si>
  <si>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</si>
  <si>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</si>
  <si>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</si>
  <si>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</si>
  <si>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</si>
  <si>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</si>
  <si>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</si>
  <si>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</si>
  <si>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</si>
  <si>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</si>
  <si>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</si>
  <si>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</si>
  <si>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</si>
  <si>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</si>
  <si>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</si>
  <si>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</si>
  <si>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</si>
  <si>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</si>
  <si>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</si>
  <si>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</si>
  <si>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</si>
  <si>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</si>
  <si>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</si>
  <si>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</si>
  <si>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</si>
  <si>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</si>
  <si>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</si>
  <si>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</si>
  <si>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</si>
  <si>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</si>
  <si>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</si>
  <si>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</si>
  <si>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</si>
  <si>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</si>
  <si>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</si>
  <si>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</si>
  <si>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</si>
  <si>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</si>
  <si>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</si>
  <si>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</si>
  <si>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</si>
  <si>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</si>
  <si>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</si>
  <si>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</si>
  <si>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</si>
  <si>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</si>
  <si>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</si>
  <si>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</si>
  <si>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</si>
  <si>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</si>
  <si>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</si>
  <si>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</si>
  <si>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</si>
  <si>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</si>
  <si>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</si>
  <si>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</si>
  <si>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</si>
  <si>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</si>
  <si>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</si>
  <si>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</si>
  <si>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</si>
  <si>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</si>
  <si>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</si>
  <si>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</si>
  <si>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</si>
  <si>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</si>
  <si>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</si>
  <si>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</si>
  <si>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</si>
  <si>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</si>
  <si>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</si>
  <si>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</si>
  <si>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</si>
  <si>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</si>
  <si>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</si>
  <si>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</si>
  <si>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</si>
  <si>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</si>
  <si>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</si>
  <si>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</si>
  <si>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</si>
  <si>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</si>
  <si>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</si>
  <si>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</si>
  <si>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</si>
  <si>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</si>
  <si>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</si>
  <si>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</si>
  <si>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</si>
  <si>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</si>
  <si>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</si>
  <si>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</si>
  <si>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</si>
  <si>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</si>
  <si>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</si>
  <si>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</si>
  <si>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</si>
  <si>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</si>
  <si>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</si>
  <si>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</si>
  <si>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</si>
  <si>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</si>
  <si>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</si>
  <si>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</si>
  <si>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</si>
  <si>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</si>
  <si>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</si>
  <si>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</si>
  <si>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</si>
  <si>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</si>
  <si>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</si>
  <si>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</si>
  <si>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</si>
  <si>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</si>
  <si>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</si>
  <si>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</si>
  <si>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</si>
  <si>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</si>
  <si>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</si>
  <si>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</si>
  <si>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</si>
  <si>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</si>
  <si>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</si>
  <si>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</si>
  <si>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</si>
  <si>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</si>
  <si>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</si>
  <si>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</si>
  <si>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</si>
  <si>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</si>
  <si>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</si>
  <si>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</si>
  <si>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</si>
  <si>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</si>
  <si>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</si>
  <si>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</si>
  <si>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</si>
  <si>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</si>
  <si>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</si>
  <si>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</si>
  <si>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</si>
  <si>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</si>
  <si>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</si>
  <si>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</si>
  <si>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</si>
  <si>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</si>
  <si>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</si>
  <si>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</si>
  <si>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</si>
  <si>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</si>
  <si>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</si>
  <si>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</si>
  <si>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</si>
  <si>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</si>
  <si>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</si>
  <si>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</si>
  <si>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</si>
  <si>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</si>
  <si>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</si>
  <si>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</si>
  <si>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</si>
  <si>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</si>
  <si>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</si>
  <si>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</si>
  <si>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</si>
  <si>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</si>
  <si>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</si>
  <si>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</si>
  <si>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</si>
  <si>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</si>
  <si>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</si>
  <si>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</si>
  <si>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</si>
  <si>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</si>
  <si>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</si>
  <si>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</si>
  <si>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</si>
  <si>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</si>
  <si>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</si>
  <si>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</si>
  <si>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</si>
  <si>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</si>
  <si>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</si>
  <si>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</si>
  <si>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</si>
  <si>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</si>
  <si>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</si>
  <si>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</si>
  <si>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</si>
  <si>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</si>
  <si>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</si>
  <si>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</si>
  <si>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</si>
  <si>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</si>
  <si>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</si>
  <si>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</si>
  <si>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</si>
  <si>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</si>
  <si>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</si>
  <si>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</si>
  <si>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</si>
  <si>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</si>
  <si>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</si>
  <si>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</si>
  <si>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</si>
  <si>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</si>
  <si>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</si>
  <si>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</si>
  <si>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</si>
  <si>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</si>
  <si>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</si>
  <si>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</si>
  <si>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</si>
  <si>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</si>
  <si>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</si>
  <si>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</si>
  <si>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</si>
  <si>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</si>
  <si>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</si>
  <si>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</si>
  <si>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</si>
  <si>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</si>
  <si>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</si>
  <si>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</si>
  <si>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</si>
  <si>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</si>
  <si>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</si>
  <si>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</si>
  <si>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</si>
  <si>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</si>
  <si>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</si>
  <si>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</si>
  <si>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</si>
  <si>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</si>
  <si>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</si>
  <si>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</si>
  <si>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</si>
  <si>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</si>
  <si>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</si>
  <si>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</si>
  <si>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</si>
  <si>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</si>
  <si>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</si>
  <si>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</si>
  <si>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</si>
  <si>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</si>
  <si>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</si>
  <si>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</si>
  <si>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</si>
  <si>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</si>
  <si>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</si>
  <si>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</si>
  <si>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</si>
  <si>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</si>
  <si>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</si>
  <si>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</si>
  <si>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</si>
  <si>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</si>
  <si>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</si>
  <si>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</si>
  <si>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</si>
  <si>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</si>
  <si>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</si>
  <si>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</si>
  <si>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</si>
  <si>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</si>
  <si>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</si>
  <si>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</si>
  <si>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</si>
  <si>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</si>
  <si>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</si>
  <si>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</si>
  <si>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</si>
  <si>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</si>
  <si>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</si>
  <si>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</si>
  <si>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</si>
  <si>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</si>
  <si>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</si>
  <si>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</si>
  <si>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</si>
  <si>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</si>
  <si>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</si>
  <si>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</si>
  <si>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</si>
  <si>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</si>
  <si>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</si>
  <si>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</si>
  <si>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</si>
  <si>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</si>
  <si>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</si>
  <si>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</si>
  <si>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</si>
  <si>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</si>
  <si>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</si>
  <si>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</si>
  <si>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</si>
  <si>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</si>
  <si>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</si>
  <si>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</si>
  <si>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</si>
  <si>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</si>
  <si>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</si>
  <si>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</si>
  <si>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</si>
  <si>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</si>
  <si>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</si>
  <si>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</si>
  <si>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</si>
  <si>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</si>
  <si>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</si>
  <si>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</si>
  <si>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</si>
  <si>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</si>
  <si>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</si>
  <si>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</si>
  <si>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</si>
  <si>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</si>
  <si>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</si>
  <si>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</si>
  <si>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</si>
  <si>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</si>
  <si>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</si>
  <si>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</si>
  <si>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</si>
  <si>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</si>
  <si>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</si>
  <si>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</si>
  <si>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</si>
  <si>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</si>
  <si>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</si>
  <si>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</si>
  <si>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</si>
  <si>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</si>
  <si>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</si>
  <si>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</si>
  <si>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</si>
  <si>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</si>
  <si>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</si>
  <si>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</si>
  <si>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</si>
  <si>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</si>
  <si>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</si>
  <si>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</si>
  <si>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</si>
  <si>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</si>
  <si>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</si>
  <si>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</si>
  <si>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</si>
  <si>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</si>
  <si>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</si>
  <si>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</si>
  <si>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</si>
  <si>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</si>
  <si>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</si>
  <si>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</si>
  <si>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</si>
  <si>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</si>
  <si>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</si>
  <si>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</si>
  <si>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</si>
  <si>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</si>
  <si>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</si>
  <si>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</si>
  <si>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</si>
  <si>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</si>
  <si>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</si>
  <si>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</si>
  <si>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</si>
  <si>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</si>
  <si>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</si>
  <si>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</si>
  <si>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</si>
  <si>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</si>
  <si>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</si>
  <si>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</si>
  <si>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</si>
  <si>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</si>
  <si>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</si>
  <si>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</si>
  <si>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</si>
  <si>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</si>
  <si>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</si>
  <si>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</si>
  <si>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</si>
  <si>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</si>
  <si>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</si>
  <si>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</si>
  <si>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</si>
  <si>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</si>
  <si>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</si>
  <si>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</si>
  <si>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</si>
  <si>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</si>
  <si>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</si>
  <si>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</si>
  <si>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</si>
  <si>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</si>
  <si>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</si>
  <si>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</si>
  <si>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</si>
  <si>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</si>
  <si>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</si>
  <si>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</si>
  <si>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</si>
  <si>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</si>
  <si>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</si>
  <si>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</si>
  <si>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</si>
  <si>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</si>
  <si>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</si>
  <si>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</si>
  <si>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</si>
  <si>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</si>
  <si>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</si>
  <si>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</si>
  <si>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</si>
  <si>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</si>
  <si>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</si>
  <si>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</si>
  <si>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</si>
  <si>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</si>
  <si>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</si>
  <si>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</si>
  <si>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</si>
  <si>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</si>
  <si>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</si>
  <si>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</si>
  <si>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</si>
  <si>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</si>
  <si>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</si>
  <si>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</si>
  <si>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</si>
  <si>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</si>
  <si>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</si>
  <si>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</si>
  <si>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</si>
  <si>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</si>
  <si>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</si>
  <si>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</si>
  <si>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</si>
  <si>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</si>
  <si>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</si>
  <si>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</si>
  <si>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</si>
  <si>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</si>
  <si>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</si>
  <si>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</si>
  <si>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</si>
  <si>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</si>
  <si>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</si>
  <si>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</si>
  <si>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</si>
  <si>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</si>
  <si>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</si>
  <si>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</si>
  <si>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</si>
  <si>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</si>
  <si>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</si>
  <si>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</si>
  <si>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</si>
  <si>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</si>
  <si>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</si>
  <si>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</si>
  <si>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</si>
  <si>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</si>
  <si>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</si>
  <si>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</si>
  <si>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</si>
  <si>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</si>
  <si>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</si>
  <si>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</si>
  <si>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</si>
  <si>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</si>
  <si>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</si>
  <si>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</si>
  <si>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</si>
  <si>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</si>
  <si>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</si>
  <si>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</si>
  <si>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</si>
  <si>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</si>
  <si>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</si>
  <si>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</si>
  <si>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</si>
  <si>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</si>
  <si>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</si>
  <si>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</si>
  <si>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</si>
  <si>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</si>
  <si>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</si>
  <si>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</si>
  <si>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</si>
  <si>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</si>
  <si>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</si>
  <si>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</si>
  <si>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</si>
  <si>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</si>
  <si>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</si>
  <si>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</si>
  <si>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</si>
  <si>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</si>
  <si>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</si>
  <si>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</si>
  <si>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</si>
  <si>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</si>
  <si>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</si>
  <si>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</si>
  <si>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</si>
  <si>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</si>
  <si>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</si>
  <si>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</si>
  <si>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</si>
  <si>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</si>
  <si>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</si>
  <si>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</si>
  <si>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</si>
  <si>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</si>
  <si>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</si>
  <si>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</si>
  <si>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</si>
  <si>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</si>
  <si>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</si>
  <si>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</si>
  <si>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</si>
  <si>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</si>
  <si>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</si>
  <si>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</si>
  <si>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</si>
  <si>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</si>
  <si>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</si>
  <si>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</si>
  <si>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</si>
  <si>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</si>
  <si>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</si>
  <si>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</si>
  <si>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</si>
  <si>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</si>
  <si>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</si>
  <si>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</si>
  <si>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</si>
  <si>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</si>
  <si>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</si>
  <si>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</si>
  <si>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</si>
  <si>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</si>
  <si>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</si>
  <si>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</si>
  <si>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</si>
  <si>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</si>
  <si>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</si>
  <si>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</si>
  <si>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</si>
  <si>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</si>
  <si>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</si>
  <si>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</si>
  <si>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</si>
  <si>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</si>
  <si>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</si>
  <si>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</si>
  <si>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</si>
  <si>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</si>
  <si>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</si>
  <si>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</si>
  <si>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</si>
  <si>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</si>
  <si>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</si>
  <si>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</si>
  <si>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</si>
  <si>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</si>
  <si>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</si>
  <si>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</si>
  <si>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</si>
  <si>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</si>
  <si>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</si>
  <si>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</si>
  <si>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</si>
  <si>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</si>
  <si>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</si>
  <si>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</si>
  <si>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</si>
  <si>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</si>
  <si>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</si>
  <si>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</si>
  <si>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</si>
  <si>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</si>
  <si>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</si>
  <si>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</si>
  <si>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</si>
  <si>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</si>
  <si>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</si>
  <si>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</si>
  <si>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</si>
  <si>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</si>
  <si>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</si>
  <si>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</si>
  <si>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</si>
  <si>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</si>
  <si>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</si>
  <si>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</si>
  <si>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</si>
  <si>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</si>
  <si>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</si>
  <si>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</si>
  <si>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</si>
  <si>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</si>
  <si>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</si>
  <si>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</si>
  <si>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</si>
  <si>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</si>
  <si>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</si>
  <si>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</si>
  <si>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</si>
  <si>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</si>
  <si>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</si>
  <si>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</si>
  <si>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</si>
  <si>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</si>
  <si>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</si>
  <si>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</si>
  <si>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</si>
  <si>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</si>
  <si>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</si>
  <si>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</si>
  <si>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</si>
  <si>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</si>
  <si>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</si>
  <si>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</si>
  <si>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</si>
  <si>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</si>
  <si>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</si>
  <si>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</si>
  <si>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</si>
  <si>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</si>
  <si>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</si>
  <si>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</si>
  <si>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</si>
  <si>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</si>
  <si>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</si>
  <si>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</si>
  <si>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</si>
  <si>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</si>
  <si>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</si>
  <si>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</si>
  <si>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</si>
  <si>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</si>
  <si>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</si>
  <si>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</si>
  <si>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</si>
  <si>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</si>
  <si>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</si>
  <si>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</si>
  <si>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</si>
  <si>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</si>
  <si>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</si>
  <si>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</si>
  <si>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</si>
  <si>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</si>
  <si>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</si>
  <si>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</si>
  <si>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</si>
  <si>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</si>
  <si>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</si>
  <si>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</si>
  <si>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</si>
  <si>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</si>
  <si>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</si>
  <si>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</si>
  <si>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</si>
  <si>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</si>
  <si>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</si>
  <si>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</si>
  <si>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</si>
  <si>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</si>
  <si>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</si>
  <si>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</si>
  <si>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</si>
  <si>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</si>
  <si>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</si>
  <si>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</si>
  <si>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</si>
  <si>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</si>
  <si>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</si>
  <si>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</si>
  <si>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</si>
  <si>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</si>
  <si>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</si>
  <si>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</si>
  <si>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</si>
  <si>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</si>
  <si>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</si>
  <si>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</si>
  <si>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</si>
  <si>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</si>
  <si>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</si>
  <si>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</si>
  <si>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</si>
  <si>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</si>
  <si>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</si>
  <si>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</si>
  <si>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</si>
  <si>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</si>
  <si>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</si>
  <si>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</si>
  <si>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</si>
  <si>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</si>
  <si>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</si>
  <si>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</si>
  <si>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</si>
  <si>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</si>
  <si>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</si>
  <si>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</si>
  <si>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</si>
  <si>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</si>
  <si>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</si>
  <si>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</si>
  <si>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</si>
  <si>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</si>
  <si>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</si>
  <si>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</si>
  <si>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</si>
  <si>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</si>
  <si>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</si>
  <si>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</si>
  <si>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</si>
  <si>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</si>
  <si>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</si>
  <si>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</si>
  <si>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</si>
  <si>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</si>
  <si>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</si>
  <si>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</si>
  <si>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</si>
  <si>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</si>
  <si>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</si>
  <si>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</si>
  <si>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</si>
  <si>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</si>
  <si>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</si>
  <si>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</si>
  <si>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</si>
  <si>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</si>
  <si>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</si>
  <si>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</si>
  <si>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</si>
  <si>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</si>
  <si>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</si>
  <si>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</si>
  <si>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</si>
  <si>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</si>
  <si>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</si>
  <si>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</si>
  <si>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</si>
  <si>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</si>
  <si>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</si>
  <si>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</si>
  <si>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</si>
  <si>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</si>
  <si>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</si>
  <si>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</si>
  <si>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</si>
  <si>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</si>
  <si>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</si>
  <si>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</si>
  <si>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</si>
  <si>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</si>
  <si>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</si>
  <si>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</si>
  <si>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</si>
  <si>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</si>
  <si>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</si>
  <si>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</si>
  <si>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</si>
  <si>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</si>
  <si>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</si>
  <si>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</si>
  <si>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</si>
  <si>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</si>
  <si>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</si>
  <si>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</si>
  <si>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</si>
  <si>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</si>
  <si>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</si>
  <si>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</si>
  <si>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</si>
  <si>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</si>
  <si>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</si>
  <si>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</si>
  <si>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</si>
  <si>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</si>
  <si>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</si>
  <si>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</si>
  <si>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</si>
  <si>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</si>
  <si>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</si>
  <si>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</si>
  <si>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</si>
  <si>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</si>
  <si>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</si>
  <si>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</si>
  <si>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</si>
  <si>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</si>
  <si>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</si>
  <si>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</si>
  <si>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</si>
  <si>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</si>
  <si>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</si>
  <si>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</si>
  <si>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</si>
  <si>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</si>
  <si>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</si>
  <si>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</si>
  <si>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</si>
  <si>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</si>
  <si>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</si>
  <si>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</si>
  <si>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</si>
  <si>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</si>
  <si>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</si>
  <si>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</si>
  <si>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</si>
  <si>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</si>
  <si>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</si>
  <si>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</si>
  <si>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</si>
  <si>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</si>
  <si>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</si>
  <si>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</si>
  <si>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</si>
  <si>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</si>
  <si>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</si>
  <si>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</si>
  <si>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</si>
  <si>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</si>
  <si>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</si>
  <si>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</si>
  <si>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</si>
  <si>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</si>
  <si>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</si>
  <si>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</si>
  <si>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</si>
  <si>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</si>
  <si>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</si>
  <si>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</si>
  <si>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</si>
  <si>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</si>
  <si>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</si>
  <si>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</si>
  <si>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</si>
  <si>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</si>
  <si>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</si>
  <si>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</si>
  <si>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</si>
  <si>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</si>
  <si>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</si>
  <si>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</si>
  <si>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</si>
  <si>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</si>
  <si>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</si>
  <si>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</si>
  <si>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</si>
  <si>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</si>
  <si>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</si>
  <si>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</si>
  <si>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</si>
  <si>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</si>
  <si>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</si>
  <si>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</si>
  <si>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</si>
  <si>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</si>
  <si>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</si>
  <si>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</si>
  <si>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</si>
  <si>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</si>
  <si>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</si>
  <si>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</si>
  <si>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</si>
  <si>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</si>
  <si>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</si>
  <si>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</si>
  <si>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</si>
  <si>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</si>
  <si>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</si>
  <si>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</si>
  <si>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</si>
  <si>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</si>
  <si>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</si>
  <si>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</si>
  <si>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</si>
  <si>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</si>
  <si>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</si>
  <si>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</si>
  <si>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</si>
  <si>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</si>
  <si>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</si>
  <si>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</si>
  <si>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</si>
  <si>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</si>
  <si>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</si>
  <si>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</si>
  <si>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</si>
  <si>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</si>
  <si>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</si>
  <si>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</si>
  <si>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</si>
  <si>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</si>
  <si>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</si>
  <si>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</si>
  <si>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</si>
  <si>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</si>
  <si>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</si>
  <si>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</si>
  <si>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</si>
  <si>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</si>
  <si>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</si>
  <si>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</si>
  <si>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</si>
  <si>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</si>
  <si>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</si>
  <si>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</si>
  <si>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</si>
  <si>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</si>
  <si>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</si>
  <si>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</si>
  <si>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</si>
  <si>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</si>
  <si>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</si>
  <si>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</si>
  <si>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</si>
  <si>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</si>
  <si>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</si>
  <si>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</si>
  <si>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</si>
  <si>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</si>
  <si>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</si>
  <si>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</si>
  <si>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</si>
  <si>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</si>
  <si>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</si>
  <si>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</si>
  <si>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</si>
  <si>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</si>
  <si>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</si>
  <si>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</si>
  <si>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</si>
  <si>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</si>
  <si>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</si>
  <si>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</si>
  <si>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</si>
  <si>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</si>
  <si>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</si>
  <si>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</si>
  <si>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</si>
  <si>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</si>
  <si>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</si>
  <si>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</si>
  <si>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</si>
  <si>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</si>
  <si>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</si>
  <si>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</si>
  <si>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</si>
  <si>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</si>
  <si>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</si>
  <si>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</si>
  <si>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</si>
  <si>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</si>
  <si>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</si>
  <si>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</si>
  <si>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</si>
  <si>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</si>
  <si>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</si>
  <si>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</si>
  <si>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</si>
  <si>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</si>
  <si>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</si>
  <si>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</si>
  <si>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</si>
  <si>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</si>
  <si>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</si>
  <si>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</si>
  <si>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</si>
  <si>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</si>
  <si>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</si>
  <si>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</si>
  <si>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</si>
  <si>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</si>
  <si>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</si>
  <si>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</si>
  <si>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</si>
  <si>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</si>
  <si>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</si>
  <si>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</si>
  <si>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</si>
  <si>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</si>
  <si>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</si>
  <si>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</si>
  <si>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</si>
  <si>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</si>
  <si>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</si>
  <si>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</si>
  <si>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</si>
  <si>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</si>
  <si>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</si>
  <si>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</si>
  <si>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</si>
  <si>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</si>
  <si>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</si>
  <si>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</si>
  <si>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</si>
  <si>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</si>
  <si>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</si>
  <si>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</si>
  <si>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</si>
  <si>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</si>
  <si>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</si>
  <si>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</si>
  <si>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</si>
  <si>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</si>
  <si>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</si>
  <si>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</si>
  <si>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</si>
  <si>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</si>
  <si>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</si>
  <si>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</si>
  <si>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</si>
  <si>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</si>
  <si>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</si>
  <si>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</si>
  <si>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</si>
  <si>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</si>
  <si>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</si>
  <si>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</si>
  <si>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</si>
  <si>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</si>
  <si>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</si>
  <si>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</si>
  <si>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</si>
  <si>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</si>
  <si>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</si>
  <si>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</si>
  <si>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</si>
  <si>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</si>
  <si>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</si>
  <si>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</si>
  <si>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</si>
  <si>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</si>
  <si>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</si>
  <si>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</si>
  <si>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</si>
  <si>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</si>
  <si>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</si>
  <si>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</si>
  <si>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</si>
  <si>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</si>
  <si>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</si>
  <si>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</si>
  <si>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</si>
  <si>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</si>
  <si>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</si>
  <si>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</si>
  <si>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</si>
  <si>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</si>
  <si>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</si>
  <si>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</si>
  <si>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</si>
  <si>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</si>
  <si>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</si>
  <si>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</si>
  <si>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</si>
  <si>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</si>
  <si>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</si>
  <si>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</si>
  <si>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</si>
  <si>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</si>
  <si>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</si>
  <si>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</si>
  <si>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</si>
  <si>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</si>
  <si>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</si>
  <si>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</si>
  <si>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</si>
  <si>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</si>
  <si>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</si>
  <si>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</si>
  <si>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</si>
  <si>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</si>
  <si>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</si>
  <si>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</si>
  <si>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</si>
  <si>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</si>
  <si>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</si>
  <si>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</si>
  <si>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</si>
  <si>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</si>
  <si>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</si>
  <si>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</si>
  <si>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</si>
  <si>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</si>
  <si>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</si>
  <si>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</si>
  <si>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</si>
  <si>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</si>
  <si>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</si>
  <si>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</si>
  <si>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</si>
  <si>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</si>
  <si>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</si>
  <si>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</si>
  <si>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</si>
  <si>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</si>
  <si>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</si>
  <si>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</si>
  <si>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</si>
  <si>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</si>
  <si>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</si>
  <si>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</si>
  <si>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</si>
  <si>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</si>
  <si>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</si>
  <si>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</si>
  <si>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</si>
  <si>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</si>
  <si>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</si>
  <si>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</si>
  <si>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</si>
  <si>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</si>
  <si>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</si>
  <si>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</si>
  <si>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</si>
  <si>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</si>
  <si>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</si>
  <si>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</si>
  <si>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</si>
  <si>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</si>
  <si>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</si>
  <si>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</si>
  <si>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</si>
  <si>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</si>
  <si>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</si>
  <si>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</si>
  <si>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</si>
  <si>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</si>
  <si>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</si>
  <si>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</si>
  <si>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</si>
  <si>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</si>
  <si>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</si>
  <si>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</si>
  <si>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</si>
  <si>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</si>
  <si>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</si>
  <si>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</si>
  <si>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</si>
  <si>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</si>
  <si>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</si>
  <si>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</si>
  <si>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</si>
  <si>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</si>
  <si>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</si>
  <si>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</si>
  <si>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</si>
  <si>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</si>
  <si>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</si>
  <si>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</si>
  <si>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</si>
  <si>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</si>
  <si>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</si>
  <si>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</si>
  <si>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</si>
  <si>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</si>
  <si>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</si>
  <si>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</si>
  <si>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</si>
  <si>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</si>
  <si>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</si>
  <si>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</si>
  <si>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</si>
  <si>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</si>
  <si>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</si>
  <si>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</si>
  <si>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</si>
  <si>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</si>
  <si>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</si>
  <si>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</si>
  <si>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</si>
  <si>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</si>
  <si>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</si>
  <si>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</si>
  <si>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</si>
  <si>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</si>
  <si>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</si>
  <si>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</si>
  <si>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</si>
  <si>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</si>
  <si>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</si>
  <si>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</si>
  <si>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</si>
  <si>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</si>
  <si>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</si>
  <si>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</si>
  <si>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</si>
  <si>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</si>
  <si>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</si>
  <si>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</si>
  <si>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</si>
  <si>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</si>
  <si>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</si>
  <si>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</si>
  <si>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</si>
  <si>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</si>
  <si>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</si>
  <si>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</si>
  <si>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</si>
  <si>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</si>
  <si>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</si>
  <si>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</si>
  <si>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</si>
  <si>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</si>
  <si>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</si>
  <si>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</si>
  <si>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</si>
  <si>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</si>
  <si>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</si>
  <si>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</si>
  <si>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</si>
  <si>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</si>
  <si>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</si>
  <si>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</si>
  <si>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</si>
  <si>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</si>
  <si>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</si>
  <si>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</si>
  <si>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</si>
  <si>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</si>
  <si>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</si>
  <si>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</si>
  <si>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</si>
  <si>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</si>
  <si>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</si>
  <si>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</si>
  <si>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</si>
  <si>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</si>
  <si>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</si>
  <si>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</si>
  <si>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</si>
  <si>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</si>
  <si>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</si>
  <si>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</si>
  <si>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</si>
  <si>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</si>
  <si>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</si>
  <si>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</si>
  <si>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</si>
  <si>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</si>
  <si>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</si>
  <si>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</si>
  <si>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</si>
  <si>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</si>
  <si>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</si>
  <si>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</si>
  <si>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</si>
  <si>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</si>
  <si>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</si>
  <si>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</si>
  <si>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</si>
  <si>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</si>
  <si>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</si>
  <si>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</si>
  <si>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</si>
  <si>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</si>
  <si>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</si>
  <si>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</si>
  <si>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</si>
  <si>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</si>
  <si>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</si>
  <si>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</si>
  <si>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</si>
  <si>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</si>
  <si>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</si>
  <si>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</si>
  <si>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</si>
  <si>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</si>
  <si>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</si>
  <si>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</si>
  <si>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</si>
  <si>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</si>
  <si>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</si>
  <si>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</si>
  <si>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</si>
  <si>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</si>
  <si>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</si>
  <si>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</si>
  <si>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</si>
  <si>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</si>
  <si>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</si>
  <si>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</si>
  <si>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</si>
  <si>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</si>
  <si>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</si>
  <si>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</si>
  <si>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</si>
  <si>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</si>
  <si>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</si>
  <si>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</si>
  <si>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</si>
  <si>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</si>
  <si>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</si>
  <si>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</si>
  <si>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</si>
  <si>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</si>
  <si>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</si>
  <si>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</si>
  <si>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</si>
  <si>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</si>
  <si>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</si>
  <si>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</si>
  <si>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</si>
  <si>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</si>
  <si>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</si>
  <si>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</si>
  <si>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</si>
  <si>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</si>
  <si>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</si>
  <si>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</si>
  <si>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</si>
  <si>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</si>
  <si>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</si>
  <si>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</si>
  <si>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</si>
  <si>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</si>
  <si>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</si>
  <si>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</si>
  <si>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</si>
  <si>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</si>
  <si>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</si>
  <si>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</si>
  <si>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</si>
  <si>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</si>
  <si>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</si>
  <si>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</si>
  <si>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</si>
  <si>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</si>
  <si>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</si>
  <si>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</si>
  <si>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</si>
  <si>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</si>
  <si>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</si>
  <si>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</si>
  <si>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</si>
  <si>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</si>
  <si>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</si>
  <si>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</si>
  <si>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</si>
  <si>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</si>
  <si>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</si>
  <si>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</si>
  <si>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</si>
  <si>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</si>
  <si>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</si>
  <si>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</si>
  <si>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</si>
  <si>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</si>
  <si>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</si>
  <si>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</si>
  <si>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</si>
  <si>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</si>
  <si>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</si>
  <si>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</si>
  <si>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</si>
  <si>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</si>
  <si>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</si>
  <si>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</si>
  <si>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</si>
  <si>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</si>
  <si>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</si>
  <si>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</si>
  <si>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</si>
  <si>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</si>
  <si>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</si>
  <si>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</si>
  <si>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</si>
  <si>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</si>
  <si>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</si>
  <si>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</si>
  <si>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</si>
  <si>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</si>
  <si>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</si>
  <si>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</si>
  <si>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</si>
  <si>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</si>
  <si>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</si>
  <si>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</si>
  <si>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</si>
  <si>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</si>
  <si>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</si>
  <si>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</si>
  <si>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</si>
  <si>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</si>
  <si>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</si>
  <si>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</si>
  <si>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</si>
  <si>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</si>
  <si>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</si>
  <si>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</si>
  <si>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</si>
  <si>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</si>
  <si>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</si>
  <si>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</si>
  <si>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</si>
  <si>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</si>
  <si>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</si>
  <si>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</si>
  <si>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</si>
  <si>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</si>
  <si>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</si>
  <si>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</si>
  <si>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</si>
  <si>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</si>
  <si>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</si>
  <si>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</si>
  <si>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</si>
  <si>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</si>
  <si>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</si>
  <si>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</si>
  <si>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</si>
  <si>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</si>
  <si>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</si>
  <si>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</si>
  <si>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</si>
  <si>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</si>
  <si>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</si>
  <si>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</si>
  <si>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</si>
  <si>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</si>
  <si>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</si>
  <si>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</si>
  <si>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</si>
  <si>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</si>
  <si>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</si>
  <si>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</si>
  <si>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</si>
  <si>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</si>
  <si>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</si>
  <si>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</si>
  <si>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</si>
  <si>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</si>
  <si>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</si>
  <si>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</si>
  <si>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</si>
  <si>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</si>
  <si>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</si>
  <si>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</si>
  <si>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</si>
  <si>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</si>
  <si>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</si>
  <si>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</si>
  <si>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</si>
  <si>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</si>
  <si>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</si>
  <si>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</si>
  <si>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</si>
  <si>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</si>
  <si>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</si>
  <si>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</si>
  <si>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</si>
  <si>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</si>
  <si>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</si>
  <si>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</si>
  <si>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</si>
  <si>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</si>
  <si>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</si>
  <si>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</si>
  <si>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</si>
  <si>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</si>
  <si>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</si>
  <si>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</si>
  <si>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</si>
  <si>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</si>
  <si>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</si>
  <si>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</si>
  <si>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</si>
  <si>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</si>
  <si>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</si>
  <si>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</si>
  <si>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</si>
  <si>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</si>
  <si>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</si>
  <si>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</si>
  <si>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</si>
  <si>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</si>
  <si>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</si>
  <si>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</si>
  <si>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</si>
  <si>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</si>
  <si>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</si>
  <si>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</si>
  <si>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</si>
  <si>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</si>
  <si>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</si>
  <si>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</si>
  <si>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</si>
  <si>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</si>
  <si>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</si>
  <si>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</si>
  <si>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</si>
  <si>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</si>
  <si>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</si>
  <si>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</si>
  <si>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</si>
  <si>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</si>
  <si>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</si>
  <si>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</si>
  <si>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</si>
  <si>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</si>
  <si>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</si>
  <si>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</si>
  <si>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</si>
  <si>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</si>
  <si>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</si>
  <si>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</si>
  <si>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</si>
  <si>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</si>
  <si>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</si>
  <si>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</si>
  <si>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</si>
  <si>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</si>
  <si>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</si>
  <si>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</si>
  <si>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</si>
  <si>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</si>
  <si>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</si>
  <si>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</si>
  <si>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Customer_Name</t>
  </si>
  <si>
    <t>Segment</t>
  </si>
  <si>
    <t>Diya Sharma</t>
  </si>
  <si>
    <t>Home Office</t>
  </si>
  <si>
    <t>Diya Nair</t>
  </si>
  <si>
    <t>Vivaan Gupta</t>
  </si>
  <si>
    <t>Rahul Verma</t>
  </si>
  <si>
    <t>Sai Mehta</t>
  </si>
  <si>
    <t>Corporate</t>
  </si>
  <si>
    <t>Rahul Singh</t>
  </si>
  <si>
    <t>Consumer</t>
  </si>
  <si>
    <t>Priya Kapoor</t>
  </si>
  <si>
    <t>Vihaan Verma</t>
  </si>
  <si>
    <t>Rahul Sharma</t>
  </si>
  <si>
    <t>Rohan Desai</t>
  </si>
  <si>
    <t>Kavya Reddy</t>
  </si>
  <si>
    <t>Rohan Joshi</t>
  </si>
  <si>
    <t>Ishita Sharma</t>
  </si>
  <si>
    <t>Diya Shah</t>
  </si>
  <si>
    <t>Diya Patel</t>
  </si>
  <si>
    <t>Aarav Singh</t>
  </si>
  <si>
    <t>Aditya Reddy</t>
  </si>
  <si>
    <t>Arjun Nair</t>
  </si>
  <si>
    <t>Diya Desai</t>
  </si>
  <si>
    <t>Aditya Shah</t>
  </si>
  <si>
    <t>Neha Mehta</t>
  </si>
  <si>
    <t>Ishita Gupta</t>
  </si>
  <si>
    <t>Aarav Reddy</t>
  </si>
  <si>
    <t>Rohan Verma</t>
  </si>
  <si>
    <t>Vivaan Patel</t>
  </si>
  <si>
    <t>Aarav Sharma</t>
  </si>
  <si>
    <t>Neha Gupta</t>
  </si>
  <si>
    <t>Arjun Patel</t>
  </si>
  <si>
    <t>Riya Joshi</t>
  </si>
  <si>
    <t>Neha Verma</t>
  </si>
  <si>
    <t>Vihaan Desai</t>
  </si>
  <si>
    <t>Ananya Patel</t>
  </si>
  <si>
    <t>Rahul Desai</t>
  </si>
  <si>
    <t>Priya Verma</t>
  </si>
  <si>
    <t>Reyansh Mehta</t>
  </si>
  <si>
    <t>Rahul Patel</t>
  </si>
  <si>
    <t>Meera Sharma</t>
  </si>
  <si>
    <t>Reyansh Desai</t>
  </si>
  <si>
    <t>Rohan Shah</t>
  </si>
  <si>
    <t>Ananya Sharma</t>
  </si>
  <si>
    <t>Riya Patel</t>
  </si>
  <si>
    <t>Rahul Kapoor</t>
  </si>
  <si>
    <t>Sneha Singh</t>
  </si>
  <si>
    <t>Sneha Desai</t>
  </si>
  <si>
    <t>Ananya Desai</t>
  </si>
  <si>
    <t>Riya Kapoor</t>
  </si>
  <si>
    <t>Rohan Singh</t>
  </si>
  <si>
    <t>Ishita Patel</t>
  </si>
  <si>
    <t>Aarav Kapoor</t>
  </si>
  <si>
    <t>Diya Gupta</t>
  </si>
  <si>
    <t>Meera Verma</t>
  </si>
  <si>
    <t>Sai Patel</t>
  </si>
  <si>
    <t>Meera Joshi</t>
  </si>
  <si>
    <t>Vihaan Patel</t>
  </si>
  <si>
    <t>Diya Reddy</t>
  </si>
  <si>
    <t>Rohan Nair</t>
  </si>
  <si>
    <t>Arjun Joshi</t>
  </si>
  <si>
    <t>Reyansh Singh</t>
  </si>
  <si>
    <t>Riya Reddy</t>
  </si>
  <si>
    <t>Sai Kapoor</t>
  </si>
  <si>
    <t>Kunal Mehta</t>
  </si>
  <si>
    <t>Rahul Reddy</t>
  </si>
  <si>
    <t>Meera Mehta</t>
  </si>
  <si>
    <t>Meera Singh</t>
  </si>
  <si>
    <t>Vivaan Reddy</t>
  </si>
  <si>
    <t>Ishita Nair</t>
  </si>
  <si>
    <t>Priya Sharma</t>
  </si>
  <si>
    <t>Ananya Nair</t>
  </si>
  <si>
    <t>Sai Sharma</t>
  </si>
  <si>
    <t>Neha Shah</t>
  </si>
  <si>
    <t>Kavya Joshi</t>
  </si>
  <si>
    <t>Reyansh Gupta</t>
  </si>
  <si>
    <t>Rahul Gupta</t>
  </si>
  <si>
    <t>Sai Reddy</t>
  </si>
  <si>
    <t>Pooja Nair</t>
  </si>
  <si>
    <t>Sai Joshi</t>
  </si>
  <si>
    <t>Arjun Kapoor</t>
  </si>
  <si>
    <t>Riya Gupta</t>
  </si>
  <si>
    <t>Diya Mehta</t>
  </si>
  <si>
    <t>Vihaan Singh</t>
  </si>
  <si>
    <t>Ananya Gupta</t>
  </si>
  <si>
    <t>Kunal Shah</t>
  </si>
  <si>
    <t>Rahul Mehta</t>
  </si>
  <si>
    <t>Sai Shah</t>
  </si>
  <si>
    <t>Pooja Sharma</t>
  </si>
  <si>
    <t>Sai Nair</t>
  </si>
  <si>
    <t>Meera Reddy</t>
  </si>
  <si>
    <t>Vihaan Shah</t>
  </si>
  <si>
    <t>Aditya Gupta</t>
  </si>
  <si>
    <t>Arjun Reddy</t>
  </si>
  <si>
    <t>Pooja Shah</t>
  </si>
  <si>
    <t>Reyansh Verma</t>
  </si>
  <si>
    <t>Pooja Mehta</t>
  </si>
  <si>
    <t>Ishita Mehta</t>
  </si>
  <si>
    <t>Pooja Verma</t>
  </si>
  <si>
    <t>Aditya Kapoor</t>
  </si>
  <si>
    <t>Kavya Patel</t>
  </si>
  <si>
    <t>Priya Nair</t>
  </si>
  <si>
    <t>Vihaan Gupta</t>
  </si>
  <si>
    <t>Vivaan Singh</t>
  </si>
  <si>
    <t>Riya Mehta</t>
  </si>
  <si>
    <t>Neha Joshi</t>
  </si>
  <si>
    <t>Kunal Sharma</t>
  </si>
  <si>
    <t>Riya Sharma</t>
  </si>
  <si>
    <t>Priya Mehta</t>
  </si>
  <si>
    <t>Priya Singh</t>
  </si>
  <si>
    <t>Aarav Mehta</t>
  </si>
  <si>
    <t>Arjun Verma</t>
  </si>
  <si>
    <t>Kavya Shah</t>
  </si>
  <si>
    <t>Rohan Patel</t>
  </si>
  <si>
    <t>Sneha Patel</t>
  </si>
  <si>
    <t>Reyansh Shah</t>
  </si>
  <si>
    <t>Reyansh Joshi</t>
  </si>
  <si>
    <t>Rahul Shah</t>
  </si>
  <si>
    <t>Kavya Kapoor</t>
  </si>
  <si>
    <t>Meera Patel</t>
  </si>
  <si>
    <t>Arjun Shah</t>
  </si>
  <si>
    <t>Ananya Mehta</t>
  </si>
  <si>
    <t>Riya Singh</t>
  </si>
  <si>
    <t>Arjun Singh</t>
  </si>
  <si>
    <t>Rohan Mehta</t>
  </si>
  <si>
    <t>Neha Desai</t>
  </si>
  <si>
    <t>Aarav Desai</t>
  </si>
  <si>
    <t>Sai Gupta</t>
  </si>
  <si>
    <t>Sneha Sharma</t>
  </si>
  <si>
    <t>Vihaan Joshi</t>
  </si>
  <si>
    <t>Ananya Singh</t>
  </si>
  <si>
    <t>Sneha Gupta</t>
  </si>
  <si>
    <t>Vihaan Sharma</t>
  </si>
  <si>
    <t>Ishita Reddy</t>
  </si>
  <si>
    <t>Neha Reddy</t>
  </si>
  <si>
    <t>Neha Singh</t>
  </si>
  <si>
    <t>Kavya Mehta</t>
  </si>
  <si>
    <t>Meera Nair</t>
  </si>
  <si>
    <t>Rohan Gupta</t>
  </si>
  <si>
    <t>Aditya Sharma</t>
  </si>
  <si>
    <t>Aarav Verma</t>
  </si>
  <si>
    <t>Aditya Desai</t>
  </si>
  <si>
    <t>Sneha Reddy</t>
  </si>
  <si>
    <t>Kunal Joshi</t>
  </si>
  <si>
    <t>Reyansh Kapoor</t>
  </si>
  <si>
    <t>Kunal Reddy</t>
  </si>
  <si>
    <t>Aditya Verma</t>
  </si>
  <si>
    <t>Kavya Nair</t>
  </si>
  <si>
    <t>Sneha Mehta</t>
  </si>
  <si>
    <t>Priya Gupta</t>
  </si>
  <si>
    <t>Vivaan Mehta</t>
  </si>
  <si>
    <t>Pooja Reddy</t>
  </si>
  <si>
    <t>Kunal Desai</t>
  </si>
  <si>
    <t>Ishita Kapoor</t>
  </si>
  <si>
    <t>Sneha Nair</t>
  </si>
  <si>
    <t>Reyansh Nair</t>
  </si>
  <si>
    <t>Reyansh Sharma</t>
  </si>
  <si>
    <t>Kunal Nair</t>
  </si>
  <si>
    <t>Sneha Joshi</t>
  </si>
  <si>
    <t>Neha Patel</t>
  </si>
  <si>
    <t>Rahul Nair</t>
  </si>
  <si>
    <t>Vivaan Verma</t>
  </si>
  <si>
    <t>Kunal Singh</t>
  </si>
  <si>
    <t>Vivaan Joshi</t>
  </si>
  <si>
    <t>Priya Patel</t>
  </si>
  <si>
    <t>Riya Shah</t>
  </si>
  <si>
    <t>Aditya Singh</t>
  </si>
  <si>
    <t>Diya Singh</t>
  </si>
  <si>
    <t>Sneha Shah</t>
  </si>
  <si>
    <t>Ananya Shah</t>
  </si>
  <si>
    <t>Sai Desai</t>
  </si>
  <si>
    <t>Pooja Joshi</t>
  </si>
  <si>
    <t>Reyansh Patel</t>
  </si>
  <si>
    <t>Kunal Kapoor</t>
  </si>
  <si>
    <t>Meera Desai</t>
  </si>
  <si>
    <t>Ananya Kapoor</t>
  </si>
  <si>
    <t>Aarav Patel</t>
  </si>
  <si>
    <t>Riya Nair</t>
  </si>
  <si>
    <t>Pooja Desai</t>
  </si>
  <si>
    <t>Vihaan Nair</t>
  </si>
  <si>
    <t>Rohan Kapoor</t>
  </si>
  <si>
    <t>Kunal Patel</t>
  </si>
  <si>
    <t>Vivaan Sharma</t>
  </si>
  <si>
    <t>Sai Singh</t>
  </si>
  <si>
    <t>Rohan Sharma</t>
  </si>
  <si>
    <t>Sneha Verma</t>
  </si>
  <si>
    <t>Neha Sharma</t>
  </si>
  <si>
    <t>Kavya Sharma</t>
  </si>
  <si>
    <t>Meera Kapoor</t>
  </si>
  <si>
    <t>Priya Shah</t>
  </si>
  <si>
    <t>Priya Joshi</t>
  </si>
  <si>
    <t>Neha Kapoor</t>
  </si>
  <si>
    <t>Ishita Singh</t>
  </si>
  <si>
    <t>Kavya Verma</t>
  </si>
  <si>
    <t>Vihaan Mehta</t>
  </si>
  <si>
    <t>Aarav Nair</t>
  </si>
  <si>
    <t>Pooja Singh</t>
  </si>
  <si>
    <t>Aditya Joshi</t>
  </si>
  <si>
    <t>Riya Verma</t>
  </si>
  <si>
    <t>Ishita Verma</t>
  </si>
  <si>
    <t>Ananya Reddy</t>
  </si>
  <si>
    <t>Neha Nair</t>
  </si>
  <si>
    <t>Riya Desai</t>
  </si>
  <si>
    <t>Meera Shah</t>
  </si>
  <si>
    <t>Vivaan Nair</t>
  </si>
  <si>
    <t>Arjun Gupta</t>
  </si>
  <si>
    <t>Ishita Desai</t>
  </si>
  <si>
    <t>Sneha Kapoor</t>
  </si>
  <si>
    <t>Pooja Kapoor</t>
  </si>
  <si>
    <t>Rohan Reddy</t>
  </si>
  <si>
    <t>Aarav Gupta</t>
  </si>
  <si>
    <t>Kunal Verma</t>
  </si>
  <si>
    <t>Priya Reddy</t>
  </si>
  <si>
    <t>Vivaan Desai</t>
  </si>
  <si>
    <t>Kavya Singh</t>
  </si>
  <si>
    <t>Vivaan Kapoor</t>
  </si>
  <si>
    <t>Diya Kapoor</t>
  </si>
  <si>
    <t>Vivaan Shah</t>
  </si>
  <si>
    <t>Diya Joshi</t>
  </si>
  <si>
    <t>Ananya Joshi</t>
  </si>
  <si>
    <t>Aditya Nair</t>
  </si>
  <si>
    <t>Kunal Gupta</t>
  </si>
  <si>
    <t>Vihaan Kapoor</t>
  </si>
  <si>
    <t>Arjun Desai</t>
  </si>
  <si>
    <t>Kavya Gupta</t>
  </si>
  <si>
    <t>Kavya Desai</t>
  </si>
  <si>
    <t>Aditya Patel</t>
  </si>
  <si>
    <t>Aarav Joshi</t>
  </si>
  <si>
    <t>Reyansh Reddy</t>
  </si>
  <si>
    <t>Pooja Gupta</t>
  </si>
  <si>
    <t>Vihaan Reddy</t>
  </si>
  <si>
    <t>Aditya Mehta</t>
  </si>
  <si>
    <t>Arjun Mehta</t>
  </si>
  <si>
    <t>Ishita Joshi</t>
  </si>
  <si>
    <t>Diya Verma</t>
  </si>
  <si>
    <t>Aarav Shah</t>
  </si>
  <si>
    <t>Ananya Verma</t>
  </si>
  <si>
    <t>Rahul Joshi</t>
  </si>
  <si>
    <t>Priya Desai</t>
  </si>
  <si>
    <t>Sai Verma</t>
  </si>
  <si>
    <t>Pooja Patel</t>
  </si>
  <si>
    <t>Ishita Shah</t>
  </si>
  <si>
    <t>Meera Gupta</t>
  </si>
  <si>
    <t>Arjun Sharma</t>
  </si>
  <si>
    <t>💼 RAW DATA</t>
  </si>
  <si>
    <t>📅 PIVOT TABLE ANALYSIS</t>
  </si>
  <si>
    <t>Order_Date</t>
  </si>
  <si>
    <t>Order_Month</t>
  </si>
  <si>
    <t>Jan</t>
  </si>
  <si>
    <t>Feb</t>
  </si>
  <si>
    <t>Mar</t>
  </si>
  <si>
    <t>Apr</t>
  </si>
  <si>
    <t>May</t>
  </si>
  <si>
    <t>Jun</t>
  </si>
  <si>
    <t>Jul</t>
  </si>
  <si>
    <t>Aug</t>
  </si>
  <si>
    <t>Sep</t>
  </si>
  <si>
    <t>Oct</t>
  </si>
  <si>
    <t>Nov</t>
  </si>
  <si>
    <t>Dec</t>
  </si>
  <si>
    <t>Total Quantity</t>
  </si>
  <si>
    <t>Total Sales</t>
  </si>
  <si>
    <t>Total Profit</t>
  </si>
  <si>
    <t>Order Month</t>
  </si>
  <si>
    <t>Products</t>
  </si>
  <si>
    <t>Categories</t>
  </si>
  <si>
    <t>Segments</t>
  </si>
  <si>
    <t>Customer Name</t>
  </si>
  <si>
    <t>Sub-Categories</t>
  </si>
  <si>
    <t>Average Sales</t>
  </si>
  <si>
    <t>Average Profit</t>
  </si>
  <si>
    <t>Segments/Categories</t>
  </si>
  <si>
    <t>PROFIT vs SALES BY REGION</t>
  </si>
  <si>
    <t>SALES BY CATEGORIES</t>
  </si>
  <si>
    <t>PROFIT vs SALES BY SEGMENT</t>
  </si>
  <si>
    <t>MONTHLY SALES TREND</t>
  </si>
  <si>
    <t>CATEGORIES vs SEGMENT BY SALES</t>
  </si>
  <si>
    <t>DISCOUNT IMPACT</t>
  </si>
  <si>
    <t>AVG PROFIT vs SALES BY SUB-CATEGORY</t>
  </si>
  <si>
    <t>TOP 10 PROFITABLE CUSTOMERS</t>
  </si>
  <si>
    <t>Max Profit</t>
  </si>
  <si>
    <t>Min Profit</t>
  </si>
  <si>
    <t>Profitable Orders</t>
  </si>
  <si>
    <t>Loss Orders</t>
  </si>
  <si>
    <t>Overall Profit Margin</t>
  </si>
  <si>
    <t>PROFIT ANALYSIS</t>
  </si>
  <si>
    <t>UNIT SOLD BY REGION</t>
  </si>
  <si>
    <t>TOP 10 PRODUCTS BY UNIT SOLD</t>
  </si>
  <si>
    <t>PRODUCT ANALYSIS &amp; MOST FREQUENT</t>
  </si>
  <si>
    <t>Product Name</t>
  </si>
  <si>
    <t>Total Revenue</t>
  </si>
  <si>
    <t>% of Revenue</t>
  </si>
  <si>
    <t>Frequency Rank</t>
  </si>
  <si>
    <t>Total Unit Sold</t>
  </si>
  <si>
    <t>REGIONAL SALES ANALYSIS</t>
  </si>
  <si>
    <t>Avg Order Value</t>
  </si>
  <si>
    <t>% Share</t>
  </si>
  <si>
    <t>Rank</t>
  </si>
  <si>
    <t>Order Count</t>
  </si>
  <si>
    <t>CUSTOMER SEGMENT ANALYSIS</t>
  </si>
  <si>
    <t>Count</t>
  </si>
  <si>
    <t>Avg Revenue</t>
  </si>
  <si>
    <t>CATEGORY ANALYSIS</t>
  </si>
  <si>
    <t>% Revenue</t>
  </si>
  <si>
    <t>Avg Sales</t>
  </si>
  <si>
    <t>ADDITIONAL INFO</t>
  </si>
  <si>
    <t>Best Region</t>
  </si>
  <si>
    <t>Worst Region</t>
  </si>
  <si>
    <t>Most Profitable Product</t>
  </si>
  <si>
    <t>Highest Sales Product</t>
  </si>
  <si>
    <t>Top Category by AVG Sales</t>
  </si>
  <si>
    <t>📋 FINAL INSIGHTS - SUMMARY</t>
  </si>
  <si>
    <t xml:space="preserve">  DATE &amp; TIME FORMULA SHOWCASE</t>
  </si>
  <si>
    <t>Today's Date</t>
  </si>
  <si>
    <t>Current Date &amp; Time</t>
  </si>
  <si>
    <t>First Order Date</t>
  </si>
  <si>
    <t>Dataset Span (days)</t>
  </si>
  <si>
    <t>Dataset Span (months)</t>
  </si>
  <si>
    <t>End of This Month</t>
  </si>
  <si>
    <t>End of Next Month (Target)</t>
  </si>
  <si>
    <t>EXECUTIVE SUMMARY</t>
  </si>
  <si>
    <t>SALES &amp; PROFIT ANALYSIS</t>
  </si>
  <si>
    <t>The analysis shows the overall revenue generated from sales transactions and identifies the contribution of different product categories toward total business performance. Profitability was evaluated using Profit Margin calculations, helping to understand how efficiently revenue is converted into profit. The dashboard highlights high-performing categories and areas that require improvement.</t>
  </si>
  <si>
    <t>REGIONAL PERFORMANCE</t>
  </si>
  <si>
    <t>Regional analysis was conducted to compare sales and profit across different geographical regions. The dashboard identifies the best-performing and lowest-performing regions based on revenue and profitability. These insights help management focus resources on growth opportunities while improving performance in underperforming regions.</t>
  </si>
  <si>
    <t>CUSTOMER ANALYSIS</t>
  </si>
  <si>
    <t>Customer analysis was performed to understand purchasing behavior and identify valuable customers. The dashboard highlights top customers based on sales and profit contribution. Segment-wise analysis provides insights into how different customer groups contribute to overall business performance and helps support customer retention strategies.</t>
  </si>
  <si>
    <t>PRODUCT ANALYSIS</t>
  </si>
  <si>
    <t>Product-level analysis was used to identify the highest-selling and most profitable products. The dashboard also highlights products with lower performance, enabling better inventory planning and marketing decisions. These insights help businesses focus on products that generate maximum value.</t>
  </si>
  <si>
    <t>KEY INSIGHTS</t>
  </si>
  <si>
    <t>TOOLS AND TECHNIQUES USED</t>
  </si>
  <si>
    <t>RECOMMENDATIONS</t>
  </si>
  <si>
    <t>PROJECT CONCLUSION</t>
  </si>
  <si>
    <t>This dashboard successfully converts raw business data into meaningful insights through advanced Excel analytics. The project demonstrates practical application of Excel functions, data visualization, and business intelligence techniques to support decision-making and performance evaluation. It provides a user-friendly and interactive solution for monitoring key business metrics and identifying opportunities for growth.</t>
  </si>
  <si>
    <t xml:space="preserve">This Excel Dashboard project analyzes sales performance, profitability, customer behavior, regional performance, and product trends using advanced Excel features. The dashboard provides a clear overview of key business metrics such as Total Sales, Total Profit, Profit Margin, Order Quantity, and Customer Segments. Various analytical techniques including Pivot Tables, Pivot Charts, Conditional Formatting, XLOOKUP, INDEX-MATCH, and KPI calculations were used to transform raw data into meaningful business insights. </t>
  </si>
  <si>
    <t>• The dashboard provides a consolidated view of business performance through interactive analysis.
• Top-performing products and customers contribute significantly to overall revenue.
• Certain regions generate higher sales and profit than others, indicating growth opportunities.
• Customer segmentation helps identify valuable customer groups for targeted marketing.
• Profit margin analysis provides insights into overall business efficiency.</t>
  </si>
  <si>
    <t>• Pivot Tables and Pivot Charts
• XLOOKUP
• VLOOKUP
• INDEX-MATCH
• SUMIF and COUNTIF
• Conditional Formatting
• Data Validation
• KPI Metrics
• Dashboard Design and Visualization</t>
  </si>
  <si>
    <t>• Focus on promoting high-performing products to maximize revenue.
• Improve marketing efforts in lower-performing regions.
• Strengthen customer retention programs for high-value customers.
• Monitor profit margins regularly to improve business profitability.
• Use data-driven insights for inventory and sales planning.</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</si>
  <si>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</si>
  <si>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</si>
  <si>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</si>
  <si>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</si>
  <si>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</si>
  <si>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</si>
  <si>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</si>
  <si>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</si>
  <si>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</si>
  <si>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</si>
  <si>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</si>
  <si>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</si>
  <si>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</si>
  <si>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</si>
  <si>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</si>
  <si>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</si>
  <si>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</si>
  <si>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</si>
  <si>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</si>
  <si>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</si>
  <si>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</si>
  <si>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</si>
  <si>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</si>
  <si>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 STATISTICAL REGRESSION SUMMARY</t>
  </si>
  <si>
    <t>🧮 ADVANCED FORMULAS</t>
  </si>
  <si>
    <t>🏆 BUSINESS INTELLIGENCE SALES DASHBOARD</t>
  </si>
  <si>
    <t>💰 TOTAL REVENUE</t>
  </si>
  <si>
    <t>📦 TOTAL ORDERS</t>
  </si>
  <si>
    <t>🏷️ AVG ORDER VALUE</t>
  </si>
  <si>
    <t>👥 UNIQUE CUSTOMERS</t>
  </si>
  <si>
    <t>📊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</si>
</sst>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C09]#,##0.00"/>
    <numFmt numFmtId="165" formatCode="0.0%"/>
    <numFmt numFmtId="166" formatCode="dd\-mmm\-yyyy"/>
  </numFmts>
  <fonts count="26" x14ac:knownFonts="1">
    <font>
      <sz val="11"/>
      <color theme="1"/>
      <name val="Calibri"/>
      <family val="2"/>
      <scheme val="minor"/>
    </font>
    <font>
      <sz val="11"/>
      <color theme="1"/>
      <name val="Calibri"/>
      <family val="2"/>
      <scheme val="minor"/>
    </font>
    <font>
      <sz val="11"/>
      <color theme="1"/>
      <name val="Times New Roman"/>
      <family val="1"/>
    </font>
    <font>
      <b/>
      <sz val="28"/>
      <color theme="1"/>
      <name val="Times New Roman"/>
      <family val="1"/>
    </font>
    <font>
      <b/>
      <sz val="22"/>
      <color theme="0"/>
      <name val="Times New Roman"/>
      <family val="1"/>
    </font>
    <font>
      <b/>
      <sz val="12"/>
      <color theme="0"/>
      <name val="Times New Roman"/>
      <family val="1"/>
    </font>
    <font>
      <b/>
      <sz val="11"/>
      <color theme="1"/>
      <name val="Calibri"/>
      <family val="2"/>
      <scheme val="minor"/>
    </font>
    <font>
      <b/>
      <sz val="11"/>
      <color theme="1"/>
      <name val="Times New Roman"/>
      <family val="1"/>
    </font>
    <font>
      <b/>
      <sz val="12"/>
      <color theme="1"/>
      <name val="Times New Roman"/>
      <family val="1"/>
    </font>
    <font>
      <sz val="11"/>
      <color theme="1" tint="4.9989318521683403E-2"/>
      <name val="Calibri"/>
      <family val="2"/>
      <scheme val="minor"/>
    </font>
    <font>
      <sz val="11"/>
      <color theme="1" tint="4.9989318521683403E-2"/>
      <name val="Times New Roman"/>
      <family val="1"/>
    </font>
    <font>
      <b/>
      <sz val="11"/>
      <color theme="1" tint="4.9989318521683403E-2"/>
      <name val="Times New Roman"/>
      <family val="1"/>
    </font>
    <font>
      <sz val="12"/>
      <color theme="1" tint="4.9989318521683403E-2"/>
      <name val="Times New Roman"/>
      <family val="1"/>
    </font>
    <font>
      <b/>
      <sz val="12"/>
      <color theme="1" tint="4.9989318521683403E-2"/>
      <name val="Times New Roman"/>
      <family val="1"/>
    </font>
    <font>
      <b/>
      <sz val="10"/>
      <color rgb="FF000000"/>
      <name val="Arial"/>
      <family val="2"/>
    </font>
    <font>
      <sz val="10"/>
      <color rgb="FF000000"/>
      <name val="Arial"/>
      <family val="2"/>
    </font>
    <font>
      <sz val="11"/>
      <color theme="0"/>
      <name val="Times New Roman"/>
      <family val="1"/>
    </font>
    <font>
      <sz val="11"/>
      <color theme="1"/>
      <name val="Calibri"/>
      <family val="2"/>
      <charset val="1"/>
    </font>
    <font>
      <sz val="11"/>
      <color rgb="FF333333"/>
      <name val="Times New Roman"/>
      <family val="1"/>
    </font>
    <font>
      <b/>
      <sz val="20"/>
      <color theme="0"/>
      <name val="Times New Roman"/>
      <family val="1"/>
    </font>
    <font>
      <i/>
      <sz val="11"/>
      <color theme="1"/>
      <name val="Times New Roman"/>
      <family val="1"/>
    </font>
    <font>
      <b/>
      <i/>
      <sz val="11"/>
      <color theme="1"/>
      <name val="Times New Roman"/>
      <family val="1"/>
    </font>
    <font>
      <b/>
      <sz val="14"/>
      <color theme="1"/>
      <name val="Times New Roman"/>
      <family val="1"/>
    </font>
    <font>
      <sz val="14"/>
      <color theme="1"/>
      <name val="Times New Roman"/>
      <family val="1"/>
    </font>
    <font>
      <sz val="12"/>
      <color theme="1" tint="0.14999847407452621"/>
      <name val="Times New Roman"/>
      <family val="1"/>
    </font>
    <font>
      <sz val="11"/>
      <color theme="2" tint="-0.749992370372631"/>
      <name val="Calibri"/>
      <family val="2"/>
      <scheme val="minor"/>
    </font>
  </fonts>
  <fills count="22">
    <fill>
      <patternFill patternType="none"/>
    </fill>
    <fill>
      <patternFill patternType="gray125"/>
    </fill>
    <fill>
      <patternFill patternType="solid">
        <fgColor theme="6" tint="-0.249977111117893"/>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39997558519241921"/>
        <bgColor rgb="FF333399"/>
      </patternFill>
    </fill>
    <fill>
      <patternFill patternType="solid">
        <fgColor theme="6" tint="0.59999389629810485"/>
        <bgColor rgb="FFD9D9D9"/>
      </patternFill>
    </fill>
    <fill>
      <patternFill patternType="solid">
        <fgColor theme="6" tint="0.79998168889431442"/>
        <bgColor rgb="FFF9F9F9"/>
      </patternFill>
    </fill>
    <fill>
      <patternFill patternType="solid">
        <fgColor theme="6" tint="0.59999389629810485"/>
        <bgColor rgb="FF397BCA"/>
      </patternFill>
    </fill>
    <fill>
      <patternFill patternType="solid">
        <fgColor theme="6" tint="0.39997558519241921"/>
        <bgColor rgb="FFE2EFDA"/>
      </patternFill>
    </fill>
    <fill>
      <patternFill patternType="solid">
        <fgColor theme="6" tint="0.79998168889431442"/>
        <bgColor rgb="FFF2F2F2"/>
      </patternFill>
    </fill>
    <fill>
      <patternFill patternType="solid">
        <fgColor theme="6" tint="0.79998168889431442"/>
        <bgColor rgb="FFE2EFDA"/>
      </patternFill>
    </fill>
    <fill>
      <patternFill patternType="solid">
        <fgColor theme="6" tint="0.59999389629810485"/>
        <bgColor rgb="FFF2F2F2"/>
      </patternFill>
    </fill>
    <fill>
      <patternFill patternType="solid">
        <fgColor theme="6" tint="0.59999389629810485"/>
        <bgColor rgb="FFE2EFDA"/>
      </patternFill>
    </fill>
    <fill>
      <patternFill patternType="solid">
        <fgColor theme="2"/>
        <bgColor indexed="64"/>
      </patternFill>
    </fill>
    <fill>
      <patternFill patternType="solid">
        <fgColor theme="6" tint="0.39997558519241921"/>
        <bgColor rgb="FF333333"/>
      </patternFill>
    </fill>
    <fill>
      <patternFill patternType="solid">
        <fgColor theme="6" tint="0.39997558519241921"/>
        <bgColor rgb="FF397BCA"/>
      </patternFill>
    </fill>
    <fill>
      <patternFill patternType="solid">
        <fgColor theme="6" tint="0.39997558519241921"/>
        <bgColor rgb="FFFF8080"/>
      </patternFill>
    </fill>
    <fill>
      <patternFill patternType="solid">
        <fgColor theme="6" tint="0.39997558519241921"/>
        <bgColor rgb="FF779637"/>
      </patternFill>
    </fill>
    <fill>
      <patternFill patternType="solid">
        <fgColor theme="6" tint="0.39997558519241921"/>
        <bgColor rgb="FF800080"/>
      </patternFill>
    </fill>
    <fill>
      <patternFill patternType="solid">
        <fgColor theme="2" tint="-0.74999237037263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xf numFmtId="0" fontId="1" fillId="0" borderId="0"/>
    <xf numFmtId="0" fontId="17" fillId="0" borderId="0"/>
  </cellStyleXfs>
  <cellXfs count="103">
    <xf numFmtId="0" fontId="0" fillId="0" borderId="0" xfId="0"/>
    <xf numFmtId="0" fontId="2" fillId="0" borderId="0" xfId="1" applyFont="1" applyAlignment="1">
      <alignment horizontal="center" vertical="center"/>
    </xf>
    <xf numFmtId="14" fontId="2" fillId="0" borderId="0" xfId="1" applyNumberFormat="1" applyFont="1" applyAlignment="1">
      <alignment horizontal="center" vertical="center"/>
    </xf>
    <xf numFmtId="164" fontId="2" fillId="0" borderId="0" xfId="1" applyNumberFormat="1" applyFont="1" applyAlignment="1">
      <alignment horizontal="center" vertical="center"/>
    </xf>
    <xf numFmtId="10" fontId="2" fillId="0" borderId="0" xfId="1" applyNumberFormat="1" applyFont="1" applyAlignment="1">
      <alignment horizontal="center" vertical="center"/>
    </xf>
    <xf numFmtId="0" fontId="5" fillId="0" borderId="0" xfId="1" applyFont="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4" borderId="1" xfId="0" applyFill="1" applyBorder="1" applyAlignment="1">
      <alignment horizontal="center" vertical="center"/>
    </xf>
    <xf numFmtId="164" fontId="0" fillId="4" borderId="1" xfId="0" applyNumberFormat="1" applyFill="1" applyBorder="1" applyAlignment="1">
      <alignment horizontal="center" vertical="center"/>
    </xf>
    <xf numFmtId="0" fontId="12" fillId="5" borderId="1" xfId="0" applyFont="1" applyFill="1" applyBorder="1" applyAlignment="1">
      <alignment horizontal="center" vertical="center"/>
    </xf>
    <xf numFmtId="1" fontId="10" fillId="8" borderId="1" xfId="0" applyNumberFormat="1" applyFont="1" applyFill="1" applyBorder="1" applyAlignment="1">
      <alignment horizontal="center" vertical="center" wrapText="1"/>
    </xf>
    <xf numFmtId="10" fontId="10" fillId="8" borderId="1" xfId="0" applyNumberFormat="1" applyFont="1" applyFill="1" applyBorder="1" applyAlignment="1">
      <alignment horizontal="center" vertical="center" wrapText="1"/>
    </xf>
    <xf numFmtId="0" fontId="10" fillId="7" borderId="1" xfId="0" applyFont="1" applyFill="1" applyBorder="1" applyAlignment="1">
      <alignment horizontal="left" vertical="center" wrapText="1"/>
    </xf>
    <xf numFmtId="0" fontId="14" fillId="8" borderId="1" xfId="0" applyFont="1" applyFill="1" applyBorder="1" applyAlignment="1">
      <alignment horizontal="left" vertical="center"/>
    </xf>
    <xf numFmtId="0" fontId="15" fillId="8" borderId="1" xfId="0" applyFont="1" applyFill="1" applyBorder="1" applyAlignment="1">
      <alignment horizontal="center" vertical="center" wrapText="1"/>
    </xf>
    <xf numFmtId="165" fontId="15" fillId="8" borderId="1" xfId="0" applyNumberFormat="1" applyFont="1" applyFill="1" applyBorder="1" applyAlignment="1">
      <alignment horizontal="center" vertical="center" wrapText="1"/>
    </xf>
    <xf numFmtId="0" fontId="11" fillId="9"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164" fontId="10" fillId="8" borderId="1" xfId="0" applyNumberFormat="1" applyFont="1" applyFill="1" applyBorder="1" applyAlignment="1">
      <alignment horizontal="center" vertical="center" wrapText="1"/>
    </xf>
    <xf numFmtId="165" fontId="10" fillId="8" borderId="1" xfId="0" applyNumberFormat="1" applyFont="1" applyFill="1" applyBorder="1" applyAlignment="1">
      <alignment horizontal="center" vertical="center" wrapText="1"/>
    </xf>
    <xf numFmtId="0" fontId="11" fillId="8" borderId="1" xfId="0" applyFont="1" applyFill="1" applyBorder="1" applyAlignment="1">
      <alignment horizontal="left" vertical="center"/>
    </xf>
    <xf numFmtId="0" fontId="10" fillId="4"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164" fontId="15" fillId="8" borderId="1" xfId="0" applyNumberFormat="1" applyFont="1" applyFill="1" applyBorder="1" applyAlignment="1">
      <alignment horizontal="center" vertical="center" wrapText="1"/>
    </xf>
    <xf numFmtId="0" fontId="2" fillId="0" borderId="0" xfId="0" applyFont="1"/>
    <xf numFmtId="0" fontId="10" fillId="8" borderId="1" xfId="0" applyFont="1" applyFill="1" applyBorder="1" applyAlignment="1">
      <alignment horizontal="left" vertical="center"/>
    </xf>
    <xf numFmtId="0" fontId="10" fillId="8" borderId="1" xfId="0" applyFont="1" applyFill="1" applyBorder="1" applyAlignment="1">
      <alignment horizontal="left" vertical="center" wrapText="1"/>
    </xf>
    <xf numFmtId="0" fontId="10" fillId="4" borderId="1" xfId="0" applyFont="1" applyFill="1" applyBorder="1" applyAlignment="1">
      <alignment horizontal="left" vertical="center"/>
    </xf>
    <xf numFmtId="164" fontId="16" fillId="8" borderId="1" xfId="0" applyNumberFormat="1" applyFont="1" applyFill="1" applyBorder="1" applyAlignment="1">
      <alignment horizontal="center" vertical="center" wrapText="1"/>
    </xf>
    <xf numFmtId="0" fontId="7" fillId="5" borderId="1" xfId="0" applyFont="1" applyFill="1" applyBorder="1"/>
    <xf numFmtId="0" fontId="2" fillId="4" borderId="1" xfId="0" applyFont="1" applyFill="1" applyBorder="1"/>
    <xf numFmtId="0" fontId="2" fillId="5" borderId="1" xfId="0" applyFont="1" applyFill="1" applyBorder="1"/>
    <xf numFmtId="0" fontId="20" fillId="5" borderId="1" xfId="0" applyFont="1" applyFill="1" applyBorder="1" applyAlignment="1">
      <alignment horizontal="center"/>
    </xf>
    <xf numFmtId="0" fontId="20" fillId="4" borderId="1" xfId="0" applyFont="1" applyFill="1" applyBorder="1" applyAlignment="1">
      <alignment horizontal="center"/>
    </xf>
    <xf numFmtId="0" fontId="2" fillId="4" borderId="5" xfId="0" applyFont="1" applyFill="1" applyBorder="1" applyAlignment="1">
      <alignment horizontal="left" vertical="top" wrapText="1"/>
    </xf>
    <xf numFmtId="0" fontId="2" fillId="4" borderId="6" xfId="0" applyFont="1" applyFill="1" applyBorder="1" applyAlignment="1">
      <alignment horizontal="left" vertical="top" wrapText="1"/>
    </xf>
    <xf numFmtId="0" fontId="2" fillId="4" borderId="7" xfId="0" applyFont="1" applyFill="1" applyBorder="1" applyAlignment="1">
      <alignment horizontal="left" vertical="top" wrapText="1"/>
    </xf>
    <xf numFmtId="0" fontId="2" fillId="4" borderId="11" xfId="0" applyFont="1" applyFill="1" applyBorder="1" applyAlignment="1">
      <alignment horizontal="left" vertical="top" wrapText="1"/>
    </xf>
    <xf numFmtId="0" fontId="2" fillId="4" borderId="0" xfId="0" applyFont="1" applyFill="1" applyAlignment="1">
      <alignment horizontal="left" vertical="top" wrapText="1"/>
    </xf>
    <xf numFmtId="0" fontId="2" fillId="4" borderId="12" xfId="0" applyFont="1" applyFill="1" applyBorder="1" applyAlignment="1">
      <alignment horizontal="left" vertical="top" wrapText="1"/>
    </xf>
    <xf numFmtId="0" fontId="2" fillId="4" borderId="8" xfId="0" applyFont="1" applyFill="1" applyBorder="1" applyAlignment="1">
      <alignment horizontal="left" vertical="top" wrapText="1"/>
    </xf>
    <xf numFmtId="0" fontId="2" fillId="4" borderId="2" xfId="0" applyFont="1" applyFill="1" applyBorder="1" applyAlignment="1">
      <alignment horizontal="left" vertical="top" wrapText="1"/>
    </xf>
    <xf numFmtId="0" fontId="2" fillId="4" borderId="4" xfId="0" applyFont="1" applyFill="1" applyBorder="1" applyAlignment="1">
      <alignment horizontal="left" vertical="top" wrapText="1"/>
    </xf>
    <xf numFmtId="0" fontId="2" fillId="4" borderId="1" xfId="0" applyFont="1" applyFill="1" applyBorder="1" applyAlignment="1">
      <alignment horizontal="left" vertical="top" wrapText="1"/>
    </xf>
    <xf numFmtId="0" fontId="8" fillId="3" borderId="1"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2" xfId="0" applyFont="1" applyFill="1" applyBorder="1" applyAlignment="1">
      <alignment horizontal="center" vertical="center"/>
    </xf>
    <xf numFmtId="0" fontId="19" fillId="2" borderId="1" xfId="0" applyFont="1" applyFill="1" applyBorder="1" applyAlignment="1">
      <alignment horizontal="center" vertical="center"/>
    </xf>
    <xf numFmtId="0" fontId="4" fillId="2" borderId="0" xfId="0" applyFont="1" applyFill="1" applyAlignment="1">
      <alignment horizontal="center" vertical="center"/>
    </xf>
    <xf numFmtId="0" fontId="3" fillId="2" borderId="0" xfId="0" applyFont="1" applyFill="1" applyAlignment="1">
      <alignment horizontal="center" vertical="center"/>
    </xf>
    <xf numFmtId="0" fontId="4" fillId="2" borderId="1" xfId="0" applyFont="1" applyFill="1" applyBorder="1" applyAlignment="1">
      <alignment horizontal="center" vertical="center"/>
    </xf>
    <xf numFmtId="0" fontId="8" fillId="10" borderId="9" xfId="2" applyFont="1" applyFill="1" applyBorder="1" applyAlignment="1">
      <alignment horizontal="center" vertical="center"/>
    </xf>
    <xf numFmtId="0" fontId="8" fillId="10" borderId="10" xfId="2" applyFont="1" applyFill="1" applyBorder="1" applyAlignment="1">
      <alignment horizontal="center" vertical="center"/>
    </xf>
    <xf numFmtId="0" fontId="8" fillId="10" borderId="3" xfId="2" applyFont="1" applyFill="1" applyBorder="1" applyAlignment="1">
      <alignment horizontal="center" vertical="center"/>
    </xf>
    <xf numFmtId="0" fontId="18" fillId="13" borderId="9" xfId="2" applyFont="1" applyFill="1" applyBorder="1" applyAlignment="1">
      <alignment horizontal="left" vertical="center"/>
    </xf>
    <xf numFmtId="0" fontId="18" fillId="13" borderId="10" xfId="2" applyFont="1" applyFill="1" applyBorder="1" applyAlignment="1">
      <alignment horizontal="left" vertical="center"/>
    </xf>
    <xf numFmtId="0" fontId="18" fillId="13" borderId="3" xfId="2" applyFont="1" applyFill="1" applyBorder="1" applyAlignment="1">
      <alignment horizontal="left" vertical="center"/>
    </xf>
    <xf numFmtId="166" fontId="2" fillId="11" borderId="9" xfId="2" applyNumberFormat="1" applyFont="1" applyFill="1" applyBorder="1" applyAlignment="1">
      <alignment horizontal="center" vertical="center"/>
    </xf>
    <xf numFmtId="166" fontId="2" fillId="11" borderId="10" xfId="2" applyNumberFormat="1" applyFont="1" applyFill="1" applyBorder="1" applyAlignment="1">
      <alignment horizontal="center" vertical="center"/>
    </xf>
    <xf numFmtId="166" fontId="2" fillId="11" borderId="3" xfId="2" applyNumberFormat="1" applyFont="1" applyFill="1" applyBorder="1" applyAlignment="1">
      <alignment horizontal="center" vertical="center"/>
    </xf>
    <xf numFmtId="166" fontId="2" fillId="11" borderId="1" xfId="2" applyNumberFormat="1" applyFont="1" applyFill="1" applyBorder="1" applyAlignment="1">
      <alignment horizontal="center" vertical="center"/>
    </xf>
    <xf numFmtId="166" fontId="2" fillId="12" borderId="9" xfId="2" applyNumberFormat="1" applyFont="1" applyFill="1" applyBorder="1" applyAlignment="1">
      <alignment horizontal="center" vertical="center"/>
    </xf>
    <xf numFmtId="166" fontId="2" fillId="12" borderId="10" xfId="2" applyNumberFormat="1" applyFont="1" applyFill="1" applyBorder="1" applyAlignment="1">
      <alignment horizontal="center" vertical="center"/>
    </xf>
    <xf numFmtId="166" fontId="2" fillId="12" borderId="3" xfId="2" applyNumberFormat="1" applyFont="1" applyFill="1" applyBorder="1" applyAlignment="1">
      <alignment horizontal="center" vertical="center"/>
    </xf>
    <xf numFmtId="3" fontId="2" fillId="11" borderId="9" xfId="2" applyNumberFormat="1" applyFont="1" applyFill="1" applyBorder="1" applyAlignment="1">
      <alignment horizontal="center" vertical="center"/>
    </xf>
    <xf numFmtId="3" fontId="2" fillId="11" borderId="10" xfId="2" applyNumberFormat="1" applyFont="1" applyFill="1" applyBorder="1" applyAlignment="1">
      <alignment horizontal="center" vertical="center"/>
    </xf>
    <xf numFmtId="3" fontId="2" fillId="11" borderId="3" xfId="2" applyNumberFormat="1" applyFont="1" applyFill="1" applyBorder="1" applyAlignment="1">
      <alignment horizontal="center" vertical="center"/>
    </xf>
    <xf numFmtId="3" fontId="2" fillId="12" borderId="9" xfId="2" applyNumberFormat="1" applyFont="1" applyFill="1" applyBorder="1" applyAlignment="1">
      <alignment horizontal="center" vertical="center"/>
    </xf>
    <xf numFmtId="3" fontId="2" fillId="12" borderId="10" xfId="2" applyNumberFormat="1" applyFont="1" applyFill="1" applyBorder="1" applyAlignment="1">
      <alignment horizontal="center" vertical="center"/>
    </xf>
    <xf numFmtId="3" fontId="2" fillId="12" borderId="3" xfId="2" applyNumberFormat="1" applyFont="1" applyFill="1" applyBorder="1" applyAlignment="1">
      <alignment horizontal="center" vertical="center"/>
    </xf>
    <xf numFmtId="0" fontId="18" fillId="14" borderId="9" xfId="2" applyFont="1" applyFill="1" applyBorder="1" applyAlignment="1">
      <alignment horizontal="left" vertical="center"/>
    </xf>
    <xf numFmtId="0" fontId="18" fillId="14" borderId="10" xfId="2" applyFont="1" applyFill="1" applyBorder="1" applyAlignment="1">
      <alignment horizontal="left" vertical="center"/>
    </xf>
    <xf numFmtId="0" fontId="18" fillId="14" borderId="3" xfId="2" applyFont="1" applyFill="1" applyBorder="1" applyAlignment="1">
      <alignment horizontal="left" vertical="center"/>
    </xf>
    <xf numFmtId="0" fontId="7"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11" fillId="3" borderId="1" xfId="0" applyFont="1" applyFill="1" applyBorder="1" applyAlignment="1">
      <alignment horizontal="center" vertical="center"/>
    </xf>
    <xf numFmtId="0" fontId="9" fillId="3" borderId="1"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4" xfId="0" applyFont="1" applyFill="1" applyBorder="1" applyAlignment="1">
      <alignment horizontal="center" vertical="center"/>
    </xf>
    <xf numFmtId="0" fontId="13" fillId="6" borderId="9" xfId="0" applyFont="1" applyFill="1" applyBorder="1" applyAlignment="1">
      <alignment horizontal="center" vertical="center" wrapText="1"/>
    </xf>
    <xf numFmtId="0" fontId="13" fillId="6" borderId="10"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3" fillId="3" borderId="9" xfId="0" applyFont="1" applyFill="1" applyBorder="1" applyAlignment="1">
      <alignment horizontal="center"/>
    </xf>
    <xf numFmtId="0" fontId="13" fillId="3" borderId="3" xfId="0" applyFont="1" applyFill="1" applyBorder="1" applyAlignment="1">
      <alignment horizontal="center"/>
    </xf>
    <xf numFmtId="0" fontId="13" fillId="6" borderId="1" xfId="0" applyFont="1" applyFill="1" applyBorder="1" applyAlignment="1">
      <alignment horizontal="center" vertical="center" wrapText="1"/>
    </xf>
    <xf numFmtId="0" fontId="21" fillId="3" borderId="1" xfId="0" applyFont="1" applyFill="1" applyBorder="1" applyAlignment="1">
      <alignment horizontal="center"/>
    </xf>
    <xf numFmtId="0" fontId="7" fillId="3" borderId="1" xfId="0" applyFont="1" applyFill="1" applyBorder="1" applyAlignment="1">
      <alignment horizontal="center"/>
    </xf>
    <xf numFmtId="0" fontId="22" fillId="16" borderId="1" xfId="0" applyFont="1" applyFill="1" applyBorder="1" applyAlignment="1">
      <alignment horizontal="center" vertical="center" wrapText="1"/>
    </xf>
    <xf numFmtId="0" fontId="22" fillId="17" borderId="1" xfId="0" applyFont="1" applyFill="1" applyBorder="1" applyAlignment="1">
      <alignment horizontal="center" vertical="center" wrapText="1"/>
    </xf>
    <xf numFmtId="0" fontId="22" fillId="18" borderId="1" xfId="0" applyFont="1" applyFill="1" applyBorder="1" applyAlignment="1">
      <alignment horizontal="center" vertical="center" wrapText="1"/>
    </xf>
    <xf numFmtId="0" fontId="22" fillId="19" borderId="1" xfId="0" applyFont="1" applyFill="1" applyBorder="1" applyAlignment="1">
      <alignment horizontal="center" vertical="center" wrapText="1"/>
    </xf>
    <xf numFmtId="0" fontId="22" fillId="20" borderId="1" xfId="0" applyFont="1" applyFill="1" applyBorder="1" applyAlignment="1">
      <alignment horizontal="center" vertical="center" wrapText="1"/>
    </xf>
    <xf numFmtId="164" fontId="23" fillId="15" borderId="1" xfId="0" applyNumberFormat="1" applyFont="1" applyFill="1" applyBorder="1" applyAlignment="1">
      <alignment horizontal="center" vertical="center"/>
    </xf>
    <xf numFmtId="0" fontId="23" fillId="15" borderId="1" xfId="0" applyFont="1" applyFill="1" applyBorder="1" applyAlignment="1">
      <alignment horizontal="center" vertical="center"/>
    </xf>
    <xf numFmtId="0" fontId="0" fillId="4" borderId="1" xfId="0" applyNumberFormat="1" applyFill="1" applyBorder="1" applyAlignment="1">
      <alignment horizontal="center" vertical="center"/>
    </xf>
    <xf numFmtId="0" fontId="24" fillId="5" borderId="1"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3" xfId="0" applyFont="1" applyFill="1" applyBorder="1" applyAlignment="1">
      <alignment horizontal="center" vertical="center"/>
    </xf>
    <xf numFmtId="0" fontId="25" fillId="21" borderId="0" xfId="0" applyFont="1" applyFill="1"/>
  </cellXfs>
  <cellStyles count="3">
    <cellStyle name="Normal" xfId="0" builtinId="0"/>
    <cellStyle name="Normal 2" xfId="1" xr:uid="{B3E28E6C-5194-4247-8F80-FFFCDA36A4F1}"/>
    <cellStyle name="Normal 3" xfId="2" xr:uid="{A3F658EA-76AE-43AE-99F1-DC558B9BF6B1}"/>
  </cellStyles>
  <dxfs count="4832">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ont>
        <color theme="1" tint="0.14999847407452621"/>
      </font>
    </dxf>
    <dxf>
      <font>
        <name val="Times New Roman"/>
        <family val="1"/>
        <scheme val="none"/>
      </font>
    </dxf>
    <dxf>
      <font>
        <sz val="12"/>
      </font>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ont>
        <color theme="1" tint="0.14999847407452621"/>
      </font>
    </dxf>
    <dxf>
      <font>
        <name val="Times New Roman"/>
        <family val="1"/>
        <scheme val="none"/>
      </font>
    </dxf>
    <dxf>
      <font>
        <sz val="12"/>
      </font>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ont>
        <color theme="1" tint="0.14999847407452621"/>
      </font>
    </dxf>
    <dxf>
      <font>
        <name val="Times New Roman"/>
        <family val="1"/>
        <scheme val="none"/>
      </font>
    </dxf>
    <dxf>
      <font>
        <sz val="12"/>
      </font>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ont>
        <color theme="1" tint="0.14999847407452621"/>
      </font>
    </dxf>
    <dxf>
      <font>
        <name val="Times New Roman"/>
        <family val="1"/>
        <scheme val="none"/>
      </font>
    </dxf>
    <dxf>
      <font>
        <sz val="12"/>
      </font>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ont>
        <color theme="1" tint="0.14999847407452621"/>
      </font>
    </dxf>
    <dxf>
      <font>
        <name val="Times New Roman"/>
        <family val="1"/>
        <scheme val="none"/>
      </font>
    </dxf>
    <dxf>
      <font>
        <sz val="12"/>
      </font>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ont>
        <color theme="1" tint="0.14999847407452621"/>
      </font>
    </dxf>
    <dxf>
      <font>
        <name val="Times New Roman"/>
        <family val="1"/>
        <scheme val="none"/>
      </font>
    </dxf>
    <dxf>
      <font>
        <sz val="12"/>
      </font>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ont>
        <color theme="1" tint="0.14999847407452621"/>
      </font>
    </dxf>
    <dxf>
      <font>
        <name val="Times New Roman"/>
        <family val="1"/>
        <scheme val="none"/>
      </font>
    </dxf>
    <dxf>
      <font>
        <sz val="12"/>
      </font>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ont>
        <color theme="1" tint="0.14999847407452621"/>
      </font>
    </dxf>
    <dxf>
      <font>
        <name val="Times New Roman"/>
        <family val="1"/>
        <scheme val="none"/>
      </font>
    </dxf>
    <dxf>
      <font>
        <sz val="12"/>
      </font>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ont>
        <color theme="1" tint="0.14999847407452621"/>
      </font>
    </dxf>
    <dxf>
      <font>
        <name val="Times New Roman"/>
        <family val="1"/>
        <scheme val="none"/>
      </font>
    </dxf>
    <dxf>
      <font>
        <sz val="12"/>
      </font>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ont>
        <color theme="1" tint="0.14999847407452621"/>
      </font>
    </dxf>
    <dxf>
      <font>
        <name val="Times New Roman"/>
        <family val="1"/>
        <scheme val="none"/>
      </font>
    </dxf>
    <dxf>
      <font>
        <sz val="12"/>
      </font>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ont>
        <color theme="1" tint="0.14999847407452621"/>
      </font>
    </dxf>
    <dxf>
      <font>
        <name val="Times New Roman"/>
        <family val="1"/>
        <scheme val="none"/>
      </font>
    </dxf>
    <dxf>
      <font>
        <sz val="12"/>
      </font>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ont>
        <color theme="1" tint="0.14999847407452621"/>
      </font>
    </dxf>
    <dxf>
      <font>
        <name val="Times New Roman"/>
        <family val="1"/>
        <scheme val="none"/>
      </font>
    </dxf>
    <dxf>
      <font>
        <sz val="12"/>
      </font>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ont>
        <color theme="1" tint="0.14999847407452621"/>
      </font>
    </dxf>
    <dxf>
      <font>
        <name val="Times New Roman"/>
        <family val="1"/>
        <scheme val="none"/>
      </font>
    </dxf>
    <dxf>
      <font>
        <sz val="12"/>
      </font>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ont>
        <color theme="1" tint="0.14999847407452621"/>
      </font>
    </dxf>
    <dxf>
      <font>
        <name val="Times New Roman"/>
        <family val="1"/>
        <scheme val="none"/>
      </font>
    </dxf>
    <dxf>
      <font>
        <sz val="12"/>
      </font>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ont>
        <color theme="1" tint="0.14999847407452621"/>
      </font>
    </dxf>
    <dxf>
      <font>
        <name val="Times New Roman"/>
        <family val="1"/>
        <scheme val="none"/>
      </font>
    </dxf>
    <dxf>
      <font>
        <sz val="12"/>
      </font>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bgColor theme="6"/>
        </patternFill>
      </fill>
    </dxf>
    <dxf>
      <fill>
        <patternFill>
          <bgColor theme="6"/>
        </patternFill>
      </fill>
    </dxf>
    <dxf>
      <font>
        <color theme="1" tint="4.9989318521683403E-2"/>
      </font>
    </dxf>
    <dxf>
      <font>
        <color theme="1" tint="4.9989318521683403E-2"/>
      </font>
    </dxf>
    <dxf>
      <font>
        <name val="Times New Roman"/>
        <family val="1"/>
        <scheme val="none"/>
      </font>
    </dxf>
    <dxf>
      <font>
        <name val="Times New Roman"/>
        <family val="1"/>
        <scheme val="none"/>
      </font>
    </dxf>
    <dxf>
      <font>
        <sz val="12"/>
      </font>
    </dxf>
    <dxf>
      <font>
        <sz val="12"/>
      </font>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fill>
        <patternFill patternType="solid">
          <bgColor theme="6" tint="0.79998168889431442"/>
        </patternFill>
      </fill>
    </dxf>
    <dxf>
      <fill>
        <patternFill patternType="solid">
          <bgColor theme="6" tint="0.79998168889431442"/>
        </patternFill>
      </fill>
    </dxf>
    <dxf>
      <fill>
        <patternFill>
          <bgColor theme="6" tint="0.59999389629810485"/>
        </patternFill>
      </fill>
    </dxf>
    <dxf>
      <fill>
        <patternFill>
          <bgColor theme="6" tint="0.59999389629810485"/>
        </patternFill>
      </fill>
    </dxf>
    <dxf>
      <font>
        <sz val="12"/>
      </font>
    </dxf>
    <dxf>
      <font>
        <name val="Times New Roman"/>
        <family val="1"/>
        <scheme val="none"/>
      </font>
    </dxf>
    <dxf>
      <font>
        <color theme="1" tint="0.14999847407452621"/>
      </font>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patternType="solid">
          <bgColor theme="6" tint="0.79998168889431442"/>
        </patternFill>
      </fill>
    </dxf>
    <dxf>
      <fill>
        <patternFill patternType="solid">
          <bgColor theme="6" tint="0.79998168889431442"/>
        </patternFill>
      </fill>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font>
        <sz val="12"/>
      </font>
    </dxf>
    <dxf>
      <font>
        <sz val="12"/>
      </font>
    </dxf>
    <dxf>
      <font>
        <name val="Times New Roman"/>
        <family val="1"/>
        <scheme val="none"/>
      </font>
    </dxf>
    <dxf>
      <font>
        <name val="Times New Roman"/>
        <family val="1"/>
        <scheme val="none"/>
      </font>
    </dxf>
    <dxf>
      <font>
        <color theme="1" tint="4.9989318521683403E-2"/>
      </font>
    </dxf>
    <dxf>
      <font>
        <color theme="1" tint="4.9989318521683403E-2"/>
      </font>
    </dxf>
    <dxf>
      <fill>
        <patternFill>
          <bgColor theme="6"/>
        </patternFill>
      </fill>
    </dxf>
    <dxf>
      <fill>
        <patternFill>
          <bgColor theme="6"/>
        </patternFill>
      </fill>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tint="0.59999389629810485"/>
        </patternFill>
      </fill>
    </dxf>
    <dxf>
      <fill>
        <patternFill>
          <bgColor theme="6" tint="0.59999389629810485"/>
        </patternFill>
      </fill>
    </dxf>
    <dxf>
      <fill>
        <patternFill patternType="solid">
          <bgColor theme="6" tint="0.79998168889431442"/>
        </patternFill>
      </fill>
    </dxf>
    <dxf>
      <fill>
        <patternFill patternType="solid">
          <bgColor theme="6" tint="0.79998168889431442"/>
        </patternFill>
      </fill>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font>
        <sz val="12"/>
      </font>
    </dxf>
    <dxf>
      <font>
        <sz val="12"/>
      </font>
    </dxf>
    <dxf>
      <font>
        <name val="Times New Roman"/>
        <family val="1"/>
        <scheme val="none"/>
      </font>
    </dxf>
    <dxf>
      <font>
        <name val="Times New Roman"/>
        <family val="1"/>
        <scheme val="none"/>
      </font>
    </dxf>
    <dxf>
      <font>
        <color theme="1" tint="4.9989318521683403E-2"/>
      </font>
    </dxf>
    <dxf>
      <font>
        <color theme="1" tint="4.9989318521683403E-2"/>
      </font>
    </dxf>
    <dxf>
      <fill>
        <patternFill>
          <bgColor theme="6"/>
        </patternFill>
      </fill>
    </dxf>
    <dxf>
      <fill>
        <patternFill>
          <bgColor theme="6"/>
        </patternFill>
      </fill>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fill>
        <patternFill>
          <bgColor theme="6" tint="0.59999389629810485"/>
        </patternFill>
      </fill>
    </dxf>
    <dxf>
      <fill>
        <patternFill>
          <bgColor theme="6" tint="0.59999389629810485"/>
        </patternFill>
      </fill>
    </dxf>
    <dxf>
      <fill>
        <patternFill patternType="solid">
          <bgColor theme="6" tint="0.79998168889431442"/>
        </patternFill>
      </fill>
    </dxf>
    <dxf>
      <fill>
        <patternFill patternType="solid">
          <bgColor theme="6" tint="0.79998168889431442"/>
        </patternFill>
      </fill>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font>
        <sz val="12"/>
      </font>
    </dxf>
    <dxf>
      <font>
        <sz val="12"/>
      </font>
    </dxf>
    <dxf>
      <font>
        <name val="Times New Roman"/>
        <family val="1"/>
        <scheme val="none"/>
      </font>
    </dxf>
    <dxf>
      <font>
        <name val="Times New Roman"/>
        <family val="1"/>
        <scheme val="none"/>
      </font>
    </dxf>
    <dxf>
      <font>
        <color theme="1" tint="4.9989318521683403E-2"/>
      </font>
    </dxf>
    <dxf>
      <font>
        <color theme="1" tint="4.9989318521683403E-2"/>
      </font>
    </dxf>
    <dxf>
      <fill>
        <patternFill>
          <bgColor theme="6"/>
        </patternFill>
      </fill>
    </dxf>
    <dxf>
      <fill>
        <patternFill>
          <bgColor theme="6"/>
        </patternFill>
      </fill>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fill>
        <patternFill>
          <bgColor theme="6" tint="0.59999389629810485"/>
        </patternFill>
      </fill>
    </dxf>
    <dxf>
      <fill>
        <patternFill>
          <bgColor theme="6" tint="0.59999389629810485"/>
        </patternFill>
      </fill>
    </dxf>
    <dxf>
      <fill>
        <patternFill patternType="solid">
          <bgColor theme="6" tint="0.79998168889431442"/>
        </patternFill>
      </fill>
    </dxf>
    <dxf>
      <fill>
        <patternFill patternType="solid">
          <bgColor theme="6" tint="0.79998168889431442"/>
        </patternFill>
      </fill>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font>
        <sz val="12"/>
      </font>
    </dxf>
    <dxf>
      <font>
        <sz val="12"/>
      </font>
    </dxf>
    <dxf>
      <font>
        <name val="Times New Roman"/>
        <family val="1"/>
        <scheme val="none"/>
      </font>
    </dxf>
    <dxf>
      <font>
        <name val="Times New Roman"/>
        <family val="1"/>
        <scheme val="none"/>
      </font>
    </dxf>
    <dxf>
      <font>
        <color theme="1" tint="4.9989318521683403E-2"/>
      </font>
    </dxf>
    <dxf>
      <font>
        <color theme="1" tint="4.9989318521683403E-2"/>
      </font>
    </dxf>
    <dxf>
      <fill>
        <patternFill>
          <bgColor theme="6"/>
        </patternFill>
      </fill>
    </dxf>
    <dxf>
      <fill>
        <patternFill>
          <bgColor theme="6"/>
        </patternFill>
      </fill>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tint="0.59999389629810485"/>
        </patternFill>
      </fill>
    </dxf>
    <dxf>
      <fill>
        <patternFill>
          <bgColor theme="6" tint="0.59999389629810485"/>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sz val="12"/>
      </font>
    </dxf>
    <dxf>
      <font>
        <sz val="12"/>
      </font>
    </dxf>
    <dxf>
      <font>
        <name val="Times New Roman"/>
        <family val="1"/>
        <scheme val="none"/>
      </font>
    </dxf>
    <dxf>
      <font>
        <name val="Times New Roman"/>
        <family val="1"/>
        <scheme val="none"/>
      </font>
    </dxf>
    <dxf>
      <font>
        <color theme="1" tint="4.9989318521683403E-2"/>
      </font>
    </dxf>
    <dxf>
      <font>
        <color theme="1" tint="4.9989318521683403E-2"/>
      </font>
    </dxf>
    <dxf>
      <fill>
        <patternFill>
          <bgColor theme="6"/>
        </patternFill>
      </fill>
    </dxf>
    <dxf>
      <fill>
        <patternFill>
          <bgColor theme="6"/>
        </patternFill>
      </fill>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tint="0.59999389629810485"/>
        </patternFill>
      </fill>
    </dxf>
    <dxf>
      <fill>
        <patternFill>
          <bgColor theme="6" tint="0.59999389629810485"/>
        </patternFill>
      </fill>
    </dxf>
    <dxf>
      <fill>
        <patternFill patternType="solid">
          <bgColor theme="6" tint="0.79998168889431442"/>
        </patternFill>
      </fill>
    </dxf>
    <dxf>
      <fill>
        <patternFill patternType="solid">
          <bgColor theme="6" tint="0.79998168889431442"/>
        </patternFill>
      </fill>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font>
        <sz val="12"/>
      </font>
    </dxf>
    <dxf>
      <font>
        <sz val="12"/>
      </font>
    </dxf>
    <dxf>
      <font>
        <name val="Times New Roman"/>
        <family val="1"/>
        <scheme val="none"/>
      </font>
    </dxf>
    <dxf>
      <font>
        <name val="Times New Roman"/>
        <family val="1"/>
        <scheme val="none"/>
      </font>
    </dxf>
    <dxf>
      <font>
        <color theme="1" tint="4.9989318521683403E-2"/>
      </font>
    </dxf>
    <dxf>
      <font>
        <color theme="1" tint="4.9989318521683403E-2"/>
      </font>
    </dxf>
    <dxf>
      <fill>
        <patternFill>
          <bgColor theme="6"/>
        </patternFill>
      </fill>
    </dxf>
    <dxf>
      <fill>
        <patternFill>
          <bgColor theme="6"/>
        </patternFill>
      </fill>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fill>
        <patternFill>
          <bgColor theme="6" tint="0.59999389629810485"/>
        </patternFill>
      </fill>
    </dxf>
    <dxf>
      <fill>
        <patternFill>
          <bgColor theme="6" tint="0.59999389629810485"/>
        </patternFill>
      </fill>
    </dxf>
    <dxf>
      <fill>
        <patternFill patternType="solid">
          <bgColor theme="6" tint="0.79998168889431442"/>
        </patternFill>
      </fill>
    </dxf>
    <dxf>
      <fill>
        <patternFill patternType="solid">
          <bgColor theme="6" tint="0.79998168889431442"/>
        </patternFill>
      </fill>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font>
        <sz val="12"/>
      </font>
    </dxf>
    <dxf>
      <font>
        <sz val="12"/>
      </font>
    </dxf>
    <dxf>
      <font>
        <name val="Times New Roman"/>
        <family val="1"/>
        <scheme val="none"/>
      </font>
    </dxf>
    <dxf>
      <font>
        <name val="Times New Roman"/>
        <family val="1"/>
        <scheme val="none"/>
      </font>
    </dxf>
    <dxf>
      <font>
        <color theme="1" tint="4.9989318521683403E-2"/>
      </font>
    </dxf>
    <dxf>
      <font>
        <color theme="1" tint="4.9989318521683403E-2"/>
      </font>
    </dxf>
    <dxf>
      <fill>
        <patternFill>
          <bgColor theme="6"/>
        </patternFill>
      </fill>
    </dxf>
    <dxf>
      <fill>
        <patternFill>
          <bgColor theme="6"/>
        </patternFill>
      </fill>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fill>
        <patternFill>
          <bgColor theme="6" tint="0.59999389629810485"/>
        </patternFill>
      </fill>
    </dxf>
    <dxf>
      <fill>
        <patternFill>
          <bgColor theme="6" tint="0.59999389629810485"/>
        </patternFill>
      </fill>
    </dxf>
    <dxf>
      <fill>
        <patternFill patternType="solid">
          <bgColor theme="6" tint="0.79998168889431442"/>
        </patternFill>
      </fill>
    </dxf>
    <dxf>
      <fill>
        <patternFill patternType="solid">
          <bgColor theme="6" tint="0.79998168889431442"/>
        </patternFill>
      </fill>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font>
        <sz val="12"/>
      </font>
    </dxf>
    <dxf>
      <font>
        <sz val="12"/>
      </font>
    </dxf>
    <dxf>
      <font>
        <name val="Times New Roman"/>
        <family val="1"/>
        <scheme val="none"/>
      </font>
    </dxf>
    <dxf>
      <font>
        <name val="Times New Roman"/>
        <family val="1"/>
        <scheme val="none"/>
      </font>
    </dxf>
    <dxf>
      <font>
        <color theme="1" tint="4.9989318521683403E-2"/>
      </font>
    </dxf>
    <dxf>
      <font>
        <color theme="1" tint="4.9989318521683403E-2"/>
      </font>
    </dxf>
    <dxf>
      <fill>
        <patternFill>
          <bgColor theme="6"/>
        </patternFill>
      </fill>
    </dxf>
    <dxf>
      <fill>
        <patternFill>
          <bgColor theme="6"/>
        </patternFill>
      </fill>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fill>
        <patternFill>
          <bgColor theme="6" tint="0.59999389629810485"/>
        </patternFill>
      </fill>
    </dxf>
    <dxf>
      <fill>
        <patternFill>
          <bgColor theme="6" tint="0.59999389629810485"/>
        </patternFill>
      </fill>
    </dxf>
    <dxf>
      <fill>
        <patternFill patternType="solid">
          <bgColor theme="6" tint="0.79998168889431442"/>
        </patternFill>
      </fill>
    </dxf>
    <dxf>
      <fill>
        <patternFill patternType="solid">
          <bgColor theme="6" tint="0.79998168889431442"/>
        </patternFill>
      </fill>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font>
        <sz val="12"/>
      </font>
    </dxf>
    <dxf>
      <font>
        <sz val="12"/>
      </font>
    </dxf>
    <dxf>
      <font>
        <name val="Times New Roman"/>
        <family val="1"/>
        <scheme val="none"/>
      </font>
    </dxf>
    <dxf>
      <font>
        <name val="Times New Roman"/>
        <family val="1"/>
        <scheme val="none"/>
      </font>
    </dxf>
    <dxf>
      <font>
        <color theme="1" tint="4.9989318521683403E-2"/>
      </font>
    </dxf>
    <dxf>
      <font>
        <color theme="1" tint="4.9989318521683403E-2"/>
      </font>
    </dxf>
    <dxf>
      <fill>
        <patternFill>
          <bgColor theme="6"/>
        </patternFill>
      </fill>
    </dxf>
    <dxf>
      <fill>
        <patternFill>
          <bgColor theme="6"/>
        </patternFill>
      </fill>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font>
        <strike val="0"/>
        <outline val="0"/>
        <shadow val="0"/>
        <u val="none"/>
        <vertAlign val="baseline"/>
        <sz val="11"/>
        <name val="Times New Roman"/>
        <family val="1"/>
        <scheme val="none"/>
      </font>
      <alignment horizontal="center" vertical="center" textRotation="0" wrapText="0" indent="0" justifyLastLine="0" shrinkToFit="0" readingOrder="0"/>
    </dxf>
    <dxf>
      <font>
        <strike val="0"/>
        <outline val="0"/>
        <shadow val="0"/>
        <u val="none"/>
        <vertAlign val="baseline"/>
        <sz val="11"/>
        <name val="Times New Roman"/>
        <family val="1"/>
        <scheme val="none"/>
      </font>
      <alignment horizontal="center" vertical="center" textRotation="0" wrapText="0" indent="0" justifyLastLine="0" shrinkToFit="0" readingOrder="0"/>
    </dxf>
    <dxf>
      <font>
        <strike val="0"/>
        <outline val="0"/>
        <shadow val="0"/>
        <u val="none"/>
        <vertAlign val="baseline"/>
        <sz val="11"/>
        <name val="Times New Roman"/>
        <family val="1"/>
        <scheme val="none"/>
      </font>
      <alignment horizontal="center" vertical="center" textRotation="0" wrapText="0" indent="0" justifyLastLine="0" shrinkToFit="0" readingOrder="0"/>
    </dxf>
    <dxf>
      <font>
        <strike val="0"/>
        <outline val="0"/>
        <shadow val="0"/>
        <u val="none"/>
        <vertAlign val="baseline"/>
        <sz val="11"/>
        <name val="Times New Roman"/>
        <family val="1"/>
        <scheme val="none"/>
      </font>
      <numFmt numFmtId="164" formatCode="[$$-C09]#,##0.00"/>
      <alignment horizontal="center" vertical="center" textRotation="0" wrapText="0" indent="0" justifyLastLine="0" shrinkToFit="0" readingOrder="0"/>
    </dxf>
    <dxf>
      <font>
        <strike val="0"/>
        <outline val="0"/>
        <shadow val="0"/>
        <u val="none"/>
        <vertAlign val="baseline"/>
        <sz val="11"/>
        <name val="Times New Roman"/>
        <family val="1"/>
        <scheme val="none"/>
      </font>
      <alignment horizontal="center" vertical="center" textRotation="0" wrapText="0" indent="0" justifyLastLine="0" shrinkToFit="0" readingOrder="0"/>
    </dxf>
    <dxf>
      <font>
        <strike val="0"/>
        <outline val="0"/>
        <shadow val="0"/>
        <u val="none"/>
        <vertAlign val="baseline"/>
        <sz val="11"/>
        <name val="Times New Roman"/>
        <family val="1"/>
        <scheme val="none"/>
      </font>
      <alignment horizontal="center" vertical="center" textRotation="0" wrapText="0" indent="0" justifyLastLine="0" shrinkToFit="0" readingOrder="0"/>
    </dxf>
    <dxf>
      <font>
        <strike val="0"/>
        <outline val="0"/>
        <shadow val="0"/>
        <u val="none"/>
        <vertAlign val="baseline"/>
        <sz val="11"/>
        <name val="Times New Roman"/>
        <family val="1"/>
        <scheme val="none"/>
      </font>
      <numFmt numFmtId="164" formatCode="[$$-C09]#,##0.00"/>
      <alignment horizontal="center" vertical="center" textRotation="0" wrapText="0" indent="0" justifyLastLine="0" shrinkToFit="0" readingOrder="0"/>
    </dxf>
    <dxf>
      <font>
        <strike val="0"/>
        <outline val="0"/>
        <shadow val="0"/>
        <u val="none"/>
        <vertAlign val="baseline"/>
        <sz val="11"/>
        <name val="Times New Roman"/>
        <family val="1"/>
        <scheme val="none"/>
      </font>
      <alignment horizontal="center" vertical="center" textRotation="0" wrapText="0" indent="0" justifyLastLine="0" shrinkToFit="0" readingOrder="0"/>
    </dxf>
    <dxf>
      <font>
        <strike val="0"/>
        <outline val="0"/>
        <shadow val="0"/>
        <u val="none"/>
        <vertAlign val="baseline"/>
        <sz val="11"/>
        <name val="Times New Roman"/>
        <family val="1"/>
        <scheme val="none"/>
      </font>
      <alignment horizontal="center" vertical="center" textRotation="0" wrapText="0" indent="0" justifyLastLine="0" shrinkToFit="0" readingOrder="0"/>
    </dxf>
    <dxf>
      <font>
        <strike val="0"/>
        <outline val="0"/>
        <shadow val="0"/>
        <u val="none"/>
        <vertAlign val="baseline"/>
        <sz val="11"/>
        <name val="Times New Roman"/>
        <family val="1"/>
        <scheme val="none"/>
      </font>
      <alignment horizontal="center" vertical="center" textRotation="0" wrapText="0" indent="0" justifyLastLine="0" shrinkToFit="0" readingOrder="0"/>
    </dxf>
    <dxf>
      <font>
        <strike val="0"/>
        <outline val="0"/>
        <shadow val="0"/>
        <u val="none"/>
        <vertAlign val="baseline"/>
        <sz val="11"/>
        <name val="Times New Roman"/>
        <family val="1"/>
        <scheme val="none"/>
      </font>
      <alignment horizontal="center" vertical="center" textRotation="0" wrapText="0" indent="0" justifyLastLine="0" shrinkToFit="0" readingOrder="0"/>
    </dxf>
    <dxf>
      <font>
        <strike val="0"/>
        <outline val="0"/>
        <shadow val="0"/>
        <u val="none"/>
        <vertAlign val="baseline"/>
        <sz val="11"/>
        <name val="Times New Roman"/>
        <family val="1"/>
        <scheme val="none"/>
      </font>
      <numFmt numFmtId="19" formatCode="dd/mm/yyyy"/>
      <alignment horizontal="center" vertical="center" textRotation="0" wrapText="0" indent="0" justifyLastLine="0" shrinkToFit="0" readingOrder="0"/>
    </dxf>
    <dxf>
      <font>
        <strike val="0"/>
        <outline val="0"/>
        <shadow val="0"/>
        <u val="none"/>
        <vertAlign val="baseline"/>
        <sz val="11"/>
        <name val="Times New Roman"/>
        <family val="1"/>
        <scheme val="none"/>
      </font>
      <alignment horizontal="center" vertical="center" textRotation="0" wrapText="0" indent="0" justifyLastLine="0" shrinkToFit="0" readingOrder="0"/>
    </dxf>
    <dxf>
      <font>
        <strike val="0"/>
        <outline val="0"/>
        <shadow val="0"/>
        <u val="none"/>
        <vertAlign val="baseline"/>
        <sz val="11"/>
        <name val="Times New Roman"/>
        <family val="1"/>
        <scheme val="none"/>
      </font>
      <alignment horizontal="center" vertical="center" textRotation="0" wrapText="0" indent="0" justifyLastLine="0" shrinkToFit="0" readingOrder="0"/>
    </dxf>
    <dxf>
      <font>
        <strike val="0"/>
        <outline val="0"/>
        <shadow val="0"/>
        <u val="none"/>
        <vertAlign val="baseline"/>
        <sz val="11"/>
        <name val="Times New Roman"/>
        <family val="1"/>
        <scheme val="none"/>
      </font>
      <alignment horizontal="center" vertical="center" textRotation="0" wrapText="0" indent="0" justifyLastLine="0" shrinkToFit="0" readingOrder="0"/>
    </dxf>
    <dxf>
      <font>
        <b/>
        <i val="0"/>
        <strike val="0"/>
        <condense val="0"/>
        <extend val="0"/>
        <outline val="0"/>
        <shadow val="0"/>
        <u val="none"/>
        <vertAlign val="baseline"/>
        <sz val="12"/>
        <color theme="0"/>
        <name val="Times New Roman"/>
        <family val="1"/>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[RenseeGajipara_Excel_Dashboard.xlsx]Pivot Tables!PivotTable1</c:name>
    <c:fmtId val="2"/>
  </c:pivotSource>
  <c:chart>
    <c:title>
      <c:tx>
        <c:rich>
          <a:bodyPr rot="0" spcFirstLastPara="1" vertOverflow="ellipsis" vert="horz" wrap="square" anchor="ctr" anchorCtr="1"/>
          <a:lstStyle/>
          <a:p>
            <a:pPr algn="ctr">
              <a:defRPr sz="1400" b="0" i="0" u="none" strike="noStrike" kern="1200" spc="0" baseline="0">
                <a:solidFill>
                  <a:schemeClr val="dk1"/>
                </a:solidFill>
                <a:latin typeface="+mn-lt"/>
                <a:ea typeface="+mn-ea"/>
                <a:cs typeface="+mn-cs"/>
              </a:defRPr>
            </a:pPr>
            <a:r>
              <a:rPr lang="en-US">
                <a:latin typeface="Times New Roman" panose="02020603050405020304" pitchFamily="18" charset="0"/>
                <a:cs typeface="Times New Roman" panose="02020603050405020304" pitchFamily="18" charset="0"/>
              </a:rPr>
              <a:t>UNIT SOLD BY REGION</a:t>
            </a:r>
          </a:p>
        </c:rich>
      </c:tx>
      <c:layout>
        <c:manualLayout>
          <c:xMode val="edge"/>
          <c:yMode val="edge"/>
          <c:x val="0.12235294117647059"/>
          <c:y val="3.240740740740740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Tables'!$E$7</c:f>
              <c:strCache>
                <c:ptCount val="1"/>
                <c:pt idx="0">
                  <c:v>Total</c:v>
                </c:pt>
              </c:strCache>
            </c:strRef>
          </c:tx>
          <c:spPr>
            <a:ln w="28575" cap="rnd">
              <a:solidFill>
                <a:schemeClr val="dk1">
                  <a:tint val="88500"/>
                </a:schemeClr>
              </a:solidFill>
              <a:round/>
            </a:ln>
            <a:effectLst/>
          </c:spPr>
          <c:marker>
            <c:symbol val="none"/>
          </c:marker>
          <c:cat>
            <c:strRef>
              <c:f>'Pivot Tables'!$D$8:$D$11</c:f>
              <c:strCache>
                <c:ptCount val="4"/>
                <c:pt idx="0">
                  <c:v>East</c:v>
                </c:pt>
                <c:pt idx="1">
                  <c:v>North</c:v>
                </c:pt>
                <c:pt idx="2">
                  <c:v>South</c:v>
                </c:pt>
                <c:pt idx="3">
                  <c:v>West</c:v>
                </c:pt>
              </c:strCache>
            </c:strRef>
          </c:cat>
          <c:val>
            <c:numRef>
              <c:f>'Pivot Tables'!$E$8:$E$11</c:f>
              <c:numCache>
                <c:formatCode>General</c:formatCode>
                <c:ptCount val="4"/>
                <c:pt idx="0">
                  <c:v>5033</c:v>
                </c:pt>
                <c:pt idx="1">
                  <c:v>5168</c:v>
                </c:pt>
                <c:pt idx="2">
                  <c:v>5432</c:v>
                </c:pt>
                <c:pt idx="3">
                  <c:v>5114</c:v>
                </c:pt>
              </c:numCache>
            </c:numRef>
          </c:val>
          <c:extLst>
            <c:ext xmlns:c16="http://schemas.microsoft.com/office/drawing/2014/chart" uri="{C3380CC4-5D6E-409C-BE32-E72D297353CC}">
              <c16:uniqueId val="{00000000-0FD0-4933-9777-CE1BF5D497A9}"/>
            </c:ext>
          </c:extLst>
        </c:ser>
        <c:dLbls>
          <c:showLegendKey val="0"/>
          <c:showVal val="0"/>
          <c:showCatName val="0"/>
          <c:showSerName val="0"/>
          <c:showPercent val="0"/>
          <c:showBubbleSize val="0"/>
        </c:dLbls>
        <c:axId val="2098752240"/>
        <c:axId val="2098751760"/>
      </c:radarChart>
      <c:catAx>
        <c:axId val="209875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8751760"/>
        <c:crosses val="autoZero"/>
        <c:auto val="1"/>
        <c:lblAlgn val="ctr"/>
        <c:lblOffset val="100"/>
        <c:noMultiLvlLbl val="0"/>
      </c:catAx>
      <c:valAx>
        <c:axId val="20987517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9875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[RenseeGajipara_Excel_Dashboard.xlsx]Pivot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latin typeface="Times New Roman" panose="02020603050405020304" pitchFamily="18" charset="0"/>
                <a:cs typeface="Times New Roman" panose="02020603050405020304" pitchFamily="18" charset="0"/>
              </a:rPr>
              <a:t>SALES BY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w="19050">
            <a:solidFill>
              <a:schemeClr val="lt1"/>
            </a:solidFill>
          </a:ln>
          <a:effectLst/>
        </c:spPr>
        <c:dLbl>
          <c:idx val="0"/>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fld id="{62F0D3CF-B858-4A60-B6CD-20E24BE9893A}" type="PERCENTAGE">
                  <a:rPr lang="en-US">
                    <a:solidFill>
                      <a:schemeClr val="bg1"/>
                    </a:solidFill>
                  </a:rPr>
                  <a:pPr>
                    <a:defRPr>
                      <a:solidFill>
                        <a:schemeClr val="bg1"/>
                      </a:solidFill>
                    </a:defRPr>
                  </a:pPr>
                  <a:t>[PERCENTAGE]</a:t>
                </a:fld>
                <a:endParaRPr lang="en-IN"/>
              </a:p>
            </c:rich>
          </c:tx>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dk1">
              <a:tint val="88500"/>
            </a:schemeClr>
          </a:solidFill>
          <a:ln w="19050">
            <a:solidFill>
              <a:schemeClr val="lt1"/>
            </a:solidFill>
          </a:ln>
          <a:effectLst/>
        </c:spPr>
        <c:dLbl>
          <c:idx val="0"/>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fld id="{8D91FC18-3903-43E9-874D-2ED957443505}" type="PERCENTAGE">
                  <a:rPr lang="en-US"/>
                  <a:pPr>
                    <a:defRPr>
                      <a:solidFill>
                        <a:schemeClr val="bg1"/>
                      </a:solidFill>
                    </a:defRPr>
                  </a:pPr>
                  <a:t>[PERCENTAGE]</a:t>
                </a:fld>
                <a:endParaRPr lang="en-IN"/>
              </a:p>
            </c:rich>
          </c:tx>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dk1">
              <a:tint val="88500"/>
            </a:schemeClr>
          </a:solidFill>
          <a:ln w="19050">
            <a:solidFill>
              <a:schemeClr val="lt1"/>
            </a:solidFill>
          </a:ln>
          <a:effectLst/>
        </c:spPr>
        <c:dLbl>
          <c:idx val="0"/>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fld id="{3AE3E597-8FFB-49A7-BABF-50F1A777E02C}" type="PERCENTAGE">
                  <a:rPr lang="en-US">
                    <a:solidFill>
                      <a:schemeClr val="bg1"/>
                    </a:solidFill>
                  </a:rPr>
                  <a:pPr>
                    <a:defRPr>
                      <a:solidFill>
                        <a:schemeClr val="bg1"/>
                      </a:solidFill>
                    </a:defRPr>
                  </a:pPr>
                  <a:t>[PERCENTAGE]</a:t>
                </a:fld>
                <a:endParaRPr lang="en-IN"/>
              </a:p>
            </c:rich>
          </c:tx>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6088298802029433"/>
          <c:y val="0.15272446369681458"/>
          <c:w val="0.69284388880090586"/>
          <c:h val="0.67199619448728787"/>
        </c:manualLayout>
      </c:layout>
      <c:pieChart>
        <c:varyColors val="1"/>
        <c:ser>
          <c:idx val="0"/>
          <c:order val="0"/>
          <c:tx>
            <c:strRef>
              <c:f>'Pivot Tables'!$E$15</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68BE-4270-B4ED-8054D9666D72}"/>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68BE-4270-B4ED-8054D9666D72}"/>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68BE-4270-B4ED-8054D9666D72}"/>
              </c:ext>
            </c:extLst>
          </c:dPt>
          <c:dLbls>
            <c:dLbl>
              <c:idx val="0"/>
              <c:tx>
                <c:rich>
                  <a:bodyPr/>
                  <a:lstStyle/>
                  <a:p>
                    <a:fld id="{62F0D3CF-B858-4A60-B6CD-20E24BE9893A}" type="PERCENTAGE">
                      <a:rPr lang="en-US">
                        <a:solidFill>
                          <a:schemeClr val="bg1"/>
                        </a:solidFill>
                      </a:rPr>
                      <a:pPr/>
                      <a:t>[PERCENTAGE]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8BE-4270-B4ED-8054D9666D72}"/>
                </c:ext>
              </c:extLst>
            </c:dLbl>
            <c:dLbl>
              <c:idx val="1"/>
              <c:tx>
                <c:rich>
                  <a:bodyPr/>
                  <a:lstStyle/>
                  <a:p>
                    <a:fld id="{8D91FC18-3903-43E9-874D-2ED957443505}" type="PERCENTAGE">
                      <a:rPr lang="en-US"/>
                      <a:pPr/>
                      <a:t>[PERCENTAGE]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8BE-4270-B4ED-8054D9666D72}"/>
                </c:ext>
              </c:extLst>
            </c:dLbl>
            <c:dLbl>
              <c:idx val="2"/>
              <c:tx>
                <c:rich>
                  <a:bodyPr/>
                  <a:lstStyle/>
                  <a:p>
                    <a:fld id="{3AE3E597-8FFB-49A7-BABF-50F1A777E02C}" type="PERCENTAGE">
                      <a:rPr lang="en-US">
                        <a:solidFill>
                          <a:schemeClr val="bg1"/>
                        </a:solidFill>
                      </a:rPr>
                      <a:pPr/>
                      <a:t>[PERCENTAGE]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8BE-4270-B4ED-8054D9666D72}"/>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Tables'!$D$16:$D$18</c:f>
              <c:strCache>
                <c:ptCount val="3"/>
                <c:pt idx="0">
                  <c:v>Furniture</c:v>
                </c:pt>
                <c:pt idx="1">
                  <c:v>Office Supplies</c:v>
                </c:pt>
                <c:pt idx="2">
                  <c:v>Technology</c:v>
                </c:pt>
              </c:strCache>
            </c:strRef>
          </c:cat>
          <c:val>
            <c:numRef>
              <c:f>'Pivot Tables'!$E$16:$E$18</c:f>
              <c:numCache>
                <c:formatCode>[$$-C09]#,##0.00</c:formatCode>
                <c:ptCount val="3"/>
                <c:pt idx="0">
                  <c:v>1449769.1900000009</c:v>
                </c:pt>
                <c:pt idx="1">
                  <c:v>1331982.9599999993</c:v>
                </c:pt>
                <c:pt idx="2">
                  <c:v>1423927.8000000012</c:v>
                </c:pt>
              </c:numCache>
            </c:numRef>
          </c:val>
          <c:extLst>
            <c:ext xmlns:c16="http://schemas.microsoft.com/office/drawing/2014/chart" uri="{C3380CC4-5D6E-409C-BE32-E72D297353CC}">
              <c16:uniqueId val="{00000006-68BE-4270-B4ED-8054D9666D7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[RenseeGajipara_Excel_Dashboard.xlsx]Pivot Tables!PivotTable11</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latin typeface="Times New Roman" panose="02020603050405020304" pitchFamily="18" charset="0"/>
                <a:cs typeface="Times New Roman" panose="02020603050405020304" pitchFamily="18" charset="0"/>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Tables'!$L$7</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cat>
            <c:strRef>
              <c:f>'Pivot Tables'!$K$8:$K$19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Tables'!$L$8:$L$19</c:f>
              <c:numCache>
                <c:formatCode>[$$-C09]#,##0.00</c:formatCode>
                <c:ptCount val="12"/>
                <c:pt idx="0">
                  <c:v>386230.21000000025</c:v>
                </c:pt>
                <c:pt idx="1">
                  <c:v>314886.31999999989</c:v>
                </c:pt>
                <c:pt idx="2">
                  <c:v>354245.53000000014</c:v>
                </c:pt>
                <c:pt idx="3">
                  <c:v>324977.45999999985</c:v>
                </c:pt>
                <c:pt idx="4">
                  <c:v>312568.41000000003</c:v>
                </c:pt>
                <c:pt idx="5">
                  <c:v>350676.08</c:v>
                </c:pt>
                <c:pt idx="6">
                  <c:v>394713.94999999984</c:v>
                </c:pt>
                <c:pt idx="7">
                  <c:v>369977.31000000017</c:v>
                </c:pt>
                <c:pt idx="8">
                  <c:v>317486.59999999986</c:v>
                </c:pt>
                <c:pt idx="9">
                  <c:v>357677.77000000014</c:v>
                </c:pt>
                <c:pt idx="10">
                  <c:v>350833.83000000019</c:v>
                </c:pt>
                <c:pt idx="11">
                  <c:v>371406.47999999986</c:v>
                </c:pt>
              </c:numCache>
            </c:numRef>
          </c:val>
          <c:smooth val="0"/>
          <c:extLst>
            <c:ext xmlns:c16="http://schemas.microsoft.com/office/drawing/2014/chart" uri="{C3380CC4-5D6E-409C-BE32-E72D297353CC}">
              <c16:uniqueId val="{00000000-FF08-4C98-B4A0-5842A6E305C9}"/>
            </c:ext>
          </c:extLst>
        </c:ser>
        <c:dLbls>
          <c:showLegendKey val="0"/>
          <c:showVal val="0"/>
          <c:showCatName val="0"/>
          <c:showSerName val="0"/>
          <c:showPercent val="0"/>
          <c:showBubbleSize val="0"/>
        </c:dLbls>
        <c:marker val="1"/>
        <c:smooth val="0"/>
        <c:axId val="1778957952"/>
        <c:axId val="1778956992"/>
      </c:lineChart>
      <c:catAx>
        <c:axId val="177895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78956992"/>
        <c:crosses val="autoZero"/>
        <c:auto val="1"/>
        <c:lblAlgn val="ctr"/>
        <c:lblOffset val="100"/>
        <c:noMultiLvlLbl val="0"/>
      </c:catAx>
      <c:valAx>
        <c:axId val="1778956992"/>
        <c:scaling>
          <c:orientation val="minMax"/>
        </c:scaling>
        <c:delete val="0"/>
        <c:axPos val="l"/>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7895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[RenseeGajipara_Excel_Dashboard.xlsx]Pivot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latin typeface="Times New Roman" panose="02020603050405020304" pitchFamily="18" charset="0"/>
                <a:cs typeface="Times New Roman" panose="02020603050405020304" pitchFamily="18" charset="0"/>
              </a:rPr>
              <a:t>TOP 10 PROFITABLE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Tables'!$E$22</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Tables'!$D$23:$D$32</c:f>
              <c:strCache>
                <c:ptCount val="10"/>
                <c:pt idx="0">
                  <c:v>Rahul Patel</c:v>
                </c:pt>
                <c:pt idx="1">
                  <c:v>Kavya Verma</c:v>
                </c:pt>
                <c:pt idx="2">
                  <c:v>Rahul Kapoor</c:v>
                </c:pt>
                <c:pt idx="3">
                  <c:v>Pooja Verma</c:v>
                </c:pt>
                <c:pt idx="4">
                  <c:v>Ishita Nair</c:v>
                </c:pt>
                <c:pt idx="5">
                  <c:v>Aditya Shah</c:v>
                </c:pt>
                <c:pt idx="6">
                  <c:v>Pooja Nair</c:v>
                </c:pt>
                <c:pt idx="7">
                  <c:v>Aditya Kapoor</c:v>
                </c:pt>
                <c:pt idx="8">
                  <c:v>Rahul Shah</c:v>
                </c:pt>
                <c:pt idx="9">
                  <c:v>Aarav Desai</c:v>
                </c:pt>
              </c:strCache>
            </c:strRef>
          </c:cat>
          <c:val>
            <c:numRef>
              <c:f>'Pivot Tables'!$E$23:$E$32</c:f>
              <c:numCache>
                <c:formatCode>[$$-C09]#,##0.00</c:formatCode>
                <c:ptCount val="10"/>
                <c:pt idx="0">
                  <c:v>7175.47</c:v>
                </c:pt>
                <c:pt idx="1">
                  <c:v>7128.46</c:v>
                </c:pt>
                <c:pt idx="2">
                  <c:v>6889.7999999999993</c:v>
                </c:pt>
                <c:pt idx="3">
                  <c:v>6337.2400000000007</c:v>
                </c:pt>
                <c:pt idx="4">
                  <c:v>6188.5599999999995</c:v>
                </c:pt>
                <c:pt idx="5">
                  <c:v>5817.829999999999</c:v>
                </c:pt>
                <c:pt idx="6">
                  <c:v>5805.1399999999994</c:v>
                </c:pt>
                <c:pt idx="7">
                  <c:v>5724.06</c:v>
                </c:pt>
                <c:pt idx="8">
                  <c:v>5341.76</c:v>
                </c:pt>
                <c:pt idx="9">
                  <c:v>5161.7599999999993</c:v>
                </c:pt>
              </c:numCache>
            </c:numRef>
          </c:val>
          <c:extLst>
            <c:ext xmlns:c16="http://schemas.microsoft.com/office/drawing/2014/chart" uri="{C3380CC4-5D6E-409C-BE32-E72D297353CC}">
              <c16:uniqueId val="{00000000-EFD4-4C4A-B8A3-26559FF3AF7D}"/>
            </c:ext>
          </c:extLst>
        </c:ser>
        <c:dLbls>
          <c:dLblPos val="outEnd"/>
          <c:showLegendKey val="0"/>
          <c:showVal val="1"/>
          <c:showCatName val="0"/>
          <c:showSerName val="0"/>
          <c:showPercent val="0"/>
          <c:showBubbleSize val="0"/>
        </c:dLbls>
        <c:gapWidth val="182"/>
        <c:axId val="142399600"/>
        <c:axId val="142398160"/>
      </c:barChart>
      <c:catAx>
        <c:axId val="142399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2398160"/>
        <c:crosses val="autoZero"/>
        <c:auto val="1"/>
        <c:lblAlgn val="ctr"/>
        <c:lblOffset val="100"/>
        <c:noMultiLvlLbl val="0"/>
      </c:catAx>
      <c:valAx>
        <c:axId val="142398160"/>
        <c:scaling>
          <c:orientation val="minMax"/>
        </c:scaling>
        <c:delete val="1"/>
        <c:axPos val="b"/>
        <c:numFmt formatCode="[$$-C09]#,##0.00" sourceLinked="1"/>
        <c:majorTickMark val="none"/>
        <c:minorTickMark val="none"/>
        <c:tickLblPos val="nextTo"/>
        <c:crossAx val="14239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3"/>
      </a:solidFill>
      <a:prstDash val="solid"/>
      <a:miter lim="800000"/>
    </a:ln>
    <a:effectLst/>
  </c:spPr>
  <c:txPr>
    <a:bodyPr/>
    <a:lstStyle/>
    <a:p>
      <a:pPr>
        <a:defRPr>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[RenseeGajipara_Excel_Dashboard.xlsx]Pivot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latin typeface="Times New Roman" panose="02020603050405020304" pitchFamily="18" charset="0"/>
                <a:cs typeface="Times New Roman" panose="02020603050405020304" pitchFamily="18" charset="0"/>
              </a:rPr>
              <a:t>AVG PROFIT vs SALES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Tables'!$H$22</c:f>
              <c:strCache>
                <c:ptCount val="1"/>
                <c:pt idx="0">
                  <c:v>Average Sales</c:v>
                </c:pt>
              </c:strCache>
            </c:strRef>
          </c:tx>
          <c:spPr>
            <a:solidFill>
              <a:schemeClr val="dk1">
                <a:tint val="88500"/>
              </a:schemeClr>
            </a:solidFill>
            <a:ln>
              <a:noFill/>
            </a:ln>
            <a:effectLst/>
          </c:spPr>
          <c:invertIfNegative val="0"/>
          <c:cat>
            <c:strRef>
              <c:f>'Pivot Tables'!$G$23:$G$33</c:f>
              <c:strCache>
                <c:ptCount val="11"/>
                <c:pt idx="0">
                  <c:v>Accessories</c:v>
                </c:pt>
                <c:pt idx="1">
                  <c:v>Binders</c:v>
                </c:pt>
                <c:pt idx="2">
                  <c:v>Bookcases</c:v>
                </c:pt>
                <c:pt idx="3">
                  <c:v>Chairs</c:v>
                </c:pt>
                <c:pt idx="4">
                  <c:v>Envelopes</c:v>
                </c:pt>
                <c:pt idx="5">
                  <c:v>Labels</c:v>
                </c:pt>
                <c:pt idx="6">
                  <c:v>Laptops</c:v>
                </c:pt>
                <c:pt idx="7">
                  <c:v>Paper</c:v>
                </c:pt>
                <c:pt idx="8">
                  <c:v>Phones</c:v>
                </c:pt>
                <c:pt idx="9">
                  <c:v>Storage</c:v>
                </c:pt>
                <c:pt idx="10">
                  <c:v>Tables</c:v>
                </c:pt>
              </c:strCache>
            </c:strRef>
          </c:cat>
          <c:val>
            <c:numRef>
              <c:f>'Pivot Tables'!$H$23:$H$33</c:f>
              <c:numCache>
                <c:formatCode>[$$-C09]#,##0.00</c:formatCode>
                <c:ptCount val="11"/>
                <c:pt idx="0">
                  <c:v>2173.7507860262012</c:v>
                </c:pt>
                <c:pt idx="1">
                  <c:v>1918.0207909604524</c:v>
                </c:pt>
                <c:pt idx="2">
                  <c:v>2335.3152380952388</c:v>
                </c:pt>
                <c:pt idx="3">
                  <c:v>1976.2941379310337</c:v>
                </c:pt>
                <c:pt idx="4">
                  <c:v>2054.2628313253003</c:v>
                </c:pt>
                <c:pt idx="5">
                  <c:v>2143.721823899371</c:v>
                </c:pt>
                <c:pt idx="6">
                  <c:v>2039.8004035874442</c:v>
                </c:pt>
                <c:pt idx="7">
                  <c:v>2043.6439473684215</c:v>
                </c:pt>
                <c:pt idx="8">
                  <c:v>2094.5039111111114</c:v>
                </c:pt>
                <c:pt idx="9">
                  <c:v>2187.7318823529399</c:v>
                </c:pt>
                <c:pt idx="10">
                  <c:v>2176.0931847133756</c:v>
                </c:pt>
              </c:numCache>
            </c:numRef>
          </c:val>
          <c:extLst>
            <c:ext xmlns:c16="http://schemas.microsoft.com/office/drawing/2014/chart" uri="{C3380CC4-5D6E-409C-BE32-E72D297353CC}">
              <c16:uniqueId val="{00000000-5E1C-4EC3-AC44-F4B0F00A6853}"/>
            </c:ext>
          </c:extLst>
        </c:ser>
        <c:ser>
          <c:idx val="1"/>
          <c:order val="1"/>
          <c:tx>
            <c:strRef>
              <c:f>'Pivot Tables'!$I$22</c:f>
              <c:strCache>
                <c:ptCount val="1"/>
                <c:pt idx="0">
                  <c:v>Average Profit</c:v>
                </c:pt>
              </c:strCache>
            </c:strRef>
          </c:tx>
          <c:spPr>
            <a:solidFill>
              <a:schemeClr val="dk1">
                <a:tint val="55000"/>
              </a:schemeClr>
            </a:solidFill>
            <a:ln>
              <a:noFill/>
            </a:ln>
            <a:effectLst/>
          </c:spPr>
          <c:invertIfNegative val="0"/>
          <c:cat>
            <c:strRef>
              <c:f>'Pivot Tables'!$G$23:$G$33</c:f>
              <c:strCache>
                <c:ptCount val="11"/>
                <c:pt idx="0">
                  <c:v>Accessories</c:v>
                </c:pt>
                <c:pt idx="1">
                  <c:v>Binders</c:v>
                </c:pt>
                <c:pt idx="2">
                  <c:v>Bookcases</c:v>
                </c:pt>
                <c:pt idx="3">
                  <c:v>Chairs</c:v>
                </c:pt>
                <c:pt idx="4">
                  <c:v>Envelopes</c:v>
                </c:pt>
                <c:pt idx="5">
                  <c:v>Labels</c:v>
                </c:pt>
                <c:pt idx="6">
                  <c:v>Laptops</c:v>
                </c:pt>
                <c:pt idx="7">
                  <c:v>Paper</c:v>
                </c:pt>
                <c:pt idx="8">
                  <c:v>Phones</c:v>
                </c:pt>
                <c:pt idx="9">
                  <c:v>Storage</c:v>
                </c:pt>
                <c:pt idx="10">
                  <c:v>Tables</c:v>
                </c:pt>
              </c:strCache>
            </c:strRef>
          </c:cat>
          <c:val>
            <c:numRef>
              <c:f>'Pivot Tables'!$I$23:$I$33</c:f>
              <c:numCache>
                <c:formatCode>[$$-C09]#,##0.00</c:formatCode>
                <c:ptCount val="11"/>
                <c:pt idx="0">
                  <c:v>294.56707423580781</c:v>
                </c:pt>
                <c:pt idx="1">
                  <c:v>261.36372881355925</c:v>
                </c:pt>
                <c:pt idx="2">
                  <c:v>338.80172619047636</c:v>
                </c:pt>
                <c:pt idx="3">
                  <c:v>291.81925287356324</c:v>
                </c:pt>
                <c:pt idx="4">
                  <c:v>318.34162650602417</c:v>
                </c:pt>
                <c:pt idx="5">
                  <c:v>391.79528301886785</c:v>
                </c:pt>
                <c:pt idx="6">
                  <c:v>262.00959641255599</c:v>
                </c:pt>
                <c:pt idx="7">
                  <c:v>246.40506578947378</c:v>
                </c:pt>
                <c:pt idx="8">
                  <c:v>306.26315555555567</c:v>
                </c:pt>
                <c:pt idx="9">
                  <c:v>335.23617647058848</c:v>
                </c:pt>
                <c:pt idx="10">
                  <c:v>340.9279617834394</c:v>
                </c:pt>
              </c:numCache>
            </c:numRef>
          </c:val>
          <c:extLst>
            <c:ext xmlns:c16="http://schemas.microsoft.com/office/drawing/2014/chart" uri="{C3380CC4-5D6E-409C-BE32-E72D297353CC}">
              <c16:uniqueId val="{00000001-5E1C-4EC3-AC44-F4B0F00A6853}"/>
            </c:ext>
          </c:extLst>
        </c:ser>
        <c:dLbls>
          <c:showLegendKey val="0"/>
          <c:showVal val="0"/>
          <c:showCatName val="0"/>
          <c:showSerName val="0"/>
          <c:showPercent val="0"/>
          <c:showBubbleSize val="0"/>
        </c:dLbls>
        <c:gapWidth val="219"/>
        <c:overlap val="-27"/>
        <c:axId val="152677408"/>
        <c:axId val="152678848"/>
      </c:barChart>
      <c:catAx>
        <c:axId val="15267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2678848"/>
        <c:crosses val="autoZero"/>
        <c:auto val="1"/>
        <c:lblAlgn val="ctr"/>
        <c:lblOffset val="100"/>
        <c:noMultiLvlLbl val="0"/>
      </c:catAx>
      <c:valAx>
        <c:axId val="152678848"/>
        <c:scaling>
          <c:orientation val="minMax"/>
        </c:scaling>
        <c:delete val="0"/>
        <c:axPos val="l"/>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267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[RenseeGajipara_Excel_Dashboard.xlsx]Pivot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latin typeface="Times New Roman" panose="02020603050405020304" pitchFamily="18" charset="0"/>
                <a:cs typeface="Times New Roman" panose="02020603050405020304" pitchFamily="18" charset="0"/>
              </a:rPr>
              <a:t>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w="19050">
            <a:solidFill>
              <a:schemeClr val="lt1"/>
            </a:solidFill>
          </a:ln>
          <a:effectLst/>
        </c:spPr>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pivotFmt>
    </c:pivotFmts>
    <c:plotArea>
      <c:layout/>
      <c:doughnutChart>
        <c:varyColors val="1"/>
        <c:ser>
          <c:idx val="0"/>
          <c:order val="0"/>
          <c:tx>
            <c:strRef>
              <c:f>'Pivot Tables'!$H$15</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1670-4810-9B0D-2E5D9B916152}"/>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1670-4810-9B0D-2E5D9B916152}"/>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1670-4810-9B0D-2E5D9B916152}"/>
              </c:ext>
            </c:extLst>
          </c:dPt>
          <c:cat>
            <c:strRef>
              <c:f>'Pivot Tables'!$G$16:$G$18</c:f>
              <c:strCache>
                <c:ptCount val="3"/>
                <c:pt idx="0">
                  <c:v>Consumer</c:v>
                </c:pt>
                <c:pt idx="1">
                  <c:v>Corporate</c:v>
                </c:pt>
                <c:pt idx="2">
                  <c:v>Home Office</c:v>
                </c:pt>
              </c:strCache>
            </c:strRef>
          </c:cat>
          <c:val>
            <c:numRef>
              <c:f>'Pivot Tables'!$H$16:$H$18</c:f>
              <c:numCache>
                <c:formatCode>[$$-C09]#,##0.00</c:formatCode>
                <c:ptCount val="3"/>
                <c:pt idx="0">
                  <c:v>206803.39999999985</c:v>
                </c:pt>
                <c:pt idx="1">
                  <c:v>192307.26000000004</c:v>
                </c:pt>
                <c:pt idx="2">
                  <c:v>212748.74000000017</c:v>
                </c:pt>
              </c:numCache>
            </c:numRef>
          </c:val>
          <c:extLst>
            <c:ext xmlns:c16="http://schemas.microsoft.com/office/drawing/2014/chart" uri="{C3380CC4-5D6E-409C-BE32-E72D297353CC}">
              <c16:uniqueId val="{00000006-1670-4810-9B0D-2E5D9B91615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Raw Data'!A1"/><Relationship Id="rId18" Type="http://schemas.openxmlformats.org/officeDocument/2006/relationships/image" Target="../media/image8.svg"/><Relationship Id="rId26" Type="http://schemas.openxmlformats.org/officeDocument/2006/relationships/image" Target="../media/image13.png"/><Relationship Id="rId3" Type="http://schemas.openxmlformats.org/officeDocument/2006/relationships/chart" Target="../charts/chart3.xml"/><Relationship Id="rId21" Type="http://schemas.openxmlformats.org/officeDocument/2006/relationships/image" Target="../media/image10.svg"/><Relationship Id="rId7" Type="http://schemas.openxmlformats.org/officeDocument/2006/relationships/hyperlink" Target="mailto:renseegajipara@gmail.com" TargetMode="External"/><Relationship Id="rId12" Type="http://schemas.openxmlformats.org/officeDocument/2006/relationships/image" Target="../media/image4.svg"/><Relationship Id="rId17" Type="http://schemas.openxmlformats.org/officeDocument/2006/relationships/image" Target="../media/image7.png"/><Relationship Id="rId25" Type="http://schemas.openxmlformats.org/officeDocument/2006/relationships/hyperlink" Target="#'Advanced Analysis'!A1"/><Relationship Id="rId2" Type="http://schemas.openxmlformats.org/officeDocument/2006/relationships/chart" Target="../charts/chart2.xml"/><Relationship Id="rId16" Type="http://schemas.openxmlformats.org/officeDocument/2006/relationships/hyperlink" Target="#Dashboard!A1"/><Relationship Id="rId20" Type="http://schemas.openxmlformats.org/officeDocument/2006/relationships/image" Target="../media/image9.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24" Type="http://schemas.openxmlformats.org/officeDocument/2006/relationships/image" Target="../media/image12.svg"/><Relationship Id="rId5" Type="http://schemas.openxmlformats.org/officeDocument/2006/relationships/chart" Target="../charts/chart5.xml"/><Relationship Id="rId15" Type="http://schemas.openxmlformats.org/officeDocument/2006/relationships/image" Target="../media/image6.svg"/><Relationship Id="rId23" Type="http://schemas.openxmlformats.org/officeDocument/2006/relationships/image" Target="../media/image11.png"/><Relationship Id="rId10" Type="http://schemas.openxmlformats.org/officeDocument/2006/relationships/hyperlink" Target="#'Pivot Tables'!A1"/><Relationship Id="rId19" Type="http://schemas.openxmlformats.org/officeDocument/2006/relationships/hyperlink" Target="#'Statastical Analysis'!A1"/><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5.png"/><Relationship Id="rId22" Type="http://schemas.openxmlformats.org/officeDocument/2006/relationships/hyperlink" Target="#Summary!A1"/><Relationship Id="rId27" Type="http://schemas.openxmlformats.org/officeDocument/2006/relationships/image" Target="../media/image14.svg"/></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Statastical Analysis'!A1"/><Relationship Id="rId18" Type="http://schemas.openxmlformats.org/officeDocument/2006/relationships/image" Target="../media/image12.svg"/><Relationship Id="rId3" Type="http://schemas.openxmlformats.org/officeDocument/2006/relationships/image" Target="../media/image2.svg"/><Relationship Id="rId21" Type="http://schemas.openxmlformats.org/officeDocument/2006/relationships/image" Target="../media/image14.svg"/><Relationship Id="rId7" Type="http://schemas.openxmlformats.org/officeDocument/2006/relationships/hyperlink" Target="#'Raw Data'!A1"/><Relationship Id="rId12" Type="http://schemas.openxmlformats.org/officeDocument/2006/relationships/image" Target="../media/image8.svg"/><Relationship Id="rId17" Type="http://schemas.openxmlformats.org/officeDocument/2006/relationships/image" Target="../media/image11.png"/><Relationship Id="rId2" Type="http://schemas.openxmlformats.org/officeDocument/2006/relationships/image" Target="../media/image1.png"/><Relationship Id="rId16" Type="http://schemas.openxmlformats.org/officeDocument/2006/relationships/hyperlink" Target="#Summary!A1"/><Relationship Id="rId20" Type="http://schemas.openxmlformats.org/officeDocument/2006/relationships/image" Target="../media/image13.png"/><Relationship Id="rId1" Type="http://schemas.openxmlformats.org/officeDocument/2006/relationships/hyperlink" Target="mailto:renseegajipara@gmail.com" TargetMode="External"/><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Dashboard!A1"/><Relationship Id="rId19" Type="http://schemas.openxmlformats.org/officeDocument/2006/relationships/hyperlink" Target="#'Advanced Analysis'!A1"/><Relationship Id="rId4" Type="http://schemas.openxmlformats.org/officeDocument/2006/relationships/hyperlink" Target="#'Pivot Tables'!A1"/><Relationship Id="rId9" Type="http://schemas.openxmlformats.org/officeDocument/2006/relationships/image" Target="../media/image6.svg"/><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Statastical Analysis'!A1"/><Relationship Id="rId18" Type="http://schemas.openxmlformats.org/officeDocument/2006/relationships/image" Target="../media/image12.svg"/><Relationship Id="rId3" Type="http://schemas.openxmlformats.org/officeDocument/2006/relationships/image" Target="../media/image2.svg"/><Relationship Id="rId21" Type="http://schemas.openxmlformats.org/officeDocument/2006/relationships/image" Target="../media/image14.svg"/><Relationship Id="rId7" Type="http://schemas.openxmlformats.org/officeDocument/2006/relationships/hyperlink" Target="#'Raw Data'!A1"/><Relationship Id="rId12" Type="http://schemas.openxmlformats.org/officeDocument/2006/relationships/image" Target="../media/image8.svg"/><Relationship Id="rId17" Type="http://schemas.openxmlformats.org/officeDocument/2006/relationships/image" Target="../media/image11.png"/><Relationship Id="rId2" Type="http://schemas.openxmlformats.org/officeDocument/2006/relationships/image" Target="../media/image1.png"/><Relationship Id="rId16" Type="http://schemas.openxmlformats.org/officeDocument/2006/relationships/hyperlink" Target="#Summary!A1"/><Relationship Id="rId20" Type="http://schemas.openxmlformats.org/officeDocument/2006/relationships/image" Target="../media/image13.png"/><Relationship Id="rId1" Type="http://schemas.openxmlformats.org/officeDocument/2006/relationships/hyperlink" Target="mailto:renseegajipara@gmail.com" TargetMode="External"/><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Dashboard!A1"/><Relationship Id="rId19" Type="http://schemas.openxmlformats.org/officeDocument/2006/relationships/hyperlink" Target="#'Advanced Analysis'!A1"/><Relationship Id="rId4" Type="http://schemas.openxmlformats.org/officeDocument/2006/relationships/hyperlink" Target="#'Pivot Tables'!A1"/><Relationship Id="rId9" Type="http://schemas.openxmlformats.org/officeDocument/2006/relationships/image" Target="../media/image6.svg"/><Relationship Id="rId14"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Statastical Analysis'!A1"/><Relationship Id="rId18" Type="http://schemas.openxmlformats.org/officeDocument/2006/relationships/image" Target="../media/image12.svg"/><Relationship Id="rId3" Type="http://schemas.openxmlformats.org/officeDocument/2006/relationships/image" Target="../media/image2.svg"/><Relationship Id="rId21" Type="http://schemas.openxmlformats.org/officeDocument/2006/relationships/image" Target="../media/image14.svg"/><Relationship Id="rId7" Type="http://schemas.openxmlformats.org/officeDocument/2006/relationships/hyperlink" Target="#'Raw Data'!A1"/><Relationship Id="rId12" Type="http://schemas.openxmlformats.org/officeDocument/2006/relationships/image" Target="../media/image8.svg"/><Relationship Id="rId17" Type="http://schemas.openxmlformats.org/officeDocument/2006/relationships/image" Target="../media/image11.png"/><Relationship Id="rId2" Type="http://schemas.openxmlformats.org/officeDocument/2006/relationships/image" Target="../media/image1.png"/><Relationship Id="rId16" Type="http://schemas.openxmlformats.org/officeDocument/2006/relationships/hyperlink" Target="#Summary!A1"/><Relationship Id="rId20" Type="http://schemas.openxmlformats.org/officeDocument/2006/relationships/image" Target="../media/image13.png"/><Relationship Id="rId1" Type="http://schemas.openxmlformats.org/officeDocument/2006/relationships/hyperlink" Target="mailto:renseegajipara@gmail.com" TargetMode="External"/><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Dashboard!A1"/><Relationship Id="rId19" Type="http://schemas.openxmlformats.org/officeDocument/2006/relationships/hyperlink" Target="#'Advanced Analysis'!A1"/><Relationship Id="rId4" Type="http://schemas.openxmlformats.org/officeDocument/2006/relationships/hyperlink" Target="#'Pivot Tables'!A1"/><Relationship Id="rId9" Type="http://schemas.openxmlformats.org/officeDocument/2006/relationships/image" Target="../media/image6.svg"/><Relationship Id="rId14" Type="http://schemas.openxmlformats.org/officeDocument/2006/relationships/image" Target="../media/image9.png"/></Relationships>
</file>

<file path=xl/drawings/_rels/drawing5.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Statastical Analysis'!A1"/><Relationship Id="rId18" Type="http://schemas.openxmlformats.org/officeDocument/2006/relationships/image" Target="../media/image12.svg"/><Relationship Id="rId3" Type="http://schemas.openxmlformats.org/officeDocument/2006/relationships/image" Target="../media/image2.svg"/><Relationship Id="rId21" Type="http://schemas.openxmlformats.org/officeDocument/2006/relationships/image" Target="../media/image14.svg"/><Relationship Id="rId7" Type="http://schemas.openxmlformats.org/officeDocument/2006/relationships/hyperlink" Target="#'Raw Data'!A1"/><Relationship Id="rId12" Type="http://schemas.openxmlformats.org/officeDocument/2006/relationships/image" Target="../media/image8.svg"/><Relationship Id="rId17" Type="http://schemas.openxmlformats.org/officeDocument/2006/relationships/image" Target="../media/image11.png"/><Relationship Id="rId2" Type="http://schemas.openxmlformats.org/officeDocument/2006/relationships/image" Target="../media/image1.png"/><Relationship Id="rId16" Type="http://schemas.openxmlformats.org/officeDocument/2006/relationships/hyperlink" Target="#Summary!A1"/><Relationship Id="rId20" Type="http://schemas.openxmlformats.org/officeDocument/2006/relationships/image" Target="../media/image13.png"/><Relationship Id="rId1" Type="http://schemas.openxmlformats.org/officeDocument/2006/relationships/hyperlink" Target="mailto:renseegajipara@gmail.com" TargetMode="External"/><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Dashboard!A1"/><Relationship Id="rId19" Type="http://schemas.openxmlformats.org/officeDocument/2006/relationships/hyperlink" Target="#'Advanced Analysis'!A1"/><Relationship Id="rId4" Type="http://schemas.openxmlformats.org/officeDocument/2006/relationships/hyperlink" Target="#'Pivot Tables'!A1"/><Relationship Id="rId9" Type="http://schemas.openxmlformats.org/officeDocument/2006/relationships/image" Target="../media/image6.svg"/><Relationship Id="rId14" Type="http://schemas.openxmlformats.org/officeDocument/2006/relationships/image" Target="../media/image9.png"/></Relationships>
</file>

<file path=xl/drawings/_rels/drawing6.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Statastical Analysis'!A1"/><Relationship Id="rId18" Type="http://schemas.openxmlformats.org/officeDocument/2006/relationships/image" Target="../media/image12.svg"/><Relationship Id="rId3" Type="http://schemas.openxmlformats.org/officeDocument/2006/relationships/image" Target="../media/image2.svg"/><Relationship Id="rId21" Type="http://schemas.openxmlformats.org/officeDocument/2006/relationships/image" Target="../media/image14.svg"/><Relationship Id="rId7" Type="http://schemas.openxmlformats.org/officeDocument/2006/relationships/hyperlink" Target="#'Raw Data'!A1"/><Relationship Id="rId12" Type="http://schemas.openxmlformats.org/officeDocument/2006/relationships/image" Target="../media/image8.svg"/><Relationship Id="rId17" Type="http://schemas.openxmlformats.org/officeDocument/2006/relationships/image" Target="../media/image11.png"/><Relationship Id="rId2" Type="http://schemas.openxmlformats.org/officeDocument/2006/relationships/image" Target="../media/image1.png"/><Relationship Id="rId16" Type="http://schemas.openxmlformats.org/officeDocument/2006/relationships/hyperlink" Target="#Summary!A1"/><Relationship Id="rId20" Type="http://schemas.openxmlformats.org/officeDocument/2006/relationships/image" Target="../media/image13.png"/><Relationship Id="rId1" Type="http://schemas.openxmlformats.org/officeDocument/2006/relationships/hyperlink" Target="mailto:renseegajipara@gmail.com" TargetMode="External"/><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Dashboard!A1"/><Relationship Id="rId19" Type="http://schemas.openxmlformats.org/officeDocument/2006/relationships/hyperlink" Target="#'Advanced Analysis'!A1"/><Relationship Id="rId4" Type="http://schemas.openxmlformats.org/officeDocument/2006/relationships/hyperlink" Target="#'Pivot Tables'!A1"/><Relationship Id="rId9" Type="http://schemas.openxmlformats.org/officeDocument/2006/relationships/image" Target="../media/image6.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594360</xdr:colOff>
      <xdr:row>29</xdr:row>
      <xdr:rowOff>114300</xdr:rowOff>
    </xdr:from>
    <xdr:to>
      <xdr:col>7</xdr:col>
      <xdr:colOff>175260</xdr:colOff>
      <xdr:row>44</xdr:row>
      <xdr:rowOff>114300</xdr:rowOff>
    </xdr:to>
    <xdr:graphicFrame macro="">
      <xdr:nvGraphicFramePr>
        <xdr:cNvPr id="2" name="Chart 1">
          <a:extLst>
            <a:ext uri="{FF2B5EF4-FFF2-40B4-BE49-F238E27FC236}">
              <a16:creationId xmlns:a16="http://schemas.microsoft.com/office/drawing/2014/main" id="{F91044CA-5487-47B3-A756-0712D4C69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6</xdr:row>
      <xdr:rowOff>114300</xdr:rowOff>
    </xdr:from>
    <xdr:to>
      <xdr:col>10</xdr:col>
      <xdr:colOff>556260</xdr:colOff>
      <xdr:row>13</xdr:row>
      <xdr:rowOff>15240</xdr:rowOff>
    </xdr:to>
    <mc:AlternateContent xmlns:mc="http://schemas.openxmlformats.org/markup-compatibility/2006">
      <mc:Choice xmlns:tsle="http://schemas.microsoft.com/office/drawing/2012/timeslicer" Requires="tsle">
        <xdr:graphicFrame macro="">
          <xdr:nvGraphicFramePr>
            <xdr:cNvPr id="3" name="Order_Date">
              <a:extLst>
                <a:ext uri="{FF2B5EF4-FFF2-40B4-BE49-F238E27FC236}">
                  <a16:creationId xmlns:a16="http://schemas.microsoft.com/office/drawing/2014/main" id="{F2B59843-218C-44FA-AEFA-595357E08616}"/>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834444" y="1271411"/>
              <a:ext cx="4836631" cy="11521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83820</xdr:colOff>
      <xdr:row>6</xdr:row>
      <xdr:rowOff>121921</xdr:rowOff>
    </xdr:from>
    <xdr:to>
      <xdr:col>18</xdr:col>
      <xdr:colOff>571500</xdr:colOff>
      <xdr:row>13</xdr:row>
      <xdr:rowOff>22860</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A176218D-EFB0-4EE6-9034-46732B124EE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256042" y="1279032"/>
              <a:ext cx="2322125" cy="1152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68580</xdr:colOff>
      <xdr:row>6</xdr:row>
      <xdr:rowOff>121920</xdr:rowOff>
    </xdr:from>
    <xdr:to>
      <xdr:col>14</xdr:col>
      <xdr:colOff>571500</xdr:colOff>
      <xdr:row>13</xdr:row>
      <xdr:rowOff>22860</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73BE5652-30BD-4C51-BEFE-6131F2C7BE9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794876" y="1279031"/>
              <a:ext cx="2337365" cy="1152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76200</xdr:colOff>
      <xdr:row>6</xdr:row>
      <xdr:rowOff>129540</xdr:rowOff>
    </xdr:from>
    <xdr:to>
      <xdr:col>23</xdr:col>
      <xdr:colOff>15240</xdr:colOff>
      <xdr:row>13</xdr:row>
      <xdr:rowOff>1380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B6DEEFFB-F30A-480D-867F-CF0DCCADC96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694348" y="1286651"/>
              <a:ext cx="2384966" cy="112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601980</xdr:colOff>
      <xdr:row>13</xdr:row>
      <xdr:rowOff>152400</xdr:rowOff>
    </xdr:from>
    <xdr:to>
      <xdr:col>7</xdr:col>
      <xdr:colOff>152400</xdr:colOff>
      <xdr:row>28</xdr:row>
      <xdr:rowOff>160020</xdr:rowOff>
    </xdr:to>
    <xdr:graphicFrame macro="">
      <xdr:nvGraphicFramePr>
        <xdr:cNvPr id="7" name="Chart 6">
          <a:extLst>
            <a:ext uri="{FF2B5EF4-FFF2-40B4-BE49-F238E27FC236}">
              <a16:creationId xmlns:a16="http://schemas.microsoft.com/office/drawing/2014/main" id="{64D449CC-2B01-4E9F-B7EE-68EAC910C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297180</xdr:colOff>
      <xdr:row>13</xdr:row>
      <xdr:rowOff>160020</xdr:rowOff>
    </xdr:from>
    <xdr:to>
      <xdr:col>15</xdr:col>
      <xdr:colOff>342900</xdr:colOff>
      <xdr:row>28</xdr:row>
      <xdr:rowOff>160020</xdr:rowOff>
    </xdr:to>
    <xdr:graphicFrame macro="">
      <xdr:nvGraphicFramePr>
        <xdr:cNvPr id="8" name="Chart 7">
          <a:extLst>
            <a:ext uri="{FF2B5EF4-FFF2-40B4-BE49-F238E27FC236}">
              <a16:creationId xmlns:a16="http://schemas.microsoft.com/office/drawing/2014/main" id="{43CCDD43-8E2E-4F5D-BADD-CD8E6D900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472440</xdr:colOff>
      <xdr:row>13</xdr:row>
      <xdr:rowOff>152400</xdr:rowOff>
    </xdr:from>
    <xdr:to>
      <xdr:col>23</xdr:col>
      <xdr:colOff>15240</xdr:colOff>
      <xdr:row>28</xdr:row>
      <xdr:rowOff>152400</xdr:rowOff>
    </xdr:to>
    <xdr:graphicFrame macro="">
      <xdr:nvGraphicFramePr>
        <xdr:cNvPr id="9" name="Chart 8">
          <a:extLst>
            <a:ext uri="{FF2B5EF4-FFF2-40B4-BE49-F238E27FC236}">
              <a16:creationId xmlns:a16="http://schemas.microsoft.com/office/drawing/2014/main" id="{651F00F9-126C-4F6A-9DAE-9121C087F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304800</xdr:colOff>
      <xdr:row>29</xdr:row>
      <xdr:rowOff>114300</xdr:rowOff>
    </xdr:from>
    <xdr:to>
      <xdr:col>18</xdr:col>
      <xdr:colOff>68580</xdr:colOff>
      <xdr:row>44</xdr:row>
      <xdr:rowOff>114300</xdr:rowOff>
    </xdr:to>
    <xdr:graphicFrame macro="">
      <xdr:nvGraphicFramePr>
        <xdr:cNvPr id="10" name="Chart 9">
          <a:extLst>
            <a:ext uri="{FF2B5EF4-FFF2-40B4-BE49-F238E27FC236}">
              <a16:creationId xmlns:a16="http://schemas.microsoft.com/office/drawing/2014/main" id="{D4B5BDCB-71FF-46AE-9553-D9703BF62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220980</xdr:colOff>
      <xdr:row>29</xdr:row>
      <xdr:rowOff>99060</xdr:rowOff>
    </xdr:from>
    <xdr:to>
      <xdr:col>23</xdr:col>
      <xdr:colOff>22860</xdr:colOff>
      <xdr:row>44</xdr:row>
      <xdr:rowOff>99060</xdr:rowOff>
    </xdr:to>
    <xdr:graphicFrame macro="">
      <xdr:nvGraphicFramePr>
        <xdr:cNvPr id="11" name="Chart 10">
          <a:extLst>
            <a:ext uri="{FF2B5EF4-FFF2-40B4-BE49-F238E27FC236}">
              <a16:creationId xmlns:a16="http://schemas.microsoft.com/office/drawing/2014/main" id="{6E382B0B-EE5D-4793-A196-93AB3F621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571078</xdr:colOff>
      <xdr:row>40</xdr:row>
      <xdr:rowOff>105881</xdr:rowOff>
    </xdr:from>
    <xdr:to>
      <xdr:col>2</xdr:col>
      <xdr:colOff>22578</xdr:colOff>
      <xdr:row>44</xdr:row>
      <xdr:rowOff>64440</xdr:rowOff>
    </xdr:to>
    <xdr:pic>
      <xdr:nvPicPr>
        <xdr:cNvPr id="13" name="Graphic 12" descr="Call center with solid fill">
          <a:hlinkClick xmlns:r="http://schemas.openxmlformats.org/officeDocument/2006/relationships" r:id="rId7"/>
          <a:extLst>
            <a:ext uri="{FF2B5EF4-FFF2-40B4-BE49-F238E27FC236}">
              <a16:creationId xmlns:a16="http://schemas.microsoft.com/office/drawing/2014/main" id="{6A4CEA88-D449-DED6-5E42-0A442F6865B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71078" y="7340177"/>
          <a:ext cx="674463" cy="673522"/>
        </a:xfrm>
        <a:prstGeom prst="rect">
          <a:avLst/>
        </a:prstGeom>
      </xdr:spPr>
    </xdr:pic>
    <xdr:clientData/>
  </xdr:twoCellAnchor>
  <xdr:twoCellAnchor editAs="oneCell">
    <xdr:from>
      <xdr:col>0</xdr:col>
      <xdr:colOff>596900</xdr:colOff>
      <xdr:row>9</xdr:row>
      <xdr:rowOff>152400</xdr:rowOff>
    </xdr:from>
    <xdr:to>
      <xdr:col>2</xdr:col>
      <xdr:colOff>0</xdr:colOff>
      <xdr:row>13</xdr:row>
      <xdr:rowOff>63500</xdr:rowOff>
    </xdr:to>
    <xdr:pic>
      <xdr:nvPicPr>
        <xdr:cNvPr id="15" name="Graphic 14" descr="Daily calendar with solid fill">
          <a:hlinkClick xmlns:r="http://schemas.openxmlformats.org/officeDocument/2006/relationships" r:id="rId10"/>
          <a:extLst>
            <a:ext uri="{FF2B5EF4-FFF2-40B4-BE49-F238E27FC236}">
              <a16:creationId xmlns:a16="http://schemas.microsoft.com/office/drawing/2014/main" id="{BA301522-516B-0D41-A417-4F9A53EACA1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96900" y="1841500"/>
          <a:ext cx="622300" cy="622300"/>
        </a:xfrm>
        <a:prstGeom prst="rect">
          <a:avLst/>
        </a:prstGeom>
      </xdr:spPr>
    </xdr:pic>
    <xdr:clientData/>
  </xdr:twoCellAnchor>
  <xdr:twoCellAnchor editAs="oneCell">
    <xdr:from>
      <xdr:col>0</xdr:col>
      <xdr:colOff>581800</xdr:colOff>
      <xdr:row>5</xdr:row>
      <xdr:rowOff>162700</xdr:rowOff>
    </xdr:from>
    <xdr:to>
      <xdr:col>2</xdr:col>
      <xdr:colOff>0</xdr:colOff>
      <xdr:row>9</xdr:row>
      <xdr:rowOff>38100</xdr:rowOff>
    </xdr:to>
    <xdr:pic>
      <xdr:nvPicPr>
        <xdr:cNvPr id="17" name="Graphic 16" descr="Database with solid fill">
          <a:hlinkClick xmlns:r="http://schemas.openxmlformats.org/officeDocument/2006/relationships" r:id="rId13"/>
          <a:extLst>
            <a:ext uri="{FF2B5EF4-FFF2-40B4-BE49-F238E27FC236}">
              <a16:creationId xmlns:a16="http://schemas.microsoft.com/office/drawing/2014/main" id="{8CD98AC5-C38B-AAFB-25DC-31C1F59EEDE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81800" y="1089800"/>
          <a:ext cx="637400" cy="637400"/>
        </a:xfrm>
        <a:prstGeom prst="rect">
          <a:avLst/>
        </a:prstGeom>
      </xdr:spPr>
    </xdr:pic>
    <xdr:clientData/>
  </xdr:twoCellAnchor>
  <xdr:twoCellAnchor editAs="oneCell">
    <xdr:from>
      <xdr:col>0</xdr:col>
      <xdr:colOff>579400</xdr:colOff>
      <xdr:row>1</xdr:row>
      <xdr:rowOff>58700</xdr:rowOff>
    </xdr:from>
    <xdr:to>
      <xdr:col>2</xdr:col>
      <xdr:colOff>50800</xdr:colOff>
      <xdr:row>5</xdr:row>
      <xdr:rowOff>0</xdr:rowOff>
    </xdr:to>
    <xdr:pic>
      <xdr:nvPicPr>
        <xdr:cNvPr id="19" name="Graphic 18" descr="Easel with solid fill">
          <a:hlinkClick xmlns:r="http://schemas.openxmlformats.org/officeDocument/2006/relationships" r:id="rId16"/>
          <a:extLst>
            <a:ext uri="{FF2B5EF4-FFF2-40B4-BE49-F238E27FC236}">
              <a16:creationId xmlns:a16="http://schemas.microsoft.com/office/drawing/2014/main" id="{0F5D42C2-B0E2-7DEB-B584-CE14F59EFB9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79400" y="236500"/>
          <a:ext cx="690600" cy="690600"/>
        </a:xfrm>
        <a:prstGeom prst="rect">
          <a:avLst/>
        </a:prstGeom>
      </xdr:spPr>
    </xdr:pic>
    <xdr:clientData/>
  </xdr:twoCellAnchor>
  <xdr:twoCellAnchor editAs="oneCell">
    <xdr:from>
      <xdr:col>1</xdr:col>
      <xdr:colOff>30900</xdr:colOff>
      <xdr:row>18</xdr:row>
      <xdr:rowOff>18670</xdr:rowOff>
    </xdr:from>
    <xdr:to>
      <xdr:col>1</xdr:col>
      <xdr:colOff>571500</xdr:colOff>
      <xdr:row>21</xdr:row>
      <xdr:rowOff>25870</xdr:rowOff>
    </xdr:to>
    <xdr:pic>
      <xdr:nvPicPr>
        <xdr:cNvPr id="21" name="Graphic 20" descr="Mathematics with solid fill">
          <a:hlinkClick xmlns:r="http://schemas.openxmlformats.org/officeDocument/2006/relationships" r:id="rId19"/>
          <a:extLst>
            <a:ext uri="{FF2B5EF4-FFF2-40B4-BE49-F238E27FC236}">
              <a16:creationId xmlns:a16="http://schemas.microsoft.com/office/drawing/2014/main" id="{42A3D333-44BE-FB79-AB07-EC94553C578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42381" y="3320670"/>
          <a:ext cx="540600" cy="543422"/>
        </a:xfrm>
        <a:prstGeom prst="rect">
          <a:avLst/>
        </a:prstGeom>
      </xdr:spPr>
    </xdr:pic>
    <xdr:clientData/>
  </xdr:twoCellAnchor>
  <xdr:twoCellAnchor editAs="oneCell">
    <xdr:from>
      <xdr:col>0</xdr:col>
      <xdr:colOff>549200</xdr:colOff>
      <xdr:row>21</xdr:row>
      <xdr:rowOff>134804</xdr:rowOff>
    </xdr:from>
    <xdr:to>
      <xdr:col>2</xdr:col>
      <xdr:colOff>50800</xdr:colOff>
      <xdr:row>25</xdr:row>
      <xdr:rowOff>144404</xdr:rowOff>
    </xdr:to>
    <xdr:pic>
      <xdr:nvPicPr>
        <xdr:cNvPr id="23" name="Graphic 22" descr="Person with idea with solid fill">
          <a:hlinkClick xmlns:r="http://schemas.openxmlformats.org/officeDocument/2006/relationships" r:id="rId22"/>
          <a:extLst>
            <a:ext uri="{FF2B5EF4-FFF2-40B4-BE49-F238E27FC236}">
              <a16:creationId xmlns:a16="http://schemas.microsoft.com/office/drawing/2014/main" id="{0671B3BF-E045-30CC-F6DB-329481EA3DCB}"/>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549200" y="3973026"/>
          <a:ext cx="724563" cy="724563"/>
        </a:xfrm>
        <a:prstGeom prst="rect">
          <a:avLst/>
        </a:prstGeom>
      </xdr:spPr>
    </xdr:pic>
    <xdr:clientData/>
  </xdr:twoCellAnchor>
  <xdr:twoCellAnchor editAs="oneCell">
    <xdr:from>
      <xdr:col>0</xdr:col>
      <xdr:colOff>602074</xdr:colOff>
      <xdr:row>13</xdr:row>
      <xdr:rowOff>150519</xdr:rowOff>
    </xdr:from>
    <xdr:to>
      <xdr:col>1</xdr:col>
      <xdr:colOff>583260</xdr:colOff>
      <xdr:row>17</xdr:row>
      <xdr:rowOff>28223</xdr:rowOff>
    </xdr:to>
    <xdr:pic>
      <xdr:nvPicPr>
        <xdr:cNvPr id="25" name="Graphic 24" descr="Checklist with solid fill">
          <a:hlinkClick xmlns:r="http://schemas.openxmlformats.org/officeDocument/2006/relationships" r:id="rId25"/>
          <a:extLst>
            <a:ext uri="{FF2B5EF4-FFF2-40B4-BE49-F238E27FC236}">
              <a16:creationId xmlns:a16="http://schemas.microsoft.com/office/drawing/2014/main" id="{BDCDC8FF-EB5E-41C9-141F-803CFB4CA16C}"/>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602074" y="2558815"/>
          <a:ext cx="592667" cy="592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571078</xdr:colOff>
      <xdr:row>40</xdr:row>
      <xdr:rowOff>105881</xdr:rowOff>
    </xdr:from>
    <xdr:to>
      <xdr:col>2</xdr:col>
      <xdr:colOff>22578</xdr:colOff>
      <xdr:row>44</xdr:row>
      <xdr:rowOff>64440</xdr:rowOff>
    </xdr:to>
    <xdr:pic>
      <xdr:nvPicPr>
        <xdr:cNvPr id="2" name="Graphic 1" descr="Call center with solid fill">
          <a:hlinkClick xmlns:r="http://schemas.openxmlformats.org/officeDocument/2006/relationships" r:id="rId1"/>
          <a:extLst>
            <a:ext uri="{FF2B5EF4-FFF2-40B4-BE49-F238E27FC236}">
              <a16:creationId xmlns:a16="http://schemas.microsoft.com/office/drawing/2014/main" id="{723EC7BC-9E16-4F9E-ADDA-DC45DC2A0D2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078" y="7504901"/>
          <a:ext cx="670700" cy="690079"/>
        </a:xfrm>
        <a:prstGeom prst="rect">
          <a:avLst/>
        </a:prstGeom>
      </xdr:spPr>
    </xdr:pic>
    <xdr:clientData/>
  </xdr:twoCellAnchor>
  <xdr:twoCellAnchor editAs="oneCell">
    <xdr:from>
      <xdr:col>0</xdr:col>
      <xdr:colOff>596900</xdr:colOff>
      <xdr:row>9</xdr:row>
      <xdr:rowOff>152400</xdr:rowOff>
    </xdr:from>
    <xdr:to>
      <xdr:col>2</xdr:col>
      <xdr:colOff>0</xdr:colOff>
      <xdr:row>13</xdr:row>
      <xdr:rowOff>63500</xdr:rowOff>
    </xdr:to>
    <xdr:pic>
      <xdr:nvPicPr>
        <xdr:cNvPr id="3" name="Graphic 2" descr="Daily calendar with solid fill">
          <a:hlinkClick xmlns:r="http://schemas.openxmlformats.org/officeDocument/2006/relationships" r:id="rId4"/>
          <a:extLst>
            <a:ext uri="{FF2B5EF4-FFF2-40B4-BE49-F238E27FC236}">
              <a16:creationId xmlns:a16="http://schemas.microsoft.com/office/drawing/2014/main" id="{3C55E044-96B8-4E10-8933-FFC3320CA92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96900" y="1882140"/>
          <a:ext cx="622300" cy="642620"/>
        </a:xfrm>
        <a:prstGeom prst="rect">
          <a:avLst/>
        </a:prstGeom>
      </xdr:spPr>
    </xdr:pic>
    <xdr:clientData/>
  </xdr:twoCellAnchor>
  <xdr:twoCellAnchor editAs="oneCell">
    <xdr:from>
      <xdr:col>0</xdr:col>
      <xdr:colOff>581800</xdr:colOff>
      <xdr:row>5</xdr:row>
      <xdr:rowOff>162700</xdr:rowOff>
    </xdr:from>
    <xdr:to>
      <xdr:col>2</xdr:col>
      <xdr:colOff>0</xdr:colOff>
      <xdr:row>9</xdr:row>
      <xdr:rowOff>83820</xdr:rowOff>
    </xdr:to>
    <xdr:pic>
      <xdr:nvPicPr>
        <xdr:cNvPr id="4" name="Graphic 3" descr="Database with solid fill">
          <a:hlinkClick xmlns:r="http://schemas.openxmlformats.org/officeDocument/2006/relationships" r:id="rId7"/>
          <a:extLst>
            <a:ext uri="{FF2B5EF4-FFF2-40B4-BE49-F238E27FC236}">
              <a16:creationId xmlns:a16="http://schemas.microsoft.com/office/drawing/2014/main" id="{8D19FF0C-67D2-49C7-91BB-212F5DABC2F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81800" y="1115200"/>
          <a:ext cx="637400" cy="652640"/>
        </a:xfrm>
        <a:prstGeom prst="rect">
          <a:avLst/>
        </a:prstGeom>
      </xdr:spPr>
    </xdr:pic>
    <xdr:clientData/>
  </xdr:twoCellAnchor>
  <xdr:twoCellAnchor editAs="oneCell">
    <xdr:from>
      <xdr:col>0</xdr:col>
      <xdr:colOff>579400</xdr:colOff>
      <xdr:row>1</xdr:row>
      <xdr:rowOff>58700</xdr:rowOff>
    </xdr:from>
    <xdr:to>
      <xdr:col>2</xdr:col>
      <xdr:colOff>50800</xdr:colOff>
      <xdr:row>5</xdr:row>
      <xdr:rowOff>22860</xdr:rowOff>
    </xdr:to>
    <xdr:pic>
      <xdr:nvPicPr>
        <xdr:cNvPr id="5" name="Graphic 4" descr="Easel with solid fill">
          <a:hlinkClick xmlns:r="http://schemas.openxmlformats.org/officeDocument/2006/relationships" r:id="rId10"/>
          <a:extLst>
            <a:ext uri="{FF2B5EF4-FFF2-40B4-BE49-F238E27FC236}">
              <a16:creationId xmlns:a16="http://schemas.microsoft.com/office/drawing/2014/main" id="{171A36F6-A207-4618-92A2-E481243A616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79400" y="241580"/>
          <a:ext cx="690600" cy="710920"/>
        </a:xfrm>
        <a:prstGeom prst="rect">
          <a:avLst/>
        </a:prstGeom>
      </xdr:spPr>
    </xdr:pic>
    <xdr:clientData/>
  </xdr:twoCellAnchor>
  <xdr:twoCellAnchor editAs="oneCell">
    <xdr:from>
      <xdr:col>1</xdr:col>
      <xdr:colOff>30900</xdr:colOff>
      <xdr:row>18</xdr:row>
      <xdr:rowOff>18670</xdr:rowOff>
    </xdr:from>
    <xdr:to>
      <xdr:col>1</xdr:col>
      <xdr:colOff>571500</xdr:colOff>
      <xdr:row>21</xdr:row>
      <xdr:rowOff>25870</xdr:rowOff>
    </xdr:to>
    <xdr:pic>
      <xdr:nvPicPr>
        <xdr:cNvPr id="6" name="Graphic 5" descr="Mathematics with solid fill">
          <a:hlinkClick xmlns:r="http://schemas.openxmlformats.org/officeDocument/2006/relationships" r:id="rId13"/>
          <a:extLst>
            <a:ext uri="{FF2B5EF4-FFF2-40B4-BE49-F238E27FC236}">
              <a16:creationId xmlns:a16="http://schemas.microsoft.com/office/drawing/2014/main" id="{BA525044-3104-43BA-98C6-869708A6876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40500" y="3394330"/>
          <a:ext cx="540600" cy="555840"/>
        </a:xfrm>
        <a:prstGeom prst="rect">
          <a:avLst/>
        </a:prstGeom>
      </xdr:spPr>
    </xdr:pic>
    <xdr:clientData/>
  </xdr:twoCellAnchor>
  <xdr:twoCellAnchor editAs="oneCell">
    <xdr:from>
      <xdr:col>0</xdr:col>
      <xdr:colOff>549200</xdr:colOff>
      <xdr:row>21</xdr:row>
      <xdr:rowOff>134804</xdr:rowOff>
    </xdr:from>
    <xdr:to>
      <xdr:col>2</xdr:col>
      <xdr:colOff>50800</xdr:colOff>
      <xdr:row>25</xdr:row>
      <xdr:rowOff>144404</xdr:rowOff>
    </xdr:to>
    <xdr:pic>
      <xdr:nvPicPr>
        <xdr:cNvPr id="7" name="Graphic 6" descr="Person with idea with solid fill">
          <a:hlinkClick xmlns:r="http://schemas.openxmlformats.org/officeDocument/2006/relationships" r:id="rId16"/>
          <a:extLst>
            <a:ext uri="{FF2B5EF4-FFF2-40B4-BE49-F238E27FC236}">
              <a16:creationId xmlns:a16="http://schemas.microsoft.com/office/drawing/2014/main" id="{48BB0DA4-2D1B-4DE1-B72D-6F691CC1504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49200" y="4059104"/>
          <a:ext cx="720800" cy="741120"/>
        </a:xfrm>
        <a:prstGeom prst="rect">
          <a:avLst/>
        </a:prstGeom>
      </xdr:spPr>
    </xdr:pic>
    <xdr:clientData/>
  </xdr:twoCellAnchor>
  <xdr:twoCellAnchor editAs="oneCell">
    <xdr:from>
      <xdr:col>0</xdr:col>
      <xdr:colOff>602074</xdr:colOff>
      <xdr:row>13</xdr:row>
      <xdr:rowOff>150519</xdr:rowOff>
    </xdr:from>
    <xdr:to>
      <xdr:col>1</xdr:col>
      <xdr:colOff>583260</xdr:colOff>
      <xdr:row>17</xdr:row>
      <xdr:rowOff>28223</xdr:rowOff>
    </xdr:to>
    <xdr:pic>
      <xdr:nvPicPr>
        <xdr:cNvPr id="8" name="Graphic 7" descr="Checklist with solid fill">
          <a:hlinkClick xmlns:r="http://schemas.openxmlformats.org/officeDocument/2006/relationships" r:id="rId19"/>
          <a:extLst>
            <a:ext uri="{FF2B5EF4-FFF2-40B4-BE49-F238E27FC236}">
              <a16:creationId xmlns:a16="http://schemas.microsoft.com/office/drawing/2014/main" id="{720FEE04-6E75-4988-A53C-F197C46C3FE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02074" y="2611779"/>
          <a:ext cx="590786" cy="6092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571078</xdr:colOff>
      <xdr:row>40</xdr:row>
      <xdr:rowOff>105881</xdr:rowOff>
    </xdr:from>
    <xdr:to>
      <xdr:col>2</xdr:col>
      <xdr:colOff>22578</xdr:colOff>
      <xdr:row>44</xdr:row>
      <xdr:rowOff>64440</xdr:rowOff>
    </xdr:to>
    <xdr:pic>
      <xdr:nvPicPr>
        <xdr:cNvPr id="12" name="Graphic 11" descr="Call center with solid fill">
          <a:hlinkClick xmlns:r="http://schemas.openxmlformats.org/officeDocument/2006/relationships" r:id="rId1"/>
          <a:extLst>
            <a:ext uri="{FF2B5EF4-FFF2-40B4-BE49-F238E27FC236}">
              <a16:creationId xmlns:a16="http://schemas.microsoft.com/office/drawing/2014/main" id="{172594A3-AFD9-4D19-BFF4-C68C7981BE6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078" y="7504901"/>
          <a:ext cx="670700" cy="690079"/>
        </a:xfrm>
        <a:prstGeom prst="rect">
          <a:avLst/>
        </a:prstGeom>
      </xdr:spPr>
    </xdr:pic>
    <xdr:clientData/>
  </xdr:twoCellAnchor>
  <xdr:twoCellAnchor editAs="oneCell">
    <xdr:from>
      <xdr:col>0</xdr:col>
      <xdr:colOff>596900</xdr:colOff>
      <xdr:row>9</xdr:row>
      <xdr:rowOff>152400</xdr:rowOff>
    </xdr:from>
    <xdr:to>
      <xdr:col>2</xdr:col>
      <xdr:colOff>0</xdr:colOff>
      <xdr:row>13</xdr:row>
      <xdr:rowOff>63500</xdr:rowOff>
    </xdr:to>
    <xdr:pic>
      <xdr:nvPicPr>
        <xdr:cNvPr id="13" name="Graphic 12" descr="Daily calendar with solid fill">
          <a:hlinkClick xmlns:r="http://schemas.openxmlformats.org/officeDocument/2006/relationships" r:id="rId4"/>
          <a:extLst>
            <a:ext uri="{FF2B5EF4-FFF2-40B4-BE49-F238E27FC236}">
              <a16:creationId xmlns:a16="http://schemas.microsoft.com/office/drawing/2014/main" id="{ED9DCA7F-B1AA-4196-9FC8-E9CDD0F56F0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96900" y="1882140"/>
          <a:ext cx="622300" cy="642620"/>
        </a:xfrm>
        <a:prstGeom prst="rect">
          <a:avLst/>
        </a:prstGeom>
      </xdr:spPr>
    </xdr:pic>
    <xdr:clientData/>
  </xdr:twoCellAnchor>
  <xdr:twoCellAnchor editAs="oneCell">
    <xdr:from>
      <xdr:col>0</xdr:col>
      <xdr:colOff>581800</xdr:colOff>
      <xdr:row>5</xdr:row>
      <xdr:rowOff>162700</xdr:rowOff>
    </xdr:from>
    <xdr:to>
      <xdr:col>2</xdr:col>
      <xdr:colOff>0</xdr:colOff>
      <xdr:row>9</xdr:row>
      <xdr:rowOff>53340</xdr:rowOff>
    </xdr:to>
    <xdr:pic>
      <xdr:nvPicPr>
        <xdr:cNvPr id="14" name="Graphic 13" descr="Database with solid fill">
          <a:hlinkClick xmlns:r="http://schemas.openxmlformats.org/officeDocument/2006/relationships" r:id="rId7"/>
          <a:extLst>
            <a:ext uri="{FF2B5EF4-FFF2-40B4-BE49-F238E27FC236}">
              <a16:creationId xmlns:a16="http://schemas.microsoft.com/office/drawing/2014/main" id="{B33F2DE0-A786-4DD5-8D9E-EF8B6D3D67A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81800" y="1115200"/>
          <a:ext cx="637400" cy="652640"/>
        </a:xfrm>
        <a:prstGeom prst="rect">
          <a:avLst/>
        </a:prstGeom>
      </xdr:spPr>
    </xdr:pic>
    <xdr:clientData/>
  </xdr:twoCellAnchor>
  <xdr:twoCellAnchor editAs="oneCell">
    <xdr:from>
      <xdr:col>0</xdr:col>
      <xdr:colOff>579400</xdr:colOff>
      <xdr:row>1</xdr:row>
      <xdr:rowOff>58700</xdr:rowOff>
    </xdr:from>
    <xdr:to>
      <xdr:col>2</xdr:col>
      <xdr:colOff>50800</xdr:colOff>
      <xdr:row>5</xdr:row>
      <xdr:rowOff>38100</xdr:rowOff>
    </xdr:to>
    <xdr:pic>
      <xdr:nvPicPr>
        <xdr:cNvPr id="15" name="Graphic 14" descr="Easel with solid fill">
          <a:hlinkClick xmlns:r="http://schemas.openxmlformats.org/officeDocument/2006/relationships" r:id="rId10"/>
          <a:extLst>
            <a:ext uri="{FF2B5EF4-FFF2-40B4-BE49-F238E27FC236}">
              <a16:creationId xmlns:a16="http://schemas.microsoft.com/office/drawing/2014/main" id="{AB553EB0-1B5C-404F-9D96-22B11CB5C52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79400" y="241580"/>
          <a:ext cx="690600" cy="710920"/>
        </a:xfrm>
        <a:prstGeom prst="rect">
          <a:avLst/>
        </a:prstGeom>
      </xdr:spPr>
    </xdr:pic>
    <xdr:clientData/>
  </xdr:twoCellAnchor>
  <xdr:twoCellAnchor editAs="oneCell">
    <xdr:from>
      <xdr:col>1</xdr:col>
      <xdr:colOff>30900</xdr:colOff>
      <xdr:row>18</xdr:row>
      <xdr:rowOff>18670</xdr:rowOff>
    </xdr:from>
    <xdr:to>
      <xdr:col>1</xdr:col>
      <xdr:colOff>571500</xdr:colOff>
      <xdr:row>20</xdr:row>
      <xdr:rowOff>193510</xdr:rowOff>
    </xdr:to>
    <xdr:pic>
      <xdr:nvPicPr>
        <xdr:cNvPr id="16" name="Graphic 15" descr="Mathematics with solid fill">
          <a:hlinkClick xmlns:r="http://schemas.openxmlformats.org/officeDocument/2006/relationships" r:id="rId13"/>
          <a:extLst>
            <a:ext uri="{FF2B5EF4-FFF2-40B4-BE49-F238E27FC236}">
              <a16:creationId xmlns:a16="http://schemas.microsoft.com/office/drawing/2014/main" id="{60D64063-4F2A-4FDD-9F77-DE147875A56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40500" y="3394330"/>
          <a:ext cx="540600" cy="555840"/>
        </a:xfrm>
        <a:prstGeom prst="rect">
          <a:avLst/>
        </a:prstGeom>
      </xdr:spPr>
    </xdr:pic>
    <xdr:clientData/>
  </xdr:twoCellAnchor>
  <xdr:twoCellAnchor editAs="oneCell">
    <xdr:from>
      <xdr:col>0</xdr:col>
      <xdr:colOff>549200</xdr:colOff>
      <xdr:row>21</xdr:row>
      <xdr:rowOff>134804</xdr:rowOff>
    </xdr:from>
    <xdr:to>
      <xdr:col>2</xdr:col>
      <xdr:colOff>50800</xdr:colOff>
      <xdr:row>25</xdr:row>
      <xdr:rowOff>113924</xdr:rowOff>
    </xdr:to>
    <xdr:pic>
      <xdr:nvPicPr>
        <xdr:cNvPr id="17" name="Graphic 16" descr="Person with idea with solid fill">
          <a:hlinkClick xmlns:r="http://schemas.openxmlformats.org/officeDocument/2006/relationships" r:id="rId16"/>
          <a:extLst>
            <a:ext uri="{FF2B5EF4-FFF2-40B4-BE49-F238E27FC236}">
              <a16:creationId xmlns:a16="http://schemas.microsoft.com/office/drawing/2014/main" id="{AA0C7E3A-5E01-43DB-A846-844C01D5110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49200" y="4059104"/>
          <a:ext cx="720800" cy="741120"/>
        </a:xfrm>
        <a:prstGeom prst="rect">
          <a:avLst/>
        </a:prstGeom>
      </xdr:spPr>
    </xdr:pic>
    <xdr:clientData/>
  </xdr:twoCellAnchor>
  <xdr:twoCellAnchor editAs="oneCell">
    <xdr:from>
      <xdr:col>0</xdr:col>
      <xdr:colOff>602074</xdr:colOff>
      <xdr:row>13</xdr:row>
      <xdr:rowOff>150519</xdr:rowOff>
    </xdr:from>
    <xdr:to>
      <xdr:col>1</xdr:col>
      <xdr:colOff>583260</xdr:colOff>
      <xdr:row>16</xdr:row>
      <xdr:rowOff>180623</xdr:rowOff>
    </xdr:to>
    <xdr:pic>
      <xdr:nvPicPr>
        <xdr:cNvPr id="18" name="Graphic 17" descr="Checklist with solid fill">
          <a:hlinkClick xmlns:r="http://schemas.openxmlformats.org/officeDocument/2006/relationships" r:id="rId19"/>
          <a:extLst>
            <a:ext uri="{FF2B5EF4-FFF2-40B4-BE49-F238E27FC236}">
              <a16:creationId xmlns:a16="http://schemas.microsoft.com/office/drawing/2014/main" id="{3C98194C-E96C-4C2D-BCEC-53D470DED32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02074" y="2611779"/>
          <a:ext cx="590786" cy="6092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571078</xdr:colOff>
      <xdr:row>40</xdr:row>
      <xdr:rowOff>105881</xdr:rowOff>
    </xdr:from>
    <xdr:to>
      <xdr:col>2</xdr:col>
      <xdr:colOff>22578</xdr:colOff>
      <xdr:row>44</xdr:row>
      <xdr:rowOff>64440</xdr:rowOff>
    </xdr:to>
    <xdr:pic>
      <xdr:nvPicPr>
        <xdr:cNvPr id="2" name="Graphic 1" descr="Call center with solid fill">
          <a:hlinkClick xmlns:r="http://schemas.openxmlformats.org/officeDocument/2006/relationships" r:id="rId1"/>
          <a:extLst>
            <a:ext uri="{FF2B5EF4-FFF2-40B4-BE49-F238E27FC236}">
              <a16:creationId xmlns:a16="http://schemas.microsoft.com/office/drawing/2014/main" id="{05F6ADA5-2092-4150-9234-2F0EC891441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078" y="7504901"/>
          <a:ext cx="670700" cy="690079"/>
        </a:xfrm>
        <a:prstGeom prst="rect">
          <a:avLst/>
        </a:prstGeom>
      </xdr:spPr>
    </xdr:pic>
    <xdr:clientData/>
  </xdr:twoCellAnchor>
  <xdr:twoCellAnchor editAs="oneCell">
    <xdr:from>
      <xdr:col>0</xdr:col>
      <xdr:colOff>596900</xdr:colOff>
      <xdr:row>9</xdr:row>
      <xdr:rowOff>152400</xdr:rowOff>
    </xdr:from>
    <xdr:to>
      <xdr:col>2</xdr:col>
      <xdr:colOff>0</xdr:colOff>
      <xdr:row>13</xdr:row>
      <xdr:rowOff>63500</xdr:rowOff>
    </xdr:to>
    <xdr:pic>
      <xdr:nvPicPr>
        <xdr:cNvPr id="3" name="Graphic 2" descr="Daily calendar with solid fill">
          <a:hlinkClick xmlns:r="http://schemas.openxmlformats.org/officeDocument/2006/relationships" r:id="rId4"/>
          <a:extLst>
            <a:ext uri="{FF2B5EF4-FFF2-40B4-BE49-F238E27FC236}">
              <a16:creationId xmlns:a16="http://schemas.microsoft.com/office/drawing/2014/main" id="{A7566C35-641E-49B0-B23D-03212B3CE36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96900" y="1882140"/>
          <a:ext cx="622300" cy="642620"/>
        </a:xfrm>
        <a:prstGeom prst="rect">
          <a:avLst/>
        </a:prstGeom>
      </xdr:spPr>
    </xdr:pic>
    <xdr:clientData/>
  </xdr:twoCellAnchor>
  <xdr:twoCellAnchor editAs="oneCell">
    <xdr:from>
      <xdr:col>0</xdr:col>
      <xdr:colOff>581800</xdr:colOff>
      <xdr:row>5</xdr:row>
      <xdr:rowOff>162700</xdr:rowOff>
    </xdr:from>
    <xdr:to>
      <xdr:col>2</xdr:col>
      <xdr:colOff>0</xdr:colOff>
      <xdr:row>9</xdr:row>
      <xdr:rowOff>68580</xdr:rowOff>
    </xdr:to>
    <xdr:pic>
      <xdr:nvPicPr>
        <xdr:cNvPr id="4" name="Graphic 3" descr="Database with solid fill">
          <a:hlinkClick xmlns:r="http://schemas.openxmlformats.org/officeDocument/2006/relationships" r:id="rId7"/>
          <a:extLst>
            <a:ext uri="{FF2B5EF4-FFF2-40B4-BE49-F238E27FC236}">
              <a16:creationId xmlns:a16="http://schemas.microsoft.com/office/drawing/2014/main" id="{E172785B-C4C6-4C2D-B125-36E65636131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81800" y="1115200"/>
          <a:ext cx="637400" cy="652640"/>
        </a:xfrm>
        <a:prstGeom prst="rect">
          <a:avLst/>
        </a:prstGeom>
      </xdr:spPr>
    </xdr:pic>
    <xdr:clientData/>
  </xdr:twoCellAnchor>
  <xdr:twoCellAnchor editAs="oneCell">
    <xdr:from>
      <xdr:col>0</xdr:col>
      <xdr:colOff>579400</xdr:colOff>
      <xdr:row>1</xdr:row>
      <xdr:rowOff>58700</xdr:rowOff>
    </xdr:from>
    <xdr:to>
      <xdr:col>2</xdr:col>
      <xdr:colOff>50800</xdr:colOff>
      <xdr:row>5</xdr:row>
      <xdr:rowOff>38100</xdr:rowOff>
    </xdr:to>
    <xdr:pic>
      <xdr:nvPicPr>
        <xdr:cNvPr id="5" name="Graphic 4" descr="Easel with solid fill">
          <a:hlinkClick xmlns:r="http://schemas.openxmlformats.org/officeDocument/2006/relationships" r:id="rId10"/>
          <a:extLst>
            <a:ext uri="{FF2B5EF4-FFF2-40B4-BE49-F238E27FC236}">
              <a16:creationId xmlns:a16="http://schemas.microsoft.com/office/drawing/2014/main" id="{0F16B816-71AE-4A8E-BBF2-FC3452F0F2F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79400" y="241580"/>
          <a:ext cx="690600" cy="710920"/>
        </a:xfrm>
        <a:prstGeom prst="rect">
          <a:avLst/>
        </a:prstGeom>
      </xdr:spPr>
    </xdr:pic>
    <xdr:clientData/>
  </xdr:twoCellAnchor>
  <xdr:twoCellAnchor editAs="oneCell">
    <xdr:from>
      <xdr:col>1</xdr:col>
      <xdr:colOff>30900</xdr:colOff>
      <xdr:row>18</xdr:row>
      <xdr:rowOff>18670</xdr:rowOff>
    </xdr:from>
    <xdr:to>
      <xdr:col>1</xdr:col>
      <xdr:colOff>571500</xdr:colOff>
      <xdr:row>21</xdr:row>
      <xdr:rowOff>25870</xdr:rowOff>
    </xdr:to>
    <xdr:pic>
      <xdr:nvPicPr>
        <xdr:cNvPr id="6" name="Graphic 5" descr="Mathematics with solid fill">
          <a:hlinkClick xmlns:r="http://schemas.openxmlformats.org/officeDocument/2006/relationships" r:id="rId13"/>
          <a:extLst>
            <a:ext uri="{FF2B5EF4-FFF2-40B4-BE49-F238E27FC236}">
              <a16:creationId xmlns:a16="http://schemas.microsoft.com/office/drawing/2014/main" id="{7BDB2B9A-A021-44E5-AE83-6A1516B9C9B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40500" y="3394330"/>
          <a:ext cx="540600" cy="555840"/>
        </a:xfrm>
        <a:prstGeom prst="rect">
          <a:avLst/>
        </a:prstGeom>
      </xdr:spPr>
    </xdr:pic>
    <xdr:clientData/>
  </xdr:twoCellAnchor>
  <xdr:twoCellAnchor editAs="oneCell">
    <xdr:from>
      <xdr:col>0</xdr:col>
      <xdr:colOff>549200</xdr:colOff>
      <xdr:row>21</xdr:row>
      <xdr:rowOff>134804</xdr:rowOff>
    </xdr:from>
    <xdr:to>
      <xdr:col>2</xdr:col>
      <xdr:colOff>50800</xdr:colOff>
      <xdr:row>25</xdr:row>
      <xdr:rowOff>144404</xdr:rowOff>
    </xdr:to>
    <xdr:pic>
      <xdr:nvPicPr>
        <xdr:cNvPr id="7" name="Graphic 6" descr="Person with idea with solid fill">
          <a:hlinkClick xmlns:r="http://schemas.openxmlformats.org/officeDocument/2006/relationships" r:id="rId16"/>
          <a:extLst>
            <a:ext uri="{FF2B5EF4-FFF2-40B4-BE49-F238E27FC236}">
              <a16:creationId xmlns:a16="http://schemas.microsoft.com/office/drawing/2014/main" id="{7042B50D-DE89-4C7F-8D03-3E86F56403F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49200" y="4059104"/>
          <a:ext cx="720800" cy="741120"/>
        </a:xfrm>
        <a:prstGeom prst="rect">
          <a:avLst/>
        </a:prstGeom>
      </xdr:spPr>
    </xdr:pic>
    <xdr:clientData/>
  </xdr:twoCellAnchor>
  <xdr:twoCellAnchor editAs="oneCell">
    <xdr:from>
      <xdr:col>0</xdr:col>
      <xdr:colOff>602074</xdr:colOff>
      <xdr:row>13</xdr:row>
      <xdr:rowOff>150519</xdr:rowOff>
    </xdr:from>
    <xdr:to>
      <xdr:col>1</xdr:col>
      <xdr:colOff>583260</xdr:colOff>
      <xdr:row>17</xdr:row>
      <xdr:rowOff>28223</xdr:rowOff>
    </xdr:to>
    <xdr:pic>
      <xdr:nvPicPr>
        <xdr:cNvPr id="8" name="Graphic 7" descr="Checklist with solid fill">
          <a:hlinkClick xmlns:r="http://schemas.openxmlformats.org/officeDocument/2006/relationships" r:id="rId19"/>
          <a:extLst>
            <a:ext uri="{FF2B5EF4-FFF2-40B4-BE49-F238E27FC236}">
              <a16:creationId xmlns:a16="http://schemas.microsoft.com/office/drawing/2014/main" id="{8644CAED-E2C8-4377-927A-A1AA36C04B40}"/>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02074" y="2611779"/>
          <a:ext cx="590786" cy="6092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571078</xdr:colOff>
      <xdr:row>40</xdr:row>
      <xdr:rowOff>105881</xdr:rowOff>
    </xdr:from>
    <xdr:to>
      <xdr:col>2</xdr:col>
      <xdr:colOff>22578</xdr:colOff>
      <xdr:row>44</xdr:row>
      <xdr:rowOff>64440</xdr:rowOff>
    </xdr:to>
    <xdr:pic>
      <xdr:nvPicPr>
        <xdr:cNvPr id="2" name="Graphic 1" descr="Call center with solid fill">
          <a:hlinkClick xmlns:r="http://schemas.openxmlformats.org/officeDocument/2006/relationships" r:id="rId1"/>
          <a:extLst>
            <a:ext uri="{FF2B5EF4-FFF2-40B4-BE49-F238E27FC236}">
              <a16:creationId xmlns:a16="http://schemas.microsoft.com/office/drawing/2014/main" id="{2CA5390B-D55C-4836-92A5-1638D613E57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078" y="7504901"/>
          <a:ext cx="670700" cy="690079"/>
        </a:xfrm>
        <a:prstGeom prst="rect">
          <a:avLst/>
        </a:prstGeom>
      </xdr:spPr>
    </xdr:pic>
    <xdr:clientData/>
  </xdr:twoCellAnchor>
  <xdr:twoCellAnchor editAs="oneCell">
    <xdr:from>
      <xdr:col>0</xdr:col>
      <xdr:colOff>596900</xdr:colOff>
      <xdr:row>9</xdr:row>
      <xdr:rowOff>152400</xdr:rowOff>
    </xdr:from>
    <xdr:to>
      <xdr:col>2</xdr:col>
      <xdr:colOff>0</xdr:colOff>
      <xdr:row>13</xdr:row>
      <xdr:rowOff>63500</xdr:rowOff>
    </xdr:to>
    <xdr:pic>
      <xdr:nvPicPr>
        <xdr:cNvPr id="3" name="Graphic 2" descr="Daily calendar with solid fill">
          <a:hlinkClick xmlns:r="http://schemas.openxmlformats.org/officeDocument/2006/relationships" r:id="rId4"/>
          <a:extLst>
            <a:ext uri="{FF2B5EF4-FFF2-40B4-BE49-F238E27FC236}">
              <a16:creationId xmlns:a16="http://schemas.microsoft.com/office/drawing/2014/main" id="{C25C458B-3ABE-45DD-A9D8-CC12A323C09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96900" y="1882140"/>
          <a:ext cx="622300" cy="642620"/>
        </a:xfrm>
        <a:prstGeom prst="rect">
          <a:avLst/>
        </a:prstGeom>
      </xdr:spPr>
    </xdr:pic>
    <xdr:clientData/>
  </xdr:twoCellAnchor>
  <xdr:twoCellAnchor editAs="oneCell">
    <xdr:from>
      <xdr:col>0</xdr:col>
      <xdr:colOff>581800</xdr:colOff>
      <xdr:row>5</xdr:row>
      <xdr:rowOff>162700</xdr:rowOff>
    </xdr:from>
    <xdr:to>
      <xdr:col>2</xdr:col>
      <xdr:colOff>0</xdr:colOff>
      <xdr:row>9</xdr:row>
      <xdr:rowOff>83820</xdr:rowOff>
    </xdr:to>
    <xdr:pic>
      <xdr:nvPicPr>
        <xdr:cNvPr id="4" name="Graphic 3" descr="Database with solid fill">
          <a:hlinkClick xmlns:r="http://schemas.openxmlformats.org/officeDocument/2006/relationships" r:id="rId7"/>
          <a:extLst>
            <a:ext uri="{FF2B5EF4-FFF2-40B4-BE49-F238E27FC236}">
              <a16:creationId xmlns:a16="http://schemas.microsoft.com/office/drawing/2014/main" id="{3A8DA7DC-8B4F-4BA0-AA5A-868231F247C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81800" y="1115200"/>
          <a:ext cx="637400" cy="652640"/>
        </a:xfrm>
        <a:prstGeom prst="rect">
          <a:avLst/>
        </a:prstGeom>
      </xdr:spPr>
    </xdr:pic>
    <xdr:clientData/>
  </xdr:twoCellAnchor>
  <xdr:twoCellAnchor editAs="oneCell">
    <xdr:from>
      <xdr:col>0</xdr:col>
      <xdr:colOff>579400</xdr:colOff>
      <xdr:row>1</xdr:row>
      <xdr:rowOff>58700</xdr:rowOff>
    </xdr:from>
    <xdr:to>
      <xdr:col>2</xdr:col>
      <xdr:colOff>50800</xdr:colOff>
      <xdr:row>5</xdr:row>
      <xdr:rowOff>38100</xdr:rowOff>
    </xdr:to>
    <xdr:pic>
      <xdr:nvPicPr>
        <xdr:cNvPr id="5" name="Graphic 4" descr="Easel with solid fill">
          <a:hlinkClick xmlns:r="http://schemas.openxmlformats.org/officeDocument/2006/relationships" r:id="rId10"/>
          <a:extLst>
            <a:ext uri="{FF2B5EF4-FFF2-40B4-BE49-F238E27FC236}">
              <a16:creationId xmlns:a16="http://schemas.microsoft.com/office/drawing/2014/main" id="{A822625A-30FD-4E01-ADF0-C110951F7C6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79400" y="241580"/>
          <a:ext cx="690600" cy="710920"/>
        </a:xfrm>
        <a:prstGeom prst="rect">
          <a:avLst/>
        </a:prstGeom>
      </xdr:spPr>
    </xdr:pic>
    <xdr:clientData/>
  </xdr:twoCellAnchor>
  <xdr:twoCellAnchor editAs="oneCell">
    <xdr:from>
      <xdr:col>1</xdr:col>
      <xdr:colOff>30900</xdr:colOff>
      <xdr:row>18</xdr:row>
      <xdr:rowOff>18670</xdr:rowOff>
    </xdr:from>
    <xdr:to>
      <xdr:col>1</xdr:col>
      <xdr:colOff>571500</xdr:colOff>
      <xdr:row>21</xdr:row>
      <xdr:rowOff>25870</xdr:rowOff>
    </xdr:to>
    <xdr:pic>
      <xdr:nvPicPr>
        <xdr:cNvPr id="6" name="Graphic 5" descr="Mathematics with solid fill">
          <a:hlinkClick xmlns:r="http://schemas.openxmlformats.org/officeDocument/2006/relationships" r:id="rId13"/>
          <a:extLst>
            <a:ext uri="{FF2B5EF4-FFF2-40B4-BE49-F238E27FC236}">
              <a16:creationId xmlns:a16="http://schemas.microsoft.com/office/drawing/2014/main" id="{7CD03075-C1D3-4616-A86B-E2A630540D8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40500" y="3394330"/>
          <a:ext cx="540600" cy="555840"/>
        </a:xfrm>
        <a:prstGeom prst="rect">
          <a:avLst/>
        </a:prstGeom>
      </xdr:spPr>
    </xdr:pic>
    <xdr:clientData/>
  </xdr:twoCellAnchor>
  <xdr:twoCellAnchor editAs="oneCell">
    <xdr:from>
      <xdr:col>0</xdr:col>
      <xdr:colOff>549200</xdr:colOff>
      <xdr:row>21</xdr:row>
      <xdr:rowOff>134804</xdr:rowOff>
    </xdr:from>
    <xdr:to>
      <xdr:col>2</xdr:col>
      <xdr:colOff>50800</xdr:colOff>
      <xdr:row>25</xdr:row>
      <xdr:rowOff>144404</xdr:rowOff>
    </xdr:to>
    <xdr:pic>
      <xdr:nvPicPr>
        <xdr:cNvPr id="7" name="Graphic 6" descr="Person with idea with solid fill">
          <a:hlinkClick xmlns:r="http://schemas.openxmlformats.org/officeDocument/2006/relationships" r:id="rId16"/>
          <a:extLst>
            <a:ext uri="{FF2B5EF4-FFF2-40B4-BE49-F238E27FC236}">
              <a16:creationId xmlns:a16="http://schemas.microsoft.com/office/drawing/2014/main" id="{CFC78EA5-F0DE-4461-A422-41822A9EE45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49200" y="4059104"/>
          <a:ext cx="720800" cy="741120"/>
        </a:xfrm>
        <a:prstGeom prst="rect">
          <a:avLst/>
        </a:prstGeom>
      </xdr:spPr>
    </xdr:pic>
    <xdr:clientData/>
  </xdr:twoCellAnchor>
  <xdr:twoCellAnchor editAs="oneCell">
    <xdr:from>
      <xdr:col>0</xdr:col>
      <xdr:colOff>602074</xdr:colOff>
      <xdr:row>13</xdr:row>
      <xdr:rowOff>150519</xdr:rowOff>
    </xdr:from>
    <xdr:to>
      <xdr:col>1</xdr:col>
      <xdr:colOff>583260</xdr:colOff>
      <xdr:row>17</xdr:row>
      <xdr:rowOff>28223</xdr:rowOff>
    </xdr:to>
    <xdr:pic>
      <xdr:nvPicPr>
        <xdr:cNvPr id="8" name="Graphic 7" descr="Checklist with solid fill">
          <a:hlinkClick xmlns:r="http://schemas.openxmlformats.org/officeDocument/2006/relationships" r:id="rId19"/>
          <a:extLst>
            <a:ext uri="{FF2B5EF4-FFF2-40B4-BE49-F238E27FC236}">
              <a16:creationId xmlns:a16="http://schemas.microsoft.com/office/drawing/2014/main" id="{40275F6B-F44A-40CD-9B8F-0BC999A820FB}"/>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02074" y="2611779"/>
          <a:ext cx="590786" cy="6092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571078</xdr:colOff>
      <xdr:row>40</xdr:row>
      <xdr:rowOff>105881</xdr:rowOff>
    </xdr:from>
    <xdr:to>
      <xdr:col>2</xdr:col>
      <xdr:colOff>37818</xdr:colOff>
      <xdr:row>44</xdr:row>
      <xdr:rowOff>49200</xdr:rowOff>
    </xdr:to>
    <xdr:pic>
      <xdr:nvPicPr>
        <xdr:cNvPr id="2" name="Graphic 1" descr="Call center with solid fill">
          <a:hlinkClick xmlns:r="http://schemas.openxmlformats.org/officeDocument/2006/relationships" r:id="rId1"/>
          <a:extLst>
            <a:ext uri="{FF2B5EF4-FFF2-40B4-BE49-F238E27FC236}">
              <a16:creationId xmlns:a16="http://schemas.microsoft.com/office/drawing/2014/main" id="{80817650-13BC-4144-A648-5E5FCC7969D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078" y="7504901"/>
          <a:ext cx="670700" cy="690079"/>
        </a:xfrm>
        <a:prstGeom prst="rect">
          <a:avLst/>
        </a:prstGeom>
      </xdr:spPr>
    </xdr:pic>
    <xdr:clientData/>
  </xdr:twoCellAnchor>
  <xdr:twoCellAnchor editAs="oneCell">
    <xdr:from>
      <xdr:col>0</xdr:col>
      <xdr:colOff>596900</xdr:colOff>
      <xdr:row>9</xdr:row>
      <xdr:rowOff>152400</xdr:rowOff>
    </xdr:from>
    <xdr:to>
      <xdr:col>2</xdr:col>
      <xdr:colOff>15240</xdr:colOff>
      <xdr:row>13</xdr:row>
      <xdr:rowOff>63500</xdr:rowOff>
    </xdr:to>
    <xdr:pic>
      <xdr:nvPicPr>
        <xdr:cNvPr id="3" name="Graphic 2" descr="Daily calendar with solid fill">
          <a:hlinkClick xmlns:r="http://schemas.openxmlformats.org/officeDocument/2006/relationships" r:id="rId4"/>
          <a:extLst>
            <a:ext uri="{FF2B5EF4-FFF2-40B4-BE49-F238E27FC236}">
              <a16:creationId xmlns:a16="http://schemas.microsoft.com/office/drawing/2014/main" id="{8FBA41E2-9A28-4892-BC27-896BF99C9CD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96900" y="1882140"/>
          <a:ext cx="622300" cy="642620"/>
        </a:xfrm>
        <a:prstGeom prst="rect">
          <a:avLst/>
        </a:prstGeom>
      </xdr:spPr>
    </xdr:pic>
    <xdr:clientData/>
  </xdr:twoCellAnchor>
  <xdr:twoCellAnchor editAs="oneCell">
    <xdr:from>
      <xdr:col>0</xdr:col>
      <xdr:colOff>581800</xdr:colOff>
      <xdr:row>5</xdr:row>
      <xdr:rowOff>162700</xdr:rowOff>
    </xdr:from>
    <xdr:to>
      <xdr:col>2</xdr:col>
      <xdr:colOff>15240</xdr:colOff>
      <xdr:row>9</xdr:row>
      <xdr:rowOff>68580</xdr:rowOff>
    </xdr:to>
    <xdr:pic>
      <xdr:nvPicPr>
        <xdr:cNvPr id="4" name="Graphic 3" descr="Database with solid fill">
          <a:hlinkClick xmlns:r="http://schemas.openxmlformats.org/officeDocument/2006/relationships" r:id="rId7"/>
          <a:extLst>
            <a:ext uri="{FF2B5EF4-FFF2-40B4-BE49-F238E27FC236}">
              <a16:creationId xmlns:a16="http://schemas.microsoft.com/office/drawing/2014/main" id="{EF42B7F9-8BBA-48ED-A77F-B109F2D6F73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81800" y="1115200"/>
          <a:ext cx="637400" cy="652640"/>
        </a:xfrm>
        <a:prstGeom prst="rect">
          <a:avLst/>
        </a:prstGeom>
      </xdr:spPr>
    </xdr:pic>
    <xdr:clientData/>
  </xdr:twoCellAnchor>
  <xdr:twoCellAnchor editAs="oneCell">
    <xdr:from>
      <xdr:col>0</xdr:col>
      <xdr:colOff>579400</xdr:colOff>
      <xdr:row>1</xdr:row>
      <xdr:rowOff>58700</xdr:rowOff>
    </xdr:from>
    <xdr:to>
      <xdr:col>2</xdr:col>
      <xdr:colOff>66040</xdr:colOff>
      <xdr:row>5</xdr:row>
      <xdr:rowOff>0</xdr:rowOff>
    </xdr:to>
    <xdr:pic>
      <xdr:nvPicPr>
        <xdr:cNvPr id="5" name="Graphic 4" descr="Easel with solid fill">
          <a:hlinkClick xmlns:r="http://schemas.openxmlformats.org/officeDocument/2006/relationships" r:id="rId10"/>
          <a:extLst>
            <a:ext uri="{FF2B5EF4-FFF2-40B4-BE49-F238E27FC236}">
              <a16:creationId xmlns:a16="http://schemas.microsoft.com/office/drawing/2014/main" id="{F90908C4-C82F-47E5-8882-5AB0481A4ED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79400" y="241580"/>
          <a:ext cx="690600" cy="710920"/>
        </a:xfrm>
        <a:prstGeom prst="rect">
          <a:avLst/>
        </a:prstGeom>
      </xdr:spPr>
    </xdr:pic>
    <xdr:clientData/>
  </xdr:twoCellAnchor>
  <xdr:twoCellAnchor editAs="oneCell">
    <xdr:from>
      <xdr:col>1</xdr:col>
      <xdr:colOff>30900</xdr:colOff>
      <xdr:row>18</xdr:row>
      <xdr:rowOff>18670</xdr:rowOff>
    </xdr:from>
    <xdr:to>
      <xdr:col>1</xdr:col>
      <xdr:colOff>571500</xdr:colOff>
      <xdr:row>21</xdr:row>
      <xdr:rowOff>25870</xdr:rowOff>
    </xdr:to>
    <xdr:pic>
      <xdr:nvPicPr>
        <xdr:cNvPr id="6" name="Graphic 5" descr="Mathematics with solid fill">
          <a:hlinkClick xmlns:r="http://schemas.openxmlformats.org/officeDocument/2006/relationships" r:id="rId13"/>
          <a:extLst>
            <a:ext uri="{FF2B5EF4-FFF2-40B4-BE49-F238E27FC236}">
              <a16:creationId xmlns:a16="http://schemas.microsoft.com/office/drawing/2014/main" id="{6ED941D6-0AB2-44D8-9648-3EEA4BB69DB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40500" y="3394330"/>
          <a:ext cx="540600" cy="555840"/>
        </a:xfrm>
        <a:prstGeom prst="rect">
          <a:avLst/>
        </a:prstGeom>
      </xdr:spPr>
    </xdr:pic>
    <xdr:clientData/>
  </xdr:twoCellAnchor>
  <xdr:twoCellAnchor editAs="oneCell">
    <xdr:from>
      <xdr:col>0</xdr:col>
      <xdr:colOff>549200</xdr:colOff>
      <xdr:row>21</xdr:row>
      <xdr:rowOff>134804</xdr:rowOff>
    </xdr:from>
    <xdr:to>
      <xdr:col>2</xdr:col>
      <xdr:colOff>66040</xdr:colOff>
      <xdr:row>25</xdr:row>
      <xdr:rowOff>129164</xdr:rowOff>
    </xdr:to>
    <xdr:pic>
      <xdr:nvPicPr>
        <xdr:cNvPr id="7" name="Graphic 6" descr="Person with idea with solid fill">
          <a:hlinkClick xmlns:r="http://schemas.openxmlformats.org/officeDocument/2006/relationships" r:id="rId16"/>
          <a:extLst>
            <a:ext uri="{FF2B5EF4-FFF2-40B4-BE49-F238E27FC236}">
              <a16:creationId xmlns:a16="http://schemas.microsoft.com/office/drawing/2014/main" id="{CC660DF9-35EE-4070-A16A-0B3372BDCFF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49200" y="4059104"/>
          <a:ext cx="720800" cy="741120"/>
        </a:xfrm>
        <a:prstGeom prst="rect">
          <a:avLst/>
        </a:prstGeom>
      </xdr:spPr>
    </xdr:pic>
    <xdr:clientData/>
  </xdr:twoCellAnchor>
  <xdr:twoCellAnchor editAs="oneCell">
    <xdr:from>
      <xdr:col>0</xdr:col>
      <xdr:colOff>602074</xdr:colOff>
      <xdr:row>13</xdr:row>
      <xdr:rowOff>150519</xdr:rowOff>
    </xdr:from>
    <xdr:to>
      <xdr:col>1</xdr:col>
      <xdr:colOff>590880</xdr:colOff>
      <xdr:row>17</xdr:row>
      <xdr:rowOff>12983</xdr:rowOff>
    </xdr:to>
    <xdr:pic>
      <xdr:nvPicPr>
        <xdr:cNvPr id="8" name="Graphic 7" descr="Checklist with solid fill">
          <a:hlinkClick xmlns:r="http://schemas.openxmlformats.org/officeDocument/2006/relationships" r:id="rId19"/>
          <a:extLst>
            <a:ext uri="{FF2B5EF4-FFF2-40B4-BE49-F238E27FC236}">
              <a16:creationId xmlns:a16="http://schemas.microsoft.com/office/drawing/2014/main" id="{28364DCA-D442-4AE7-88B8-FAD0CC54C77D}"/>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02074" y="2611779"/>
          <a:ext cx="590786" cy="60922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see" refreshedDate="46178.476274652778" createdVersion="8" refreshedVersion="8" minRefreshableVersion="3" recordCount="2000" xr:uid="{B82D7934-74A8-4D09-8131-25F71383B5C8}">
  <cacheSource type="worksheet">
    <worksheetSource name="Data"/>
  </cacheSource>
  <cacheFields count="14">
    <cacheField name="Order_ID" numFmtId="0">
      <sharedItems/>
    </cacheField>
    <cacheField name="Order_Date" numFmtId="14">
      <sharedItems containsSemiMixedTypes="0" containsNonDate="0" containsDate="1" containsString="0" minDate="2024-01-01T00:00:00" maxDate="2025-01-01T00:00:00" count="365">
        <d v="2024-11-23T00:00:00"/>
        <d v="2024-10-29T00:00:00"/>
        <d v="2024-12-25T00:00:00"/>
        <d v="2024-04-20T00:00:00"/>
        <d v="2024-08-23T00:00:00"/>
        <d v="2024-01-24T00:00:00"/>
        <d v="2024-06-30T00:00:00"/>
        <d v="2024-05-18T00:00:00"/>
        <d v="2024-10-17T00:00:00"/>
        <d v="2024-10-14T00:00:00"/>
        <d v="2024-02-26T00:00:00"/>
        <d v="2024-01-06T00:00:00"/>
        <d v="2024-05-14T00:00:00"/>
        <d v="2024-01-01T00:00:00"/>
        <d v="2024-02-10T00:00:00"/>
        <d v="2024-11-06T00:00:00"/>
        <d v="2024-05-06T00:00:00"/>
        <d v="2024-01-31T00:00:00"/>
        <d v="2024-10-19T00:00:00"/>
        <d v="2024-01-28T00:00:00"/>
        <d v="2024-05-22T00:00:00"/>
        <d v="2024-05-01T00:00:00"/>
        <d v="2024-05-15T00:00:00"/>
        <d v="2024-06-09T00:00:00"/>
        <d v="2024-02-04T00:00:00"/>
        <d v="2024-10-16T00:00:00"/>
        <d v="2024-06-10T00:00:00"/>
        <d v="2024-02-05T00:00:00"/>
        <d v="2024-09-27T00:00:00"/>
        <d v="2024-11-05T00:00:00"/>
        <d v="2024-05-21T00:00:00"/>
        <d v="2024-02-27T00:00:00"/>
        <d v="2024-01-21T00:00:00"/>
        <d v="2024-05-07T00:00:00"/>
        <d v="2024-06-28T00:00:00"/>
        <d v="2024-01-20T00:00:00"/>
        <d v="2024-05-10T00:00:00"/>
        <d v="2024-12-05T00:00:00"/>
        <d v="2024-07-13T00:00:00"/>
        <d v="2024-08-14T00:00:00"/>
        <d v="2024-02-17T00:00:00"/>
        <d v="2024-08-21T00:00:00"/>
        <d v="2024-02-24T00:00:00"/>
        <d v="2024-12-07T00:00:00"/>
        <d v="2024-11-22T00:00:00"/>
        <d v="2024-10-03T00:00:00"/>
        <d v="2024-08-26T00:00:00"/>
        <d v="2024-10-21T00:00:00"/>
        <d v="2024-11-04T00:00:00"/>
        <d v="2024-03-25T00:00:00"/>
        <d v="2024-08-24T00:00:00"/>
        <d v="2024-08-03T00:00:00"/>
        <d v="2024-11-29T00:00:00"/>
        <d v="2024-04-21T00:00:00"/>
        <d v="2024-06-08T00:00:00"/>
        <d v="2024-12-16T00:00:00"/>
        <d v="2024-09-07T00:00:00"/>
        <d v="2024-11-11T00:00:00"/>
        <d v="2024-08-25T00:00:00"/>
        <d v="2024-11-01T00:00:00"/>
        <d v="2024-08-31T00:00:00"/>
        <d v="2024-10-10T00:00:00"/>
        <d v="2024-04-08T00:00:00"/>
        <d v="2024-09-25T00:00:00"/>
        <d v="2024-08-28T00:00:00"/>
        <d v="2024-02-07T00:00:00"/>
        <d v="2024-02-20T00:00:00"/>
        <d v="2024-12-18T00:00:00"/>
        <d v="2024-11-16T00:00:00"/>
        <d v="2024-06-06T00:00:00"/>
        <d v="2024-11-02T00:00:00"/>
        <d v="2024-01-11T00:00:00"/>
        <d v="2024-02-16T00:00:00"/>
        <d v="2024-05-16T00:00:00"/>
        <d v="2024-01-08T00:00:00"/>
        <d v="2024-12-27T00:00:00"/>
        <d v="2024-03-10T00:00:00"/>
        <d v="2024-10-23T00:00:00"/>
        <d v="2024-04-06T00:00:00"/>
        <d v="2024-09-26T00:00:00"/>
        <d v="2024-06-22T00:00:00"/>
        <d v="2024-11-19T00:00:00"/>
        <d v="2024-01-15T00:00:00"/>
        <d v="2024-04-02T00:00:00"/>
        <d v="2024-10-27T00:00:00"/>
        <d v="2024-07-14T00:00:00"/>
        <d v="2024-01-26T00:00:00"/>
        <d v="2024-12-03T00:00:00"/>
        <d v="2024-05-31T00:00:00"/>
        <d v="2024-12-12T00:00:00"/>
        <d v="2024-11-27T00:00:00"/>
        <d v="2024-02-19T00:00:00"/>
        <d v="2024-07-31T00:00:00"/>
        <d v="2024-07-04T00:00:00"/>
        <d v="2024-04-16T00:00:00"/>
        <d v="2024-01-23T00:00:00"/>
        <d v="2024-08-15T00:00:00"/>
        <d v="2024-07-09T00:00:00"/>
        <d v="2024-02-28T00:00:00"/>
        <d v="2024-06-07T00:00:00"/>
        <d v="2024-01-16T00:00:00"/>
        <d v="2024-05-28T00:00:00"/>
        <d v="2024-12-08T00:00:00"/>
        <d v="2024-12-29T00:00:00"/>
        <d v="2024-03-31T00:00:00"/>
        <d v="2024-05-26T00:00:00"/>
        <d v="2024-10-31T00:00:00"/>
        <d v="2024-02-09T00:00:00"/>
        <d v="2024-08-17T00:00:00"/>
        <d v="2024-02-22T00:00:00"/>
        <d v="2024-04-23T00:00:00"/>
        <d v="2024-04-24T00:00:00"/>
        <d v="2024-12-22T00:00:00"/>
        <d v="2024-02-02T00:00:00"/>
        <d v="2024-11-10T00:00:00"/>
        <d v="2024-11-25T00:00:00"/>
        <d v="2024-05-30T00:00:00"/>
        <d v="2024-05-09T00:00:00"/>
        <d v="2024-07-23T00:00:00"/>
        <d v="2024-08-05T00:00:00"/>
        <d v="2024-08-16T00:00:00"/>
        <d v="2024-01-30T00:00:00"/>
        <d v="2024-04-05T00:00:00"/>
        <d v="2024-09-08T00:00:00"/>
        <d v="2024-06-12T00:00:00"/>
        <d v="2024-04-12T00:00:00"/>
        <d v="2024-11-09T00:00:00"/>
        <d v="2024-10-09T00:00:00"/>
        <d v="2024-04-25T00:00:00"/>
        <d v="2024-09-30T00:00:00"/>
        <d v="2024-11-17T00:00:00"/>
        <d v="2024-09-04T00:00:00"/>
        <d v="2024-04-07T00:00:00"/>
        <d v="2024-08-22T00:00:00"/>
        <d v="2024-10-18T00:00:00"/>
        <d v="2024-12-14T00:00:00"/>
        <d v="2024-04-11T00:00:00"/>
        <d v="2024-09-20T00:00:00"/>
        <d v="2024-09-16T00:00:00"/>
        <d v="2024-04-14T00:00:00"/>
        <d v="2024-05-20T00:00:00"/>
        <d v="2024-03-11T00:00:00"/>
        <d v="2024-06-18T00:00:00"/>
        <d v="2024-09-15T00:00:00"/>
        <d v="2024-06-21T00:00:00"/>
        <d v="2024-04-04T00:00:00"/>
        <d v="2024-06-03T00:00:00"/>
        <d v="2024-09-14T00:00:00"/>
        <d v="2024-02-29T00:00:00"/>
        <d v="2024-08-04T00:00:00"/>
        <d v="2024-04-01T00:00:00"/>
        <d v="2024-09-29T00:00:00"/>
        <d v="2024-12-04T00:00:00"/>
        <d v="2024-01-25T00:00:00"/>
        <d v="2024-10-12T00:00:00"/>
        <d v="2024-03-17T00:00:00"/>
        <d v="2024-07-08T00:00:00"/>
        <d v="2024-03-01T00:00:00"/>
        <d v="2024-10-26T00:00:00"/>
        <d v="2024-12-28T00:00:00"/>
        <d v="2024-01-09T00:00:00"/>
        <d v="2024-11-30T00:00:00"/>
        <d v="2024-09-12T00:00:00"/>
        <d v="2024-07-18T00:00:00"/>
        <d v="2024-08-11T00:00:00"/>
        <d v="2024-07-11T00:00:00"/>
        <d v="2024-03-19T00:00:00"/>
        <d v="2024-05-04T00:00:00"/>
        <d v="2024-12-15T00:00:00"/>
        <d v="2024-06-04T00:00:00"/>
        <d v="2024-10-25T00:00:00"/>
        <d v="2024-09-13T00:00:00"/>
        <d v="2024-06-27T00:00:00"/>
        <d v="2024-08-09T00:00:00"/>
        <d v="2024-12-26T00:00:00"/>
        <d v="2024-06-01T00:00:00"/>
        <d v="2024-08-02T00:00:00"/>
        <d v="2024-04-22T00:00:00"/>
        <d v="2024-10-08T00:00:00"/>
        <d v="2024-07-29T00:00:00"/>
        <d v="2024-05-25T00:00:00"/>
        <d v="2024-11-28T00:00:00"/>
        <d v="2024-01-27T00:00:00"/>
        <d v="2024-10-30T00:00:00"/>
        <d v="2024-04-27T00:00:00"/>
        <d v="2024-03-09T00:00:00"/>
        <d v="2024-03-18T00:00:00"/>
        <d v="2024-08-07T00:00:00"/>
        <d v="2024-12-19T00:00:00"/>
        <d v="2024-05-02T00:00:00"/>
        <d v="2024-07-03T00:00:00"/>
        <d v="2024-03-20T00:00:00"/>
        <d v="2024-06-26T00:00:00"/>
        <d v="2024-07-07T00:00:00"/>
        <d v="2024-05-05T00:00:00"/>
        <d v="2024-12-01T00:00:00"/>
        <d v="2024-03-02T00:00:00"/>
        <d v="2024-01-13T00:00:00"/>
        <d v="2024-09-28T00:00:00"/>
        <d v="2024-09-23T00:00:00"/>
        <d v="2024-06-11T00:00:00"/>
        <d v="2024-07-01T00:00:00"/>
        <d v="2024-10-11T00:00:00"/>
        <d v="2024-07-17T00:00:00"/>
        <d v="2024-07-02T00:00:00"/>
        <d v="2024-10-20T00:00:00"/>
        <d v="2024-09-11T00:00:00"/>
        <d v="2024-09-02T00:00:00"/>
        <d v="2024-03-28T00:00:00"/>
        <d v="2024-11-24T00:00:00"/>
        <d v="2024-05-17T00:00:00"/>
        <d v="2024-12-31T00:00:00"/>
        <d v="2024-12-24T00:00:00"/>
        <d v="2024-02-21T00:00:00"/>
        <d v="2024-07-25T00:00:00"/>
        <d v="2024-07-10T00:00:00"/>
        <d v="2024-07-22T00:00:00"/>
        <d v="2024-03-24T00:00:00"/>
        <d v="2024-11-03T00:00:00"/>
        <d v="2024-01-14T00:00:00"/>
        <d v="2024-10-24T00:00:00"/>
        <d v="2024-02-11T00:00:00"/>
        <d v="2024-03-27T00:00:00"/>
        <d v="2024-01-03T00:00:00"/>
        <d v="2024-04-13T00:00:00"/>
        <d v="2024-01-02T00:00:00"/>
        <d v="2024-05-11T00:00:00"/>
        <d v="2024-03-22T00:00:00"/>
        <d v="2024-03-07T00:00:00"/>
        <d v="2024-12-13T00:00:00"/>
        <d v="2024-07-16T00:00:00"/>
        <d v="2024-11-13T00:00:00"/>
        <d v="2024-05-29T00:00:00"/>
        <d v="2024-10-28T00:00:00"/>
        <d v="2024-07-15T00:00:00"/>
        <d v="2024-09-19T00:00:00"/>
        <d v="2024-12-11T00:00:00"/>
        <d v="2024-03-23T00:00:00"/>
        <d v="2024-10-05T00:00:00"/>
        <d v="2024-11-12T00:00:00"/>
        <d v="2024-06-13T00:00:00"/>
        <d v="2024-09-17T00:00:00"/>
        <d v="2024-10-02T00:00:00"/>
        <d v="2024-08-10T00:00:00"/>
        <d v="2024-02-06T00:00:00"/>
        <d v="2024-07-19T00:00:00"/>
        <d v="2024-12-09T00:00:00"/>
        <d v="2024-07-06T00:00:00"/>
        <d v="2024-09-21T00:00:00"/>
        <d v="2024-07-12T00:00:00"/>
        <d v="2024-07-28T00:00:00"/>
        <d v="2024-09-22T00:00:00"/>
        <d v="2024-03-21T00:00:00"/>
        <d v="2024-07-30T00:00:00"/>
        <d v="2024-01-22T00:00:00"/>
        <d v="2024-09-18T00:00:00"/>
        <d v="2024-06-02T00:00:00"/>
        <d v="2024-08-18T00:00:00"/>
        <d v="2024-11-26T00:00:00"/>
        <d v="2024-12-21T00:00:00"/>
        <d v="2024-06-24T00:00:00"/>
        <d v="2024-03-15T00:00:00"/>
        <d v="2024-03-03T00:00:00"/>
        <d v="2024-02-15T00:00:00"/>
        <d v="2024-10-01T00:00:00"/>
        <d v="2024-12-02T00:00:00"/>
        <d v="2024-08-06T00:00:00"/>
        <d v="2024-06-29T00:00:00"/>
        <d v="2024-08-01T00:00:00"/>
        <d v="2024-04-17T00:00:00"/>
        <d v="2024-01-05T00:00:00"/>
        <d v="2024-04-28T00:00:00"/>
        <d v="2024-12-30T00:00:00"/>
        <d v="2024-04-15T00:00:00"/>
        <d v="2024-08-20T00:00:00"/>
        <d v="2024-03-08T00:00:00"/>
        <d v="2024-09-09T00:00:00"/>
        <d v="2024-10-07T00:00:00"/>
        <d v="2024-10-22T00:00:00"/>
        <d v="2024-12-20T00:00:00"/>
        <d v="2024-04-29T00:00:00"/>
        <d v="2024-05-19T00:00:00"/>
        <d v="2024-08-13T00:00:00"/>
        <d v="2024-06-15T00:00:00"/>
        <d v="2024-04-30T00:00:00"/>
        <d v="2024-03-12T00:00:00"/>
        <d v="2024-03-14T00:00:00"/>
        <d v="2024-09-03T00:00:00"/>
        <d v="2024-05-13T00:00:00"/>
        <d v="2024-02-12T00:00:00"/>
        <d v="2024-03-30T00:00:00"/>
        <d v="2024-01-17T00:00:00"/>
        <d v="2024-12-10T00:00:00"/>
        <d v="2024-02-23T00:00:00"/>
        <d v="2024-08-08T00:00:00"/>
        <d v="2024-01-10T00:00:00"/>
        <d v="2024-05-08T00:00:00"/>
        <d v="2024-08-29T00:00:00"/>
        <d v="2024-04-09T00:00:00"/>
        <d v="2024-05-03T00:00:00"/>
        <d v="2024-05-27T00:00:00"/>
        <d v="2024-07-26T00:00:00"/>
        <d v="2024-08-30T00:00:00"/>
        <d v="2024-11-21T00:00:00"/>
        <d v="2024-12-23T00:00:00"/>
        <d v="2024-06-23T00:00:00"/>
        <d v="2024-09-10T00:00:00"/>
        <d v="2024-07-05T00:00:00"/>
        <d v="2024-01-29T00:00:00"/>
        <d v="2024-08-12T00:00:00"/>
        <d v="2024-06-19T00:00:00"/>
        <d v="2024-06-16T00:00:00"/>
        <d v="2024-05-24T00:00:00"/>
        <d v="2024-03-16T00:00:00"/>
        <d v="2024-10-15T00:00:00"/>
        <d v="2024-02-14T00:00:00"/>
        <d v="2024-09-05T00:00:00"/>
        <d v="2024-08-27T00:00:00"/>
        <d v="2024-11-14T00:00:00"/>
        <d v="2024-02-01T00:00:00"/>
        <d v="2024-03-05T00:00:00"/>
        <d v="2024-03-04T00:00:00"/>
        <d v="2024-08-19T00:00:00"/>
        <d v="2024-01-19T00:00:00"/>
        <d v="2024-04-26T00:00:00"/>
        <d v="2024-04-10T00:00:00"/>
        <d v="2024-01-04T00:00:00"/>
        <d v="2024-11-15T00:00:00"/>
        <d v="2024-05-23T00:00:00"/>
        <d v="2024-06-05T00:00:00"/>
        <d v="2024-02-25T00:00:00"/>
        <d v="2024-07-24T00:00:00"/>
        <d v="2024-02-03T00:00:00"/>
        <d v="2024-12-06T00:00:00"/>
        <d v="2024-01-18T00:00:00"/>
        <d v="2024-11-20T00:00:00"/>
        <d v="2024-09-01T00:00:00"/>
        <d v="2024-06-17T00:00:00"/>
        <d v="2024-07-21T00:00:00"/>
        <d v="2024-10-13T00:00:00"/>
        <d v="2024-01-12T00:00:00"/>
        <d v="2024-12-17T00:00:00"/>
        <d v="2024-01-07T00:00:00"/>
        <d v="2024-06-20T00:00:00"/>
        <d v="2024-04-18T00:00:00"/>
        <d v="2024-03-06T00:00:00"/>
        <d v="2024-06-14T00:00:00"/>
        <d v="2024-10-06T00:00:00"/>
        <d v="2024-03-13T00:00:00"/>
        <d v="2024-11-07T00:00:00"/>
        <d v="2024-09-24T00:00:00"/>
        <d v="2024-06-25T00:00:00"/>
        <d v="2024-11-18T00:00:00"/>
        <d v="2024-04-03T00:00:00"/>
        <d v="2024-09-06T00:00:00"/>
        <d v="2024-11-08T00:00:00"/>
        <d v="2024-03-29T00:00:00"/>
        <d v="2024-10-04T00:00:00"/>
        <d v="2024-02-18T00:00:00"/>
        <d v="2024-07-20T00:00:00"/>
        <d v="2024-04-19T00:00:00"/>
        <d v="2024-07-27T00:00:00"/>
        <d v="2024-02-08T00:00:00"/>
        <d v="2024-03-26T00:00:00"/>
        <d v="2024-05-12T00:00:00"/>
      </sharedItems>
    </cacheField>
    <cacheField name="Ship_Date" numFmtId="14">
      <sharedItems containsSemiMixedTypes="0" containsNonDate="0" containsDate="1" containsString="0" minDate="2024-01-01T00:00:00" maxDate="2025-01-07T00:00:00"/>
    </cacheField>
    <cacheField name="Region" numFmtId="0">
      <sharedItems count="4">
        <s v="North"/>
        <s v="South"/>
        <s v="West"/>
        <s v="East"/>
      </sharedItems>
    </cacheField>
    <cacheField name="Category" numFmtId="0">
      <sharedItems count="3">
        <s v="Furniture"/>
        <s v="Technology"/>
        <s v="Office Supplies"/>
      </sharedItems>
    </cacheField>
    <cacheField name="Sub_Category" numFmtId="0">
      <sharedItems count="11">
        <s v="Chairs"/>
        <s v="Phones"/>
        <s v="Paper"/>
        <s v="Laptops"/>
        <s v="Accessories"/>
        <s v="Bookcases"/>
        <s v="Tables"/>
        <s v="Storage"/>
        <s v="Labels"/>
        <s v="Binders"/>
        <s v="Envelopes"/>
      </sharedItems>
    </cacheField>
    <cacheField name="Product_Name" numFmtId="0">
      <sharedItems count="34">
        <s v="HON Ignition"/>
        <s v="iPhone 15 Pro"/>
        <s v="HP Office 8.5x11"/>
        <s v="HP Spectre"/>
        <s v="Anker Hub"/>
        <s v="Threshold 5-Shelf"/>
        <s v="Sauder Studio"/>
        <s v="Realspace Magellan"/>
        <s v="Bush Furniture"/>
        <s v="Herman Miller Aeron"/>
        <s v="OnePlus 12"/>
        <s v="HP Docking Station"/>
        <s v="Rubbermaid ActionPacker"/>
        <s v="HERMA A4"/>
        <s v="Staples 2"/>
        <s v="Ameriwood L-Desk"/>
        <s v="Brother P-Touch"/>
        <s v="Office Depot #10"/>
        <s v="Prepac 6-Shelf"/>
        <s v="Better Homes 4-Shelf"/>
        <s v="Pixel 8"/>
        <s v="Hammermill 20lb"/>
        <s v="IKEA Markus"/>
        <s v="Avery 5160"/>
        <s v="mDesign Organizer"/>
        <s v="Lenovo ThinkPad"/>
        <s v="Apple MacBook Pro"/>
        <s v="Avery Heavy Duty"/>
        <s v="Mead 50-Count"/>
        <s v="Iris 4-Stack"/>
        <s v="Five Star Flex"/>
        <s v="Steelcase Leap"/>
        <s v="Dell XPS 15"/>
        <s v="Boise X-9"/>
      </sharedItems>
    </cacheField>
    <cacheField name="Sales" numFmtId="164">
      <sharedItems containsSemiMixedTypes="0" containsString="0" containsNumber="1" minValue="250.73" maxValue="3996.91"/>
    </cacheField>
    <cacheField name="Quantity" numFmtId="0">
      <sharedItems containsSemiMixedTypes="0" containsString="0" containsNumber="1" containsInteger="1" minValue="1" maxValue="20"/>
    </cacheField>
    <cacheField name="Discount" numFmtId="0">
      <sharedItems count="6">
        <s v="30%"/>
        <s v="0%"/>
        <s v="20%"/>
        <s v="10%"/>
        <s v="5%"/>
        <s v="15%"/>
      </sharedItems>
    </cacheField>
    <cacheField name="Profit" numFmtId="164">
      <sharedItems containsSemiMixedTypes="0" containsString="0" containsNumber="1" minValue="-1299.07" maxValue="1365.01"/>
    </cacheField>
    <cacheField name="Customer_Name" numFmtId="0">
      <sharedItems count="240">
        <s v="Diya Sharma"/>
        <s v="Diya Nair"/>
        <s v="Vivaan Gupta"/>
        <s v="Rahul Verma"/>
        <s v="Sai Mehta"/>
        <s v="Rahul Singh"/>
        <s v="Priya Kapoor"/>
        <s v="Vihaan Verma"/>
        <s v="Rahul Sharma"/>
        <s v="Rohan Desai"/>
        <s v="Kavya Reddy"/>
        <s v="Rohan Joshi"/>
        <s v="Ishita Sharma"/>
        <s v="Diya Shah"/>
        <s v="Diya Patel"/>
        <s v="Aarav Singh"/>
        <s v="Aditya Reddy"/>
        <s v="Arjun Nair"/>
        <s v="Diya Desai"/>
        <s v="Aditya Shah"/>
        <s v="Neha Mehta"/>
        <s v="Ishita Gupta"/>
        <s v="Aarav Reddy"/>
        <s v="Rohan Verma"/>
        <s v="Vivaan Patel"/>
        <s v="Aarav Sharma"/>
        <s v="Neha Gupta"/>
        <s v="Arjun Patel"/>
        <s v="Riya Joshi"/>
        <s v="Neha Verma"/>
        <s v="Vihaan Desai"/>
        <s v="Ananya Patel"/>
        <s v="Rahul Desai"/>
        <s v="Priya Verma"/>
        <s v="Reyansh Mehta"/>
        <s v="Rahul Patel"/>
        <s v="Meera Sharma"/>
        <s v="Reyansh Desai"/>
        <s v="Rohan Shah"/>
        <s v="Ananya Sharma"/>
        <s v="Riya Patel"/>
        <s v="Rahul Kapoor"/>
        <s v="Sneha Singh"/>
        <s v="Sneha Desai"/>
        <s v="Ananya Desai"/>
        <s v="Riya Kapoor"/>
        <s v="Rohan Singh"/>
        <s v="Ishita Patel"/>
        <s v="Aarav Kapoor"/>
        <s v="Diya Gupta"/>
        <s v="Meera Verma"/>
        <s v="Sai Patel"/>
        <s v="Meera Joshi"/>
        <s v="Vihaan Patel"/>
        <s v="Diya Reddy"/>
        <s v="Rohan Nair"/>
        <s v="Arjun Joshi"/>
        <s v="Reyansh Singh"/>
        <s v="Riya Reddy"/>
        <s v="Sai Kapoor"/>
        <s v="Kunal Mehta"/>
        <s v="Rahul Reddy"/>
        <s v="Meera Mehta"/>
        <s v="Meera Singh"/>
        <s v="Vivaan Reddy"/>
        <s v="Ishita Nair"/>
        <s v="Priya Sharma"/>
        <s v="Ananya Nair"/>
        <s v="Sai Sharma"/>
        <s v="Neha Shah"/>
        <s v="Kavya Joshi"/>
        <s v="Reyansh Gupta"/>
        <s v="Rahul Gupta"/>
        <s v="Sai Reddy"/>
        <s v="Pooja Nair"/>
        <s v="Sai Joshi"/>
        <s v="Arjun Kapoor"/>
        <s v="Riya Gupta"/>
        <s v="Diya Mehta"/>
        <s v="Vihaan Singh"/>
        <s v="Ananya Gupta"/>
        <s v="Kunal Shah"/>
        <s v="Rahul Mehta"/>
        <s v="Sai Shah"/>
        <s v="Pooja Sharma"/>
        <s v="Sai Nair"/>
        <s v="Meera Reddy"/>
        <s v="Vihaan Shah"/>
        <s v="Aditya Gupta"/>
        <s v="Arjun Reddy"/>
        <s v="Pooja Shah"/>
        <s v="Reyansh Verma"/>
        <s v="Pooja Mehta"/>
        <s v="Ishita Mehta"/>
        <s v="Pooja Verma"/>
        <s v="Aditya Kapoor"/>
        <s v="Kavya Patel"/>
        <s v="Priya Nair"/>
        <s v="Vihaan Gupta"/>
        <s v="Vivaan Singh"/>
        <s v="Riya Mehta"/>
        <s v="Neha Joshi"/>
        <s v="Kunal Sharma"/>
        <s v="Riya Sharma"/>
        <s v="Priya Mehta"/>
        <s v="Priya Singh"/>
        <s v="Aarav Mehta"/>
        <s v="Arjun Verma"/>
        <s v="Kavya Shah"/>
        <s v="Rohan Patel"/>
        <s v="Sneha Patel"/>
        <s v="Reyansh Shah"/>
        <s v="Reyansh Joshi"/>
        <s v="Rahul Shah"/>
        <s v="Kavya Kapoor"/>
        <s v="Meera Patel"/>
        <s v="Arjun Shah"/>
        <s v="Ananya Mehta"/>
        <s v="Riya Singh"/>
        <s v="Arjun Singh"/>
        <s v="Rohan Mehta"/>
        <s v="Neha Desai"/>
        <s v="Aarav Desai"/>
        <s v="Sai Gupta"/>
        <s v="Sneha Sharma"/>
        <s v="Vihaan Joshi"/>
        <s v="Ananya Singh"/>
        <s v="Sneha Gupta"/>
        <s v="Vihaan Sharma"/>
        <s v="Ishita Reddy"/>
        <s v="Neha Reddy"/>
        <s v="Neha Singh"/>
        <s v="Kavya Mehta"/>
        <s v="Meera Nair"/>
        <s v="Rohan Gupta"/>
        <s v="Aditya Sharma"/>
        <s v="Aarav Verma"/>
        <s v="Aditya Desai"/>
        <s v="Sneha Reddy"/>
        <s v="Kunal Joshi"/>
        <s v="Reyansh Kapoor"/>
        <s v="Kunal Reddy"/>
        <s v="Aditya Verma"/>
        <s v="Kavya Nair"/>
        <s v="Sneha Mehta"/>
        <s v="Priya Gupta"/>
        <s v="Vivaan Mehta"/>
        <s v="Pooja Reddy"/>
        <s v="Kunal Desai"/>
        <s v="Ishita Kapoor"/>
        <s v="Sneha Nair"/>
        <s v="Reyansh Nair"/>
        <s v="Reyansh Sharma"/>
        <s v="Kunal Nair"/>
        <s v="Sneha Joshi"/>
        <s v="Neha Patel"/>
        <s v="Rahul Nair"/>
        <s v="Vivaan Verma"/>
        <s v="Kunal Singh"/>
        <s v="Vivaan Joshi"/>
        <s v="Priya Patel"/>
        <s v="Riya Shah"/>
        <s v="Aditya Singh"/>
        <s v="Diya Singh"/>
        <s v="Sneha Shah"/>
        <s v="Ananya Shah"/>
        <s v="Sai Desai"/>
        <s v="Pooja Joshi"/>
        <s v="Reyansh Patel"/>
        <s v="Kunal Kapoor"/>
        <s v="Meera Desai"/>
        <s v="Ananya Kapoor"/>
        <s v="Aarav Patel"/>
        <s v="Riya Nair"/>
        <s v="Pooja Desai"/>
        <s v="Vihaan Nair"/>
        <s v="Rohan Kapoor"/>
        <s v="Kunal Patel"/>
        <s v="Vivaan Sharma"/>
        <s v="Sai Singh"/>
        <s v="Rohan Sharma"/>
        <s v="Sneha Verma"/>
        <s v="Neha Sharma"/>
        <s v="Kavya Sharma"/>
        <s v="Meera Kapoor"/>
        <s v="Priya Shah"/>
        <s v="Priya Joshi"/>
        <s v="Neha Kapoor"/>
        <s v="Ishita Singh"/>
        <s v="Kavya Verma"/>
        <s v="Vihaan Mehta"/>
        <s v="Aarav Nair"/>
        <s v="Pooja Singh"/>
        <s v="Aditya Joshi"/>
        <s v="Riya Verma"/>
        <s v="Ishita Verma"/>
        <s v="Ananya Reddy"/>
        <s v="Neha Nair"/>
        <s v="Riya Desai"/>
        <s v="Meera Shah"/>
        <s v="Vivaan Nair"/>
        <s v="Arjun Gupta"/>
        <s v="Ishita Desai"/>
        <s v="Sneha Kapoor"/>
        <s v="Pooja Kapoor"/>
        <s v="Rohan Reddy"/>
        <s v="Aarav Gupta"/>
        <s v="Kunal Verma"/>
        <s v="Priya Reddy"/>
        <s v="Vivaan Desai"/>
        <s v="Kavya Singh"/>
        <s v="Vivaan Kapoor"/>
        <s v="Diya Kapoor"/>
        <s v="Vivaan Shah"/>
        <s v="Diya Joshi"/>
        <s v="Ananya Joshi"/>
        <s v="Aditya Nair"/>
        <s v="Kunal Gupta"/>
        <s v="Vihaan Kapoor"/>
        <s v="Arjun Desai"/>
        <s v="Kavya Gupta"/>
        <s v="Kavya Desai"/>
        <s v="Aditya Patel"/>
        <s v="Aarav Joshi"/>
        <s v="Reyansh Reddy"/>
        <s v="Pooja Gupta"/>
        <s v="Vihaan Reddy"/>
        <s v="Aditya Mehta"/>
        <s v="Arjun Mehta"/>
        <s v="Ishita Joshi"/>
        <s v="Diya Verma"/>
        <s v="Aarav Shah"/>
        <s v="Ananya Verma"/>
        <s v="Rahul Joshi"/>
        <s v="Priya Desai"/>
        <s v="Sai Verma"/>
        <s v="Pooja Patel"/>
        <s v="Ishita Shah"/>
        <s v="Meera Gupta"/>
        <s v="Arjun Sharma"/>
      </sharedItems>
    </cacheField>
    <cacheField name="Segment" numFmtId="0">
      <sharedItems count="3">
        <s v="Home Office"/>
        <s v="Corporate"/>
        <s v="Consumer"/>
      </sharedItems>
    </cacheField>
    <cacheField name="Order_Month" numFmtId="0">
      <sharedItems count="12">
        <s v="Nov"/>
        <s v="Oct"/>
        <s v="Dec"/>
        <s v="Apr"/>
        <s v="Aug"/>
        <s v="Jan"/>
        <s v="Jun"/>
        <s v="May"/>
        <s v="Feb"/>
        <s v="Sep"/>
        <s v="Jul"/>
        <s v="Mar"/>
      </sharedItems>
    </cacheField>
  </cacheFields>
  <extLst>
    <ext xmlns:x14="http://schemas.microsoft.com/office/spreadsheetml/2009/9/main" uri="{725AE2AE-9491-48be-B2B4-4EB974FC3084}">
      <x14:pivotCacheDefinition pivotCacheId="19459258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d v="2024-11-24T00:00:00"/>
    <x v="0"/>
    <x v="0"/>
    <x v="0"/>
    <x v="0"/>
    <n v="1087.04"/>
    <n v="4"/>
    <x v="0"/>
    <n v="295.89"/>
    <x v="0"/>
    <x v="0"/>
    <x v="0"/>
  </r>
  <r>
    <s v="ORD-1002"/>
    <x v="1"/>
    <d v="2024-11-04T00:00:00"/>
    <x v="0"/>
    <x v="1"/>
    <x v="1"/>
    <x v="1"/>
    <n v="1122.48"/>
    <n v="20"/>
    <x v="1"/>
    <n v="245.12"/>
    <x v="1"/>
    <x v="0"/>
    <x v="1"/>
  </r>
  <r>
    <s v="ORD-1003"/>
    <x v="2"/>
    <d v="2024-12-31T00:00:00"/>
    <x v="1"/>
    <x v="2"/>
    <x v="2"/>
    <x v="2"/>
    <n v="3095.53"/>
    <n v="6"/>
    <x v="0"/>
    <n v="547.24"/>
    <x v="2"/>
    <x v="0"/>
    <x v="2"/>
  </r>
  <r>
    <s v="ORD-1004"/>
    <x v="3"/>
    <d v="2024-04-25T00:00:00"/>
    <x v="0"/>
    <x v="1"/>
    <x v="3"/>
    <x v="3"/>
    <n v="1596.17"/>
    <n v="12"/>
    <x v="2"/>
    <n v="-206.47"/>
    <x v="3"/>
    <x v="0"/>
    <x v="3"/>
  </r>
  <r>
    <s v="ORD-1005"/>
    <x v="4"/>
    <d v="2024-08-24T00:00:00"/>
    <x v="2"/>
    <x v="1"/>
    <x v="4"/>
    <x v="4"/>
    <n v="3360.27"/>
    <n v="20"/>
    <x v="3"/>
    <n v="750.03"/>
    <x v="4"/>
    <x v="1"/>
    <x v="4"/>
  </r>
  <r>
    <s v="ORD-1006"/>
    <x v="5"/>
    <d v="2024-01-27T00:00:00"/>
    <x v="3"/>
    <x v="1"/>
    <x v="1"/>
    <x v="1"/>
    <n v="1675.47"/>
    <n v="15"/>
    <x v="0"/>
    <n v="503.03"/>
    <x v="5"/>
    <x v="2"/>
    <x v="5"/>
  </r>
  <r>
    <s v="ORD-1007"/>
    <x v="6"/>
    <d v="2024-07-03T00:00:00"/>
    <x v="3"/>
    <x v="0"/>
    <x v="5"/>
    <x v="5"/>
    <n v="2631.17"/>
    <n v="18"/>
    <x v="0"/>
    <n v="324.8"/>
    <x v="6"/>
    <x v="2"/>
    <x v="6"/>
  </r>
  <r>
    <s v="ORD-1008"/>
    <x v="7"/>
    <d v="2024-05-21T00:00:00"/>
    <x v="3"/>
    <x v="1"/>
    <x v="1"/>
    <x v="1"/>
    <n v="3268.92"/>
    <n v="13"/>
    <x v="3"/>
    <n v="228.36"/>
    <x v="7"/>
    <x v="0"/>
    <x v="7"/>
  </r>
  <r>
    <s v="ORD-1009"/>
    <x v="8"/>
    <d v="2024-10-22T00:00:00"/>
    <x v="1"/>
    <x v="0"/>
    <x v="6"/>
    <x v="6"/>
    <n v="3567.56"/>
    <n v="15"/>
    <x v="4"/>
    <n v="461.87"/>
    <x v="8"/>
    <x v="0"/>
    <x v="1"/>
  </r>
  <r>
    <s v="ORD-1010"/>
    <x v="9"/>
    <d v="2024-10-18T00:00:00"/>
    <x v="2"/>
    <x v="0"/>
    <x v="6"/>
    <x v="7"/>
    <n v="1072.45"/>
    <n v="5"/>
    <x v="2"/>
    <n v="212.4"/>
    <x v="9"/>
    <x v="1"/>
    <x v="1"/>
  </r>
  <r>
    <s v="ORD-1011"/>
    <x v="10"/>
    <d v="2024-02-28T00:00:00"/>
    <x v="1"/>
    <x v="0"/>
    <x v="6"/>
    <x v="8"/>
    <n v="1692.88"/>
    <n v="20"/>
    <x v="5"/>
    <n v="353.36"/>
    <x v="10"/>
    <x v="1"/>
    <x v="8"/>
  </r>
  <r>
    <s v="ORD-1012"/>
    <x v="11"/>
    <d v="2024-01-07T00:00:00"/>
    <x v="3"/>
    <x v="0"/>
    <x v="0"/>
    <x v="9"/>
    <n v="1350.63"/>
    <n v="6"/>
    <x v="5"/>
    <n v="68.849999999999994"/>
    <x v="11"/>
    <x v="0"/>
    <x v="5"/>
  </r>
  <r>
    <s v="ORD-1013"/>
    <x v="12"/>
    <d v="2024-05-16T00:00:00"/>
    <x v="0"/>
    <x v="0"/>
    <x v="0"/>
    <x v="0"/>
    <n v="823.15"/>
    <n v="6"/>
    <x v="2"/>
    <n v="276.62"/>
    <x v="12"/>
    <x v="1"/>
    <x v="7"/>
  </r>
  <r>
    <s v="ORD-1014"/>
    <x v="13"/>
    <d v="2024-01-06T00:00:00"/>
    <x v="2"/>
    <x v="1"/>
    <x v="1"/>
    <x v="10"/>
    <n v="3545.21"/>
    <n v="10"/>
    <x v="4"/>
    <n v="238.87"/>
    <x v="13"/>
    <x v="1"/>
    <x v="5"/>
  </r>
  <r>
    <s v="ORD-1015"/>
    <x v="14"/>
    <d v="2024-02-11T00:00:00"/>
    <x v="2"/>
    <x v="1"/>
    <x v="4"/>
    <x v="11"/>
    <n v="731.47"/>
    <n v="16"/>
    <x v="2"/>
    <n v="72.81"/>
    <x v="14"/>
    <x v="0"/>
    <x v="8"/>
  </r>
  <r>
    <s v="ORD-1016"/>
    <x v="15"/>
    <d v="2024-11-12T00:00:00"/>
    <x v="1"/>
    <x v="0"/>
    <x v="7"/>
    <x v="12"/>
    <n v="1418.94"/>
    <n v="12"/>
    <x v="5"/>
    <n v="453.9"/>
    <x v="15"/>
    <x v="2"/>
    <x v="0"/>
  </r>
  <r>
    <s v="ORD-1017"/>
    <x v="16"/>
    <d v="2024-05-09T00:00:00"/>
    <x v="0"/>
    <x v="2"/>
    <x v="8"/>
    <x v="13"/>
    <n v="2327.21"/>
    <n v="19"/>
    <x v="4"/>
    <n v="121.38"/>
    <x v="16"/>
    <x v="2"/>
    <x v="7"/>
  </r>
  <r>
    <s v="ORD-1018"/>
    <x v="17"/>
    <d v="2024-02-03T00:00:00"/>
    <x v="0"/>
    <x v="1"/>
    <x v="3"/>
    <x v="3"/>
    <n v="2178.09"/>
    <n v="9"/>
    <x v="0"/>
    <n v="426.09"/>
    <x v="17"/>
    <x v="1"/>
    <x v="5"/>
  </r>
  <r>
    <s v="ORD-1019"/>
    <x v="18"/>
    <d v="2024-10-26T00:00:00"/>
    <x v="1"/>
    <x v="2"/>
    <x v="9"/>
    <x v="14"/>
    <n v="603.72"/>
    <n v="14"/>
    <x v="3"/>
    <n v="106.9"/>
    <x v="18"/>
    <x v="1"/>
    <x v="1"/>
  </r>
  <r>
    <s v="ORD-1020"/>
    <x v="19"/>
    <d v="2024-01-29T00:00:00"/>
    <x v="0"/>
    <x v="2"/>
    <x v="2"/>
    <x v="2"/>
    <n v="1182.46"/>
    <n v="7"/>
    <x v="2"/>
    <n v="218.26"/>
    <x v="19"/>
    <x v="2"/>
    <x v="5"/>
  </r>
  <r>
    <s v="ORD-1021"/>
    <x v="20"/>
    <d v="2024-05-29T00:00:00"/>
    <x v="1"/>
    <x v="1"/>
    <x v="3"/>
    <x v="3"/>
    <n v="439.71"/>
    <n v="18"/>
    <x v="1"/>
    <n v="149.81"/>
    <x v="20"/>
    <x v="2"/>
    <x v="7"/>
  </r>
  <r>
    <s v="ORD-1022"/>
    <x v="21"/>
    <d v="2024-05-03T00:00:00"/>
    <x v="2"/>
    <x v="2"/>
    <x v="9"/>
    <x v="14"/>
    <n v="3492.44"/>
    <n v="2"/>
    <x v="4"/>
    <n v="571.67999999999995"/>
    <x v="6"/>
    <x v="2"/>
    <x v="7"/>
  </r>
  <r>
    <s v="ORD-1023"/>
    <x v="22"/>
    <d v="2024-05-22T00:00:00"/>
    <x v="3"/>
    <x v="2"/>
    <x v="9"/>
    <x v="14"/>
    <n v="962.12"/>
    <n v="7"/>
    <x v="1"/>
    <n v="215.28"/>
    <x v="21"/>
    <x v="0"/>
    <x v="7"/>
  </r>
  <r>
    <s v="ORD-1024"/>
    <x v="23"/>
    <d v="2024-06-09T00:00:00"/>
    <x v="0"/>
    <x v="0"/>
    <x v="6"/>
    <x v="15"/>
    <n v="463.3"/>
    <n v="17"/>
    <x v="1"/>
    <n v="-141.49"/>
    <x v="22"/>
    <x v="0"/>
    <x v="6"/>
  </r>
  <r>
    <s v="ORD-1025"/>
    <x v="24"/>
    <d v="2024-02-07T00:00:00"/>
    <x v="2"/>
    <x v="1"/>
    <x v="4"/>
    <x v="11"/>
    <n v="2420.9499999999998"/>
    <n v="2"/>
    <x v="2"/>
    <n v="180.59"/>
    <x v="23"/>
    <x v="0"/>
    <x v="8"/>
  </r>
  <r>
    <s v="ORD-1026"/>
    <x v="25"/>
    <d v="2024-10-21T00:00:00"/>
    <x v="3"/>
    <x v="1"/>
    <x v="4"/>
    <x v="4"/>
    <n v="1145.07"/>
    <n v="13"/>
    <x v="4"/>
    <n v="287.99"/>
    <x v="24"/>
    <x v="0"/>
    <x v="1"/>
  </r>
  <r>
    <s v="ORD-1027"/>
    <x v="26"/>
    <d v="2024-06-11T00:00:00"/>
    <x v="0"/>
    <x v="2"/>
    <x v="8"/>
    <x v="16"/>
    <n v="2266.13"/>
    <n v="17"/>
    <x v="3"/>
    <n v="203.36"/>
    <x v="11"/>
    <x v="1"/>
    <x v="6"/>
  </r>
  <r>
    <s v="ORD-1028"/>
    <x v="27"/>
    <d v="2024-02-08T00:00:00"/>
    <x v="3"/>
    <x v="2"/>
    <x v="10"/>
    <x v="17"/>
    <n v="3376.54"/>
    <n v="10"/>
    <x v="2"/>
    <n v="1165.43"/>
    <x v="25"/>
    <x v="0"/>
    <x v="8"/>
  </r>
  <r>
    <s v="ORD-1029"/>
    <x v="28"/>
    <d v="2024-09-27T00:00:00"/>
    <x v="3"/>
    <x v="0"/>
    <x v="5"/>
    <x v="18"/>
    <n v="1241.75"/>
    <n v="4"/>
    <x v="0"/>
    <n v="268.18"/>
    <x v="26"/>
    <x v="2"/>
    <x v="9"/>
  </r>
  <r>
    <s v="ORD-1030"/>
    <x v="29"/>
    <d v="2024-11-08T00:00:00"/>
    <x v="3"/>
    <x v="1"/>
    <x v="4"/>
    <x v="4"/>
    <n v="2145.2800000000002"/>
    <n v="9"/>
    <x v="1"/>
    <n v="166.67"/>
    <x v="7"/>
    <x v="0"/>
    <x v="0"/>
  </r>
  <r>
    <s v="ORD-1031"/>
    <x v="30"/>
    <d v="2024-05-21T00:00:00"/>
    <x v="0"/>
    <x v="2"/>
    <x v="10"/>
    <x v="17"/>
    <n v="855.93"/>
    <n v="15"/>
    <x v="2"/>
    <n v="224"/>
    <x v="27"/>
    <x v="2"/>
    <x v="7"/>
  </r>
  <r>
    <s v="ORD-1032"/>
    <x v="31"/>
    <d v="2024-02-28T00:00:00"/>
    <x v="1"/>
    <x v="0"/>
    <x v="5"/>
    <x v="19"/>
    <n v="2434.41"/>
    <n v="5"/>
    <x v="5"/>
    <n v="214.8"/>
    <x v="28"/>
    <x v="1"/>
    <x v="8"/>
  </r>
  <r>
    <s v="ORD-1033"/>
    <x v="32"/>
    <d v="2024-01-26T00:00:00"/>
    <x v="1"/>
    <x v="0"/>
    <x v="7"/>
    <x v="12"/>
    <n v="635.48"/>
    <n v="18"/>
    <x v="5"/>
    <n v="217.43"/>
    <x v="29"/>
    <x v="1"/>
    <x v="5"/>
  </r>
  <r>
    <s v="ORD-1034"/>
    <x v="21"/>
    <d v="2024-05-03T00:00:00"/>
    <x v="1"/>
    <x v="2"/>
    <x v="8"/>
    <x v="16"/>
    <n v="3012.12"/>
    <n v="11"/>
    <x v="5"/>
    <n v="875.53"/>
    <x v="30"/>
    <x v="1"/>
    <x v="7"/>
  </r>
  <r>
    <s v="ORD-1035"/>
    <x v="33"/>
    <d v="2024-05-11T00:00:00"/>
    <x v="1"/>
    <x v="0"/>
    <x v="5"/>
    <x v="19"/>
    <n v="3520.63"/>
    <n v="16"/>
    <x v="4"/>
    <n v="386.82"/>
    <x v="31"/>
    <x v="0"/>
    <x v="7"/>
  </r>
  <r>
    <s v="ORD-1036"/>
    <x v="34"/>
    <d v="2024-07-02T00:00:00"/>
    <x v="1"/>
    <x v="1"/>
    <x v="1"/>
    <x v="20"/>
    <n v="974.24"/>
    <n v="11"/>
    <x v="3"/>
    <n v="301.33999999999997"/>
    <x v="32"/>
    <x v="1"/>
    <x v="6"/>
  </r>
  <r>
    <s v="ORD-1037"/>
    <x v="20"/>
    <d v="2024-05-27T00:00:00"/>
    <x v="2"/>
    <x v="0"/>
    <x v="0"/>
    <x v="9"/>
    <n v="682.53"/>
    <n v="9"/>
    <x v="4"/>
    <n v="153.01"/>
    <x v="33"/>
    <x v="1"/>
    <x v="7"/>
  </r>
  <r>
    <s v="ORD-1038"/>
    <x v="35"/>
    <d v="2024-01-21T00:00:00"/>
    <x v="2"/>
    <x v="2"/>
    <x v="2"/>
    <x v="21"/>
    <n v="2523.2800000000002"/>
    <n v="17"/>
    <x v="1"/>
    <n v="417.75"/>
    <x v="34"/>
    <x v="0"/>
    <x v="5"/>
  </r>
  <r>
    <s v="ORD-1039"/>
    <x v="36"/>
    <d v="2024-05-10T00:00:00"/>
    <x v="2"/>
    <x v="1"/>
    <x v="4"/>
    <x v="11"/>
    <n v="1615.83"/>
    <n v="3"/>
    <x v="0"/>
    <n v="527.13"/>
    <x v="35"/>
    <x v="0"/>
    <x v="7"/>
  </r>
  <r>
    <s v="ORD-1040"/>
    <x v="37"/>
    <d v="2024-12-06T00:00:00"/>
    <x v="3"/>
    <x v="0"/>
    <x v="0"/>
    <x v="22"/>
    <n v="1473.19"/>
    <n v="10"/>
    <x v="2"/>
    <n v="129.91999999999999"/>
    <x v="36"/>
    <x v="0"/>
    <x v="2"/>
  </r>
  <r>
    <s v="ORD-1041"/>
    <x v="38"/>
    <d v="2024-07-15T00:00:00"/>
    <x v="3"/>
    <x v="2"/>
    <x v="8"/>
    <x v="23"/>
    <n v="1325.93"/>
    <n v="14"/>
    <x v="2"/>
    <n v="307.61"/>
    <x v="37"/>
    <x v="0"/>
    <x v="10"/>
  </r>
  <r>
    <s v="ORD-1042"/>
    <x v="39"/>
    <d v="2024-08-21T00:00:00"/>
    <x v="1"/>
    <x v="0"/>
    <x v="6"/>
    <x v="15"/>
    <n v="2720.69"/>
    <n v="10"/>
    <x v="2"/>
    <n v="677.88"/>
    <x v="38"/>
    <x v="1"/>
    <x v="4"/>
  </r>
  <r>
    <s v="ORD-1043"/>
    <x v="40"/>
    <d v="2024-02-20T00:00:00"/>
    <x v="3"/>
    <x v="1"/>
    <x v="1"/>
    <x v="1"/>
    <n v="341.6"/>
    <n v="8"/>
    <x v="5"/>
    <n v="79.72"/>
    <x v="39"/>
    <x v="2"/>
    <x v="8"/>
  </r>
  <r>
    <s v="ORD-1044"/>
    <x v="41"/>
    <d v="2024-08-27T00:00:00"/>
    <x v="1"/>
    <x v="0"/>
    <x v="6"/>
    <x v="6"/>
    <n v="1748.7"/>
    <n v="5"/>
    <x v="0"/>
    <n v="448.17"/>
    <x v="34"/>
    <x v="1"/>
    <x v="4"/>
  </r>
  <r>
    <s v="ORD-1045"/>
    <x v="42"/>
    <d v="2024-03-01T00:00:00"/>
    <x v="1"/>
    <x v="1"/>
    <x v="4"/>
    <x v="4"/>
    <n v="438.32"/>
    <n v="8"/>
    <x v="1"/>
    <n v="81.94"/>
    <x v="40"/>
    <x v="0"/>
    <x v="8"/>
  </r>
  <r>
    <s v="ORD-1046"/>
    <x v="43"/>
    <d v="2024-12-12T00:00:00"/>
    <x v="2"/>
    <x v="0"/>
    <x v="6"/>
    <x v="6"/>
    <n v="3614.53"/>
    <n v="16"/>
    <x v="5"/>
    <n v="461.78"/>
    <x v="41"/>
    <x v="0"/>
    <x v="2"/>
  </r>
  <r>
    <s v="ORD-1047"/>
    <x v="44"/>
    <d v="2024-11-26T00:00:00"/>
    <x v="2"/>
    <x v="0"/>
    <x v="7"/>
    <x v="24"/>
    <n v="1899.52"/>
    <n v="10"/>
    <x v="4"/>
    <n v="249.81"/>
    <x v="42"/>
    <x v="1"/>
    <x v="0"/>
  </r>
  <r>
    <s v="ORD-1048"/>
    <x v="45"/>
    <d v="2024-10-04T00:00:00"/>
    <x v="1"/>
    <x v="1"/>
    <x v="1"/>
    <x v="10"/>
    <n v="2852.31"/>
    <n v="7"/>
    <x v="1"/>
    <n v="497.62"/>
    <x v="43"/>
    <x v="2"/>
    <x v="1"/>
  </r>
  <r>
    <s v="ORD-1049"/>
    <x v="46"/>
    <d v="2024-09-01T00:00:00"/>
    <x v="0"/>
    <x v="1"/>
    <x v="3"/>
    <x v="25"/>
    <n v="3643.14"/>
    <n v="19"/>
    <x v="0"/>
    <n v="203.5"/>
    <x v="44"/>
    <x v="1"/>
    <x v="4"/>
  </r>
  <r>
    <s v="ORD-1050"/>
    <x v="47"/>
    <d v="2024-10-27T00:00:00"/>
    <x v="2"/>
    <x v="1"/>
    <x v="3"/>
    <x v="26"/>
    <n v="3075.53"/>
    <n v="14"/>
    <x v="2"/>
    <n v="843.48"/>
    <x v="26"/>
    <x v="2"/>
    <x v="1"/>
  </r>
  <r>
    <s v="ORD-1051"/>
    <x v="48"/>
    <d v="2024-11-07T00:00:00"/>
    <x v="2"/>
    <x v="1"/>
    <x v="3"/>
    <x v="25"/>
    <n v="2071.16"/>
    <n v="13"/>
    <x v="3"/>
    <n v="519.16"/>
    <x v="45"/>
    <x v="1"/>
    <x v="0"/>
  </r>
  <r>
    <s v="ORD-1052"/>
    <x v="49"/>
    <d v="2024-04-01T00:00:00"/>
    <x v="1"/>
    <x v="0"/>
    <x v="5"/>
    <x v="19"/>
    <n v="2469.6"/>
    <n v="1"/>
    <x v="1"/>
    <n v="-599.67999999999995"/>
    <x v="46"/>
    <x v="1"/>
    <x v="11"/>
  </r>
  <r>
    <s v="ORD-1053"/>
    <x v="50"/>
    <d v="2024-08-26T00:00:00"/>
    <x v="0"/>
    <x v="2"/>
    <x v="9"/>
    <x v="27"/>
    <n v="1043.73"/>
    <n v="11"/>
    <x v="3"/>
    <n v="290.54000000000002"/>
    <x v="47"/>
    <x v="1"/>
    <x v="4"/>
  </r>
  <r>
    <s v="ORD-1054"/>
    <x v="51"/>
    <d v="2024-08-07T00:00:00"/>
    <x v="0"/>
    <x v="2"/>
    <x v="8"/>
    <x v="13"/>
    <n v="2272.8200000000002"/>
    <n v="12"/>
    <x v="4"/>
    <n v="556.94000000000005"/>
    <x v="8"/>
    <x v="1"/>
    <x v="4"/>
  </r>
  <r>
    <s v="ORD-1055"/>
    <x v="52"/>
    <d v="2024-11-29T00:00:00"/>
    <x v="0"/>
    <x v="1"/>
    <x v="1"/>
    <x v="1"/>
    <n v="2580.0100000000002"/>
    <n v="8"/>
    <x v="4"/>
    <n v="-495.54"/>
    <x v="48"/>
    <x v="1"/>
    <x v="0"/>
  </r>
  <r>
    <s v="ORD-1056"/>
    <x v="53"/>
    <d v="2024-04-28T00:00:00"/>
    <x v="3"/>
    <x v="2"/>
    <x v="10"/>
    <x v="28"/>
    <n v="3166.72"/>
    <n v="6"/>
    <x v="3"/>
    <n v="-261.02999999999997"/>
    <x v="49"/>
    <x v="1"/>
    <x v="3"/>
  </r>
  <r>
    <s v="ORD-1057"/>
    <x v="54"/>
    <d v="2024-06-14T00:00:00"/>
    <x v="2"/>
    <x v="0"/>
    <x v="7"/>
    <x v="29"/>
    <n v="2470.37"/>
    <n v="8"/>
    <x v="1"/>
    <n v="640.22"/>
    <x v="50"/>
    <x v="1"/>
    <x v="6"/>
  </r>
  <r>
    <s v="ORD-1058"/>
    <x v="55"/>
    <d v="2024-12-17T00:00:00"/>
    <x v="0"/>
    <x v="2"/>
    <x v="9"/>
    <x v="30"/>
    <n v="1639.64"/>
    <n v="17"/>
    <x v="0"/>
    <n v="249.83"/>
    <x v="51"/>
    <x v="1"/>
    <x v="2"/>
  </r>
  <r>
    <s v="ORD-1059"/>
    <x v="56"/>
    <d v="2024-09-08T00:00:00"/>
    <x v="2"/>
    <x v="2"/>
    <x v="9"/>
    <x v="30"/>
    <n v="823.72"/>
    <n v="6"/>
    <x v="0"/>
    <n v="170.12"/>
    <x v="52"/>
    <x v="1"/>
    <x v="9"/>
  </r>
  <r>
    <s v="ORD-1060"/>
    <x v="57"/>
    <d v="2024-11-18T00:00:00"/>
    <x v="2"/>
    <x v="2"/>
    <x v="2"/>
    <x v="21"/>
    <n v="3443.92"/>
    <n v="3"/>
    <x v="3"/>
    <n v="1083.08"/>
    <x v="53"/>
    <x v="0"/>
    <x v="0"/>
  </r>
  <r>
    <s v="ORD-1061"/>
    <x v="58"/>
    <d v="2024-08-31T00:00:00"/>
    <x v="3"/>
    <x v="1"/>
    <x v="3"/>
    <x v="26"/>
    <n v="931.9"/>
    <n v="7"/>
    <x v="3"/>
    <n v="269.64"/>
    <x v="54"/>
    <x v="0"/>
    <x v="4"/>
  </r>
  <r>
    <s v="ORD-1062"/>
    <x v="59"/>
    <d v="2024-11-05T00:00:00"/>
    <x v="0"/>
    <x v="0"/>
    <x v="7"/>
    <x v="29"/>
    <n v="1155.0899999999999"/>
    <n v="14"/>
    <x v="5"/>
    <n v="250.14"/>
    <x v="55"/>
    <x v="1"/>
    <x v="0"/>
  </r>
  <r>
    <s v="ORD-1063"/>
    <x v="60"/>
    <d v="2024-09-07T00:00:00"/>
    <x v="2"/>
    <x v="1"/>
    <x v="1"/>
    <x v="10"/>
    <n v="1080.99"/>
    <n v="8"/>
    <x v="3"/>
    <n v="269.37"/>
    <x v="56"/>
    <x v="2"/>
    <x v="4"/>
  </r>
  <r>
    <s v="ORD-1064"/>
    <x v="61"/>
    <d v="2024-10-15T00:00:00"/>
    <x v="2"/>
    <x v="0"/>
    <x v="0"/>
    <x v="31"/>
    <n v="2885.71"/>
    <n v="9"/>
    <x v="3"/>
    <n v="-361.93"/>
    <x v="57"/>
    <x v="2"/>
    <x v="1"/>
  </r>
  <r>
    <s v="ORD-1065"/>
    <x v="62"/>
    <d v="2024-04-13T00:00:00"/>
    <x v="0"/>
    <x v="0"/>
    <x v="7"/>
    <x v="29"/>
    <n v="1061.44"/>
    <n v="16"/>
    <x v="3"/>
    <n v="283.8"/>
    <x v="58"/>
    <x v="2"/>
    <x v="3"/>
  </r>
  <r>
    <s v="ORD-1066"/>
    <x v="63"/>
    <d v="2024-09-29T00:00:00"/>
    <x v="0"/>
    <x v="1"/>
    <x v="3"/>
    <x v="32"/>
    <n v="1603.3"/>
    <n v="10"/>
    <x v="1"/>
    <n v="-420.71"/>
    <x v="59"/>
    <x v="2"/>
    <x v="9"/>
  </r>
  <r>
    <s v="ORD-1067"/>
    <x v="5"/>
    <d v="2024-01-24T00:00:00"/>
    <x v="3"/>
    <x v="0"/>
    <x v="7"/>
    <x v="12"/>
    <n v="3506.73"/>
    <n v="16"/>
    <x v="1"/>
    <n v="1093.45"/>
    <x v="60"/>
    <x v="1"/>
    <x v="5"/>
  </r>
  <r>
    <s v="ORD-1068"/>
    <x v="64"/>
    <d v="2024-09-04T00:00:00"/>
    <x v="2"/>
    <x v="2"/>
    <x v="10"/>
    <x v="28"/>
    <n v="1196.79"/>
    <n v="16"/>
    <x v="1"/>
    <n v="355.01"/>
    <x v="61"/>
    <x v="1"/>
    <x v="4"/>
  </r>
  <r>
    <s v="ORD-1069"/>
    <x v="65"/>
    <d v="2024-02-07T00:00:00"/>
    <x v="1"/>
    <x v="1"/>
    <x v="4"/>
    <x v="4"/>
    <n v="569.42999999999995"/>
    <n v="8"/>
    <x v="1"/>
    <n v="123.81"/>
    <x v="27"/>
    <x v="2"/>
    <x v="8"/>
  </r>
  <r>
    <s v="ORD-1070"/>
    <x v="59"/>
    <d v="2024-11-04T00:00:00"/>
    <x v="2"/>
    <x v="2"/>
    <x v="9"/>
    <x v="27"/>
    <n v="3475.62"/>
    <n v="14"/>
    <x v="3"/>
    <n v="-766.68"/>
    <x v="62"/>
    <x v="2"/>
    <x v="0"/>
  </r>
  <r>
    <s v="ORD-1071"/>
    <x v="66"/>
    <d v="2024-02-23T00:00:00"/>
    <x v="1"/>
    <x v="2"/>
    <x v="8"/>
    <x v="16"/>
    <n v="1149.49"/>
    <n v="18"/>
    <x v="1"/>
    <n v="111.45"/>
    <x v="63"/>
    <x v="2"/>
    <x v="8"/>
  </r>
  <r>
    <s v="ORD-1072"/>
    <x v="67"/>
    <d v="2024-12-25T00:00:00"/>
    <x v="3"/>
    <x v="1"/>
    <x v="1"/>
    <x v="10"/>
    <n v="2901.08"/>
    <n v="15"/>
    <x v="1"/>
    <n v="743.3"/>
    <x v="36"/>
    <x v="1"/>
    <x v="2"/>
  </r>
  <r>
    <s v="ORD-1073"/>
    <x v="68"/>
    <d v="2024-11-19T00:00:00"/>
    <x v="2"/>
    <x v="1"/>
    <x v="4"/>
    <x v="11"/>
    <n v="2678.63"/>
    <n v="9"/>
    <x v="4"/>
    <n v="191.32"/>
    <x v="58"/>
    <x v="0"/>
    <x v="0"/>
  </r>
  <r>
    <s v="ORD-1074"/>
    <x v="69"/>
    <d v="2024-06-10T00:00:00"/>
    <x v="2"/>
    <x v="1"/>
    <x v="3"/>
    <x v="26"/>
    <n v="2874"/>
    <n v="9"/>
    <x v="2"/>
    <n v="609.27"/>
    <x v="64"/>
    <x v="0"/>
    <x v="6"/>
  </r>
  <r>
    <s v="ORD-1075"/>
    <x v="70"/>
    <d v="2024-11-02T00:00:00"/>
    <x v="2"/>
    <x v="0"/>
    <x v="0"/>
    <x v="31"/>
    <n v="346.99"/>
    <n v="8"/>
    <x v="0"/>
    <n v="104.37"/>
    <x v="65"/>
    <x v="2"/>
    <x v="0"/>
  </r>
  <r>
    <s v="ORD-1076"/>
    <x v="71"/>
    <d v="2024-01-15T00:00:00"/>
    <x v="0"/>
    <x v="1"/>
    <x v="3"/>
    <x v="25"/>
    <n v="3685.27"/>
    <n v="6"/>
    <x v="2"/>
    <n v="666.17"/>
    <x v="66"/>
    <x v="1"/>
    <x v="5"/>
  </r>
  <r>
    <s v="ORD-1077"/>
    <x v="72"/>
    <d v="2024-02-23T00:00:00"/>
    <x v="3"/>
    <x v="2"/>
    <x v="2"/>
    <x v="21"/>
    <n v="2763"/>
    <n v="6"/>
    <x v="3"/>
    <n v="479.36"/>
    <x v="67"/>
    <x v="2"/>
    <x v="8"/>
  </r>
  <r>
    <s v="ORD-1078"/>
    <x v="37"/>
    <d v="2024-12-11T00:00:00"/>
    <x v="0"/>
    <x v="2"/>
    <x v="8"/>
    <x v="23"/>
    <n v="1196.5"/>
    <n v="4"/>
    <x v="5"/>
    <n v="370.28"/>
    <x v="68"/>
    <x v="1"/>
    <x v="2"/>
  </r>
  <r>
    <s v="ORD-1079"/>
    <x v="13"/>
    <d v="2024-01-08T00:00:00"/>
    <x v="2"/>
    <x v="1"/>
    <x v="1"/>
    <x v="20"/>
    <n v="1606.67"/>
    <n v="16"/>
    <x v="0"/>
    <n v="-293.39999999999998"/>
    <x v="69"/>
    <x v="0"/>
    <x v="5"/>
  </r>
  <r>
    <s v="ORD-1080"/>
    <x v="73"/>
    <d v="2024-05-18T00:00:00"/>
    <x v="3"/>
    <x v="2"/>
    <x v="9"/>
    <x v="14"/>
    <n v="358.26"/>
    <n v="20"/>
    <x v="4"/>
    <n v="94.2"/>
    <x v="70"/>
    <x v="0"/>
    <x v="7"/>
  </r>
  <r>
    <s v="ORD-1081"/>
    <x v="74"/>
    <d v="2024-01-14T00:00:00"/>
    <x v="0"/>
    <x v="1"/>
    <x v="1"/>
    <x v="10"/>
    <n v="3801.48"/>
    <n v="5"/>
    <x v="5"/>
    <n v="1253.71"/>
    <x v="71"/>
    <x v="0"/>
    <x v="5"/>
  </r>
  <r>
    <s v="ORD-1082"/>
    <x v="75"/>
    <d v="2024-12-31T00:00:00"/>
    <x v="2"/>
    <x v="2"/>
    <x v="9"/>
    <x v="14"/>
    <n v="1962.95"/>
    <n v="5"/>
    <x v="5"/>
    <n v="210.4"/>
    <x v="72"/>
    <x v="0"/>
    <x v="2"/>
  </r>
  <r>
    <s v="ORD-1083"/>
    <x v="76"/>
    <d v="2024-03-11T00:00:00"/>
    <x v="3"/>
    <x v="2"/>
    <x v="2"/>
    <x v="33"/>
    <n v="1251.9000000000001"/>
    <n v="1"/>
    <x v="3"/>
    <n v="335.28"/>
    <x v="73"/>
    <x v="2"/>
    <x v="11"/>
  </r>
  <r>
    <s v="ORD-1084"/>
    <x v="77"/>
    <d v="2024-10-30T00:00:00"/>
    <x v="1"/>
    <x v="2"/>
    <x v="9"/>
    <x v="27"/>
    <n v="1496.65"/>
    <n v="18"/>
    <x v="5"/>
    <n v="279.27999999999997"/>
    <x v="49"/>
    <x v="0"/>
    <x v="1"/>
  </r>
  <r>
    <s v="ORD-1085"/>
    <x v="78"/>
    <d v="2024-04-09T00:00:00"/>
    <x v="2"/>
    <x v="1"/>
    <x v="3"/>
    <x v="3"/>
    <n v="1443.16"/>
    <n v="16"/>
    <x v="0"/>
    <n v="467.63"/>
    <x v="66"/>
    <x v="0"/>
    <x v="3"/>
  </r>
  <r>
    <s v="ORD-1086"/>
    <x v="37"/>
    <d v="2024-12-07T00:00:00"/>
    <x v="2"/>
    <x v="1"/>
    <x v="1"/>
    <x v="20"/>
    <n v="3870.08"/>
    <n v="11"/>
    <x v="1"/>
    <n v="1208.46"/>
    <x v="74"/>
    <x v="1"/>
    <x v="2"/>
  </r>
  <r>
    <s v="ORD-1087"/>
    <x v="79"/>
    <d v="2024-10-03T00:00:00"/>
    <x v="0"/>
    <x v="0"/>
    <x v="7"/>
    <x v="24"/>
    <n v="3516"/>
    <n v="5"/>
    <x v="1"/>
    <n v="671.02"/>
    <x v="75"/>
    <x v="2"/>
    <x v="9"/>
  </r>
  <r>
    <s v="ORD-1088"/>
    <x v="80"/>
    <d v="2024-06-28T00:00:00"/>
    <x v="0"/>
    <x v="2"/>
    <x v="9"/>
    <x v="27"/>
    <n v="2600.5"/>
    <n v="16"/>
    <x v="2"/>
    <n v="-158.03"/>
    <x v="76"/>
    <x v="1"/>
    <x v="6"/>
  </r>
  <r>
    <s v="ORD-1089"/>
    <x v="81"/>
    <d v="2024-11-23T00:00:00"/>
    <x v="1"/>
    <x v="0"/>
    <x v="5"/>
    <x v="19"/>
    <n v="3918.77"/>
    <n v="4"/>
    <x v="5"/>
    <n v="391.52"/>
    <x v="77"/>
    <x v="0"/>
    <x v="0"/>
  </r>
  <r>
    <s v="ORD-1090"/>
    <x v="82"/>
    <d v="2024-01-15T00:00:00"/>
    <x v="3"/>
    <x v="1"/>
    <x v="3"/>
    <x v="26"/>
    <n v="1655.65"/>
    <n v="5"/>
    <x v="4"/>
    <n v="346.61"/>
    <x v="78"/>
    <x v="2"/>
    <x v="5"/>
  </r>
  <r>
    <s v="ORD-1091"/>
    <x v="83"/>
    <d v="2024-04-04T00:00:00"/>
    <x v="1"/>
    <x v="1"/>
    <x v="4"/>
    <x v="4"/>
    <n v="2573.91"/>
    <n v="8"/>
    <x v="5"/>
    <n v="-833.56"/>
    <x v="71"/>
    <x v="2"/>
    <x v="3"/>
  </r>
  <r>
    <s v="ORD-1092"/>
    <x v="50"/>
    <d v="2024-08-28T00:00:00"/>
    <x v="2"/>
    <x v="2"/>
    <x v="8"/>
    <x v="23"/>
    <n v="3629.54"/>
    <n v="18"/>
    <x v="4"/>
    <n v="261.89999999999998"/>
    <x v="76"/>
    <x v="2"/>
    <x v="4"/>
  </r>
  <r>
    <s v="ORD-1093"/>
    <x v="84"/>
    <d v="2024-10-31T00:00:00"/>
    <x v="2"/>
    <x v="0"/>
    <x v="0"/>
    <x v="22"/>
    <n v="3419.89"/>
    <n v="7"/>
    <x v="5"/>
    <n v="-1046.49"/>
    <x v="73"/>
    <x v="1"/>
    <x v="1"/>
  </r>
  <r>
    <s v="ORD-1094"/>
    <x v="85"/>
    <d v="2024-07-19T00:00:00"/>
    <x v="3"/>
    <x v="0"/>
    <x v="0"/>
    <x v="9"/>
    <n v="3917.29"/>
    <n v="13"/>
    <x v="3"/>
    <n v="205.38"/>
    <x v="79"/>
    <x v="2"/>
    <x v="10"/>
  </r>
  <r>
    <s v="ORD-1095"/>
    <x v="86"/>
    <d v="2024-02-02T00:00:00"/>
    <x v="3"/>
    <x v="1"/>
    <x v="4"/>
    <x v="4"/>
    <n v="1071.27"/>
    <n v="7"/>
    <x v="2"/>
    <n v="134.11000000000001"/>
    <x v="80"/>
    <x v="0"/>
    <x v="5"/>
  </r>
  <r>
    <s v="ORD-1096"/>
    <x v="87"/>
    <d v="2024-12-05T00:00:00"/>
    <x v="0"/>
    <x v="0"/>
    <x v="5"/>
    <x v="19"/>
    <n v="3207.29"/>
    <n v="2"/>
    <x v="2"/>
    <n v="-511.43"/>
    <x v="81"/>
    <x v="2"/>
    <x v="2"/>
  </r>
  <r>
    <s v="ORD-1097"/>
    <x v="88"/>
    <d v="2024-06-05T00:00:00"/>
    <x v="2"/>
    <x v="1"/>
    <x v="1"/>
    <x v="1"/>
    <n v="3199.42"/>
    <n v="12"/>
    <x v="2"/>
    <n v="641.61"/>
    <x v="49"/>
    <x v="0"/>
    <x v="7"/>
  </r>
  <r>
    <s v="ORD-1098"/>
    <x v="49"/>
    <d v="2024-03-29T00:00:00"/>
    <x v="2"/>
    <x v="2"/>
    <x v="2"/>
    <x v="2"/>
    <n v="2006.24"/>
    <n v="3"/>
    <x v="4"/>
    <n v="554.21"/>
    <x v="82"/>
    <x v="1"/>
    <x v="11"/>
  </r>
  <r>
    <s v="ORD-1099"/>
    <x v="89"/>
    <d v="2024-12-18T00:00:00"/>
    <x v="3"/>
    <x v="1"/>
    <x v="3"/>
    <x v="3"/>
    <n v="1241.72"/>
    <n v="4"/>
    <x v="5"/>
    <n v="199.39"/>
    <x v="12"/>
    <x v="1"/>
    <x v="2"/>
  </r>
  <r>
    <s v="ORD-1100"/>
    <x v="12"/>
    <d v="2024-05-20T00:00:00"/>
    <x v="3"/>
    <x v="1"/>
    <x v="4"/>
    <x v="11"/>
    <n v="2018.04"/>
    <n v="20"/>
    <x v="2"/>
    <n v="299.48"/>
    <x v="2"/>
    <x v="0"/>
    <x v="7"/>
  </r>
  <r>
    <s v="ORD-1101"/>
    <x v="90"/>
    <d v="2024-11-28T00:00:00"/>
    <x v="2"/>
    <x v="0"/>
    <x v="0"/>
    <x v="22"/>
    <n v="687.53"/>
    <n v="2"/>
    <x v="1"/>
    <n v="97.15"/>
    <x v="53"/>
    <x v="0"/>
    <x v="0"/>
  </r>
  <r>
    <s v="ORD-1102"/>
    <x v="91"/>
    <d v="2024-02-22T00:00:00"/>
    <x v="1"/>
    <x v="2"/>
    <x v="9"/>
    <x v="27"/>
    <n v="2764.32"/>
    <n v="18"/>
    <x v="5"/>
    <n v="625.29"/>
    <x v="83"/>
    <x v="1"/>
    <x v="8"/>
  </r>
  <r>
    <s v="ORD-1103"/>
    <x v="92"/>
    <d v="2024-08-01T00:00:00"/>
    <x v="2"/>
    <x v="0"/>
    <x v="6"/>
    <x v="7"/>
    <n v="372.69"/>
    <n v="12"/>
    <x v="4"/>
    <n v="68.209999999999994"/>
    <x v="74"/>
    <x v="2"/>
    <x v="10"/>
  </r>
  <r>
    <s v="ORD-1104"/>
    <x v="93"/>
    <d v="2024-07-05T00:00:00"/>
    <x v="3"/>
    <x v="0"/>
    <x v="0"/>
    <x v="9"/>
    <n v="1743.02"/>
    <n v="7"/>
    <x v="1"/>
    <n v="583.39"/>
    <x v="84"/>
    <x v="1"/>
    <x v="10"/>
  </r>
  <r>
    <s v="ORD-1105"/>
    <x v="72"/>
    <d v="2024-02-19T00:00:00"/>
    <x v="0"/>
    <x v="1"/>
    <x v="3"/>
    <x v="32"/>
    <n v="3958.08"/>
    <n v="19"/>
    <x v="4"/>
    <n v="279.37"/>
    <x v="85"/>
    <x v="0"/>
    <x v="8"/>
  </r>
  <r>
    <s v="ORD-1106"/>
    <x v="94"/>
    <d v="2024-04-19T00:00:00"/>
    <x v="1"/>
    <x v="2"/>
    <x v="10"/>
    <x v="28"/>
    <n v="1289.78"/>
    <n v="5"/>
    <x v="4"/>
    <n v="273.52"/>
    <x v="86"/>
    <x v="0"/>
    <x v="3"/>
  </r>
  <r>
    <s v="ORD-1107"/>
    <x v="10"/>
    <d v="2024-02-26T00:00:00"/>
    <x v="1"/>
    <x v="1"/>
    <x v="3"/>
    <x v="32"/>
    <n v="2458.1999999999998"/>
    <n v="1"/>
    <x v="4"/>
    <n v="-318.61"/>
    <x v="9"/>
    <x v="0"/>
    <x v="8"/>
  </r>
  <r>
    <s v="ORD-1108"/>
    <x v="51"/>
    <d v="2024-08-04T00:00:00"/>
    <x v="0"/>
    <x v="2"/>
    <x v="9"/>
    <x v="27"/>
    <n v="2174.64"/>
    <n v="4"/>
    <x v="5"/>
    <n v="437.43"/>
    <x v="79"/>
    <x v="0"/>
    <x v="4"/>
  </r>
  <r>
    <s v="ORD-1109"/>
    <x v="95"/>
    <d v="2024-01-27T00:00:00"/>
    <x v="2"/>
    <x v="0"/>
    <x v="5"/>
    <x v="18"/>
    <n v="3994.7"/>
    <n v="13"/>
    <x v="5"/>
    <n v="1021.96"/>
    <x v="87"/>
    <x v="0"/>
    <x v="5"/>
  </r>
  <r>
    <s v="ORD-1110"/>
    <x v="96"/>
    <d v="2024-08-16T00:00:00"/>
    <x v="0"/>
    <x v="2"/>
    <x v="10"/>
    <x v="28"/>
    <n v="723.22"/>
    <n v="20"/>
    <x v="0"/>
    <n v="163.16999999999999"/>
    <x v="88"/>
    <x v="0"/>
    <x v="4"/>
  </r>
  <r>
    <s v="ORD-1111"/>
    <x v="85"/>
    <d v="2024-07-18T00:00:00"/>
    <x v="2"/>
    <x v="0"/>
    <x v="6"/>
    <x v="8"/>
    <n v="3224.11"/>
    <n v="4"/>
    <x v="0"/>
    <n v="790.79"/>
    <x v="89"/>
    <x v="0"/>
    <x v="10"/>
  </r>
  <r>
    <s v="ORD-1112"/>
    <x v="3"/>
    <d v="2024-04-26T00:00:00"/>
    <x v="2"/>
    <x v="1"/>
    <x v="3"/>
    <x v="26"/>
    <n v="3352.82"/>
    <n v="13"/>
    <x v="5"/>
    <n v="901.52"/>
    <x v="90"/>
    <x v="2"/>
    <x v="3"/>
  </r>
  <r>
    <s v="ORD-1113"/>
    <x v="23"/>
    <d v="2024-06-13T00:00:00"/>
    <x v="3"/>
    <x v="1"/>
    <x v="4"/>
    <x v="4"/>
    <n v="501.75"/>
    <n v="3"/>
    <x v="1"/>
    <n v="90.1"/>
    <x v="91"/>
    <x v="0"/>
    <x v="6"/>
  </r>
  <r>
    <s v="ORD-1114"/>
    <x v="97"/>
    <d v="2024-07-11T00:00:00"/>
    <x v="0"/>
    <x v="0"/>
    <x v="0"/>
    <x v="9"/>
    <n v="1790.53"/>
    <n v="14"/>
    <x v="0"/>
    <n v="117.16"/>
    <x v="92"/>
    <x v="1"/>
    <x v="10"/>
  </r>
  <r>
    <s v="ORD-1115"/>
    <x v="54"/>
    <d v="2024-06-13T00:00:00"/>
    <x v="0"/>
    <x v="0"/>
    <x v="7"/>
    <x v="29"/>
    <n v="2712.76"/>
    <n v="8"/>
    <x v="1"/>
    <n v="420.57"/>
    <x v="93"/>
    <x v="0"/>
    <x v="6"/>
  </r>
  <r>
    <s v="ORD-1116"/>
    <x v="98"/>
    <d v="2024-03-03T00:00:00"/>
    <x v="1"/>
    <x v="2"/>
    <x v="8"/>
    <x v="13"/>
    <n v="3734.07"/>
    <n v="9"/>
    <x v="1"/>
    <n v="388.81"/>
    <x v="77"/>
    <x v="2"/>
    <x v="8"/>
  </r>
  <r>
    <s v="ORD-1117"/>
    <x v="99"/>
    <d v="2024-06-12T00:00:00"/>
    <x v="3"/>
    <x v="1"/>
    <x v="1"/>
    <x v="1"/>
    <n v="2373.6999999999998"/>
    <n v="13"/>
    <x v="1"/>
    <n v="219.72"/>
    <x v="94"/>
    <x v="2"/>
    <x v="6"/>
  </r>
  <r>
    <s v="ORD-1118"/>
    <x v="100"/>
    <d v="2024-01-17T00:00:00"/>
    <x v="1"/>
    <x v="2"/>
    <x v="9"/>
    <x v="27"/>
    <n v="1528.36"/>
    <n v="12"/>
    <x v="3"/>
    <n v="407.28"/>
    <x v="95"/>
    <x v="1"/>
    <x v="5"/>
  </r>
  <r>
    <s v="ORD-1119"/>
    <x v="8"/>
    <d v="2024-10-18T00:00:00"/>
    <x v="0"/>
    <x v="1"/>
    <x v="1"/>
    <x v="20"/>
    <n v="436.61"/>
    <n v="3"/>
    <x v="3"/>
    <n v="79.87"/>
    <x v="96"/>
    <x v="2"/>
    <x v="1"/>
  </r>
  <r>
    <s v="ORD-1120"/>
    <x v="15"/>
    <d v="2024-11-13T00:00:00"/>
    <x v="2"/>
    <x v="2"/>
    <x v="10"/>
    <x v="28"/>
    <n v="1544.4"/>
    <n v="4"/>
    <x v="3"/>
    <n v="391.45"/>
    <x v="50"/>
    <x v="1"/>
    <x v="0"/>
  </r>
  <r>
    <s v="ORD-1121"/>
    <x v="79"/>
    <d v="2024-09-30T00:00:00"/>
    <x v="0"/>
    <x v="1"/>
    <x v="3"/>
    <x v="3"/>
    <n v="278.83"/>
    <n v="10"/>
    <x v="4"/>
    <n v="78.13"/>
    <x v="97"/>
    <x v="1"/>
    <x v="9"/>
  </r>
  <r>
    <s v="ORD-1122"/>
    <x v="101"/>
    <d v="2024-06-02T00:00:00"/>
    <x v="0"/>
    <x v="1"/>
    <x v="3"/>
    <x v="25"/>
    <n v="908.86"/>
    <n v="13"/>
    <x v="2"/>
    <n v="237.3"/>
    <x v="0"/>
    <x v="0"/>
    <x v="7"/>
  </r>
  <r>
    <s v="ORD-1123"/>
    <x v="102"/>
    <d v="2024-12-13T00:00:00"/>
    <x v="0"/>
    <x v="2"/>
    <x v="8"/>
    <x v="23"/>
    <n v="320.27999999999997"/>
    <n v="3"/>
    <x v="3"/>
    <n v="71.34"/>
    <x v="98"/>
    <x v="0"/>
    <x v="2"/>
  </r>
  <r>
    <s v="ORD-1124"/>
    <x v="103"/>
    <d v="2025-01-04T00:00:00"/>
    <x v="3"/>
    <x v="1"/>
    <x v="3"/>
    <x v="3"/>
    <n v="3873.25"/>
    <n v="6"/>
    <x v="2"/>
    <n v="728.28"/>
    <x v="99"/>
    <x v="0"/>
    <x v="2"/>
  </r>
  <r>
    <s v="ORD-1125"/>
    <x v="93"/>
    <d v="2024-07-05T00:00:00"/>
    <x v="2"/>
    <x v="1"/>
    <x v="1"/>
    <x v="10"/>
    <n v="2458.27"/>
    <n v="17"/>
    <x v="1"/>
    <n v="414.78"/>
    <x v="100"/>
    <x v="0"/>
    <x v="10"/>
  </r>
  <r>
    <s v="ORD-1126"/>
    <x v="80"/>
    <d v="2024-06-25T00:00:00"/>
    <x v="3"/>
    <x v="1"/>
    <x v="1"/>
    <x v="20"/>
    <n v="2624.59"/>
    <n v="17"/>
    <x v="2"/>
    <n v="283.89999999999998"/>
    <x v="38"/>
    <x v="0"/>
    <x v="6"/>
  </r>
  <r>
    <s v="ORD-1127"/>
    <x v="34"/>
    <d v="2024-06-30T00:00:00"/>
    <x v="1"/>
    <x v="1"/>
    <x v="1"/>
    <x v="10"/>
    <n v="989.77"/>
    <n v="20"/>
    <x v="4"/>
    <n v="275.22000000000003"/>
    <x v="95"/>
    <x v="0"/>
    <x v="6"/>
  </r>
  <r>
    <s v="ORD-1128"/>
    <x v="104"/>
    <d v="2024-04-07T00:00:00"/>
    <x v="2"/>
    <x v="0"/>
    <x v="6"/>
    <x v="7"/>
    <n v="3490.93"/>
    <n v="11"/>
    <x v="4"/>
    <n v="635.1"/>
    <x v="35"/>
    <x v="2"/>
    <x v="11"/>
  </r>
  <r>
    <s v="ORD-1129"/>
    <x v="81"/>
    <d v="2024-11-23T00:00:00"/>
    <x v="3"/>
    <x v="0"/>
    <x v="5"/>
    <x v="19"/>
    <n v="2152.5100000000002"/>
    <n v="10"/>
    <x v="5"/>
    <n v="-399.45"/>
    <x v="28"/>
    <x v="1"/>
    <x v="0"/>
  </r>
  <r>
    <s v="ORD-1130"/>
    <x v="105"/>
    <d v="2024-05-27T00:00:00"/>
    <x v="0"/>
    <x v="0"/>
    <x v="6"/>
    <x v="6"/>
    <n v="2426.2399999999998"/>
    <n v="2"/>
    <x v="5"/>
    <n v="782.98"/>
    <x v="101"/>
    <x v="2"/>
    <x v="7"/>
  </r>
  <r>
    <s v="ORD-1131"/>
    <x v="78"/>
    <d v="2024-04-11T00:00:00"/>
    <x v="2"/>
    <x v="0"/>
    <x v="7"/>
    <x v="29"/>
    <n v="1939.46"/>
    <n v="11"/>
    <x v="0"/>
    <n v="146.04"/>
    <x v="102"/>
    <x v="1"/>
    <x v="3"/>
  </r>
  <r>
    <s v="ORD-1132"/>
    <x v="32"/>
    <d v="2024-01-24T00:00:00"/>
    <x v="2"/>
    <x v="2"/>
    <x v="10"/>
    <x v="17"/>
    <n v="1648.19"/>
    <n v="10"/>
    <x v="5"/>
    <n v="284.52999999999997"/>
    <x v="103"/>
    <x v="2"/>
    <x v="5"/>
  </r>
  <r>
    <s v="ORD-1133"/>
    <x v="70"/>
    <d v="2024-11-02T00:00:00"/>
    <x v="3"/>
    <x v="1"/>
    <x v="3"/>
    <x v="3"/>
    <n v="2342.36"/>
    <n v="13"/>
    <x v="3"/>
    <n v="294.2"/>
    <x v="69"/>
    <x v="2"/>
    <x v="0"/>
  </r>
  <r>
    <s v="ORD-1134"/>
    <x v="48"/>
    <d v="2024-11-06T00:00:00"/>
    <x v="3"/>
    <x v="1"/>
    <x v="4"/>
    <x v="11"/>
    <n v="3687.8"/>
    <n v="10"/>
    <x v="0"/>
    <n v="957.15"/>
    <x v="104"/>
    <x v="1"/>
    <x v="0"/>
  </r>
  <r>
    <s v="ORD-1135"/>
    <x v="106"/>
    <d v="2024-11-01T00:00:00"/>
    <x v="3"/>
    <x v="0"/>
    <x v="6"/>
    <x v="7"/>
    <n v="3299.44"/>
    <n v="17"/>
    <x v="1"/>
    <n v="804.43"/>
    <x v="48"/>
    <x v="2"/>
    <x v="1"/>
  </r>
  <r>
    <s v="ORD-1136"/>
    <x v="93"/>
    <d v="2024-07-04T00:00:00"/>
    <x v="3"/>
    <x v="2"/>
    <x v="10"/>
    <x v="28"/>
    <n v="1531.5"/>
    <n v="16"/>
    <x v="4"/>
    <n v="-180.66"/>
    <x v="51"/>
    <x v="2"/>
    <x v="10"/>
  </r>
  <r>
    <s v="ORD-1137"/>
    <x v="107"/>
    <d v="2024-02-13T00:00:00"/>
    <x v="0"/>
    <x v="0"/>
    <x v="5"/>
    <x v="5"/>
    <n v="1512.87"/>
    <n v="20"/>
    <x v="4"/>
    <n v="346.71"/>
    <x v="105"/>
    <x v="0"/>
    <x v="8"/>
  </r>
  <r>
    <s v="ORD-1138"/>
    <x v="83"/>
    <d v="2024-04-04T00:00:00"/>
    <x v="2"/>
    <x v="1"/>
    <x v="3"/>
    <x v="26"/>
    <n v="2786.36"/>
    <n v="8"/>
    <x v="5"/>
    <n v="649.72"/>
    <x v="106"/>
    <x v="0"/>
    <x v="3"/>
  </r>
  <r>
    <s v="ORD-1139"/>
    <x v="108"/>
    <d v="2024-08-20T00:00:00"/>
    <x v="1"/>
    <x v="2"/>
    <x v="9"/>
    <x v="14"/>
    <n v="1629.4"/>
    <n v="19"/>
    <x v="5"/>
    <n v="307.14999999999998"/>
    <x v="71"/>
    <x v="2"/>
    <x v="4"/>
  </r>
  <r>
    <s v="ORD-1140"/>
    <x v="85"/>
    <d v="2024-07-20T00:00:00"/>
    <x v="1"/>
    <x v="1"/>
    <x v="4"/>
    <x v="11"/>
    <n v="3523.76"/>
    <n v="2"/>
    <x v="0"/>
    <n v="684.23"/>
    <x v="107"/>
    <x v="1"/>
    <x v="10"/>
  </r>
  <r>
    <s v="ORD-1141"/>
    <x v="109"/>
    <d v="2024-02-23T00:00:00"/>
    <x v="3"/>
    <x v="1"/>
    <x v="1"/>
    <x v="10"/>
    <n v="1934.95"/>
    <n v="17"/>
    <x v="4"/>
    <n v="-579.16"/>
    <x v="108"/>
    <x v="2"/>
    <x v="8"/>
  </r>
  <r>
    <s v="ORD-1142"/>
    <x v="110"/>
    <d v="2024-04-30T00:00:00"/>
    <x v="3"/>
    <x v="1"/>
    <x v="3"/>
    <x v="3"/>
    <n v="1736.7"/>
    <n v="12"/>
    <x v="4"/>
    <n v="-288.02999999999997"/>
    <x v="109"/>
    <x v="1"/>
    <x v="3"/>
  </r>
  <r>
    <s v="ORD-1143"/>
    <x v="111"/>
    <d v="2024-04-24T00:00:00"/>
    <x v="3"/>
    <x v="1"/>
    <x v="4"/>
    <x v="4"/>
    <n v="3217.68"/>
    <n v="5"/>
    <x v="1"/>
    <n v="437.81"/>
    <x v="64"/>
    <x v="2"/>
    <x v="3"/>
  </r>
  <r>
    <s v="ORD-1144"/>
    <x v="112"/>
    <d v="2024-12-24T00:00:00"/>
    <x v="2"/>
    <x v="2"/>
    <x v="8"/>
    <x v="16"/>
    <n v="321.26"/>
    <n v="7"/>
    <x v="4"/>
    <n v="68.959999999999994"/>
    <x v="28"/>
    <x v="1"/>
    <x v="2"/>
  </r>
  <r>
    <s v="ORD-1145"/>
    <x v="28"/>
    <d v="2024-10-03T00:00:00"/>
    <x v="0"/>
    <x v="2"/>
    <x v="10"/>
    <x v="17"/>
    <n v="706.93"/>
    <n v="8"/>
    <x v="5"/>
    <n v="170.85"/>
    <x v="110"/>
    <x v="1"/>
    <x v="9"/>
  </r>
  <r>
    <s v="ORD-1146"/>
    <x v="113"/>
    <d v="2024-02-03T00:00:00"/>
    <x v="2"/>
    <x v="0"/>
    <x v="5"/>
    <x v="5"/>
    <n v="2182.66"/>
    <n v="8"/>
    <x v="0"/>
    <n v="203.15"/>
    <x v="42"/>
    <x v="2"/>
    <x v="8"/>
  </r>
  <r>
    <s v="ORD-1147"/>
    <x v="114"/>
    <d v="2024-11-15T00:00:00"/>
    <x v="1"/>
    <x v="0"/>
    <x v="6"/>
    <x v="15"/>
    <n v="2741.39"/>
    <n v="3"/>
    <x v="2"/>
    <n v="-938.64"/>
    <x v="27"/>
    <x v="2"/>
    <x v="0"/>
  </r>
  <r>
    <s v="ORD-1148"/>
    <x v="79"/>
    <d v="2024-09-26T00:00:00"/>
    <x v="2"/>
    <x v="2"/>
    <x v="8"/>
    <x v="13"/>
    <n v="1700.8"/>
    <n v="12"/>
    <x v="3"/>
    <n v="466.35"/>
    <x v="100"/>
    <x v="2"/>
    <x v="9"/>
  </r>
  <r>
    <s v="ORD-1149"/>
    <x v="24"/>
    <d v="2024-02-09T00:00:00"/>
    <x v="1"/>
    <x v="0"/>
    <x v="5"/>
    <x v="5"/>
    <n v="3006.95"/>
    <n v="11"/>
    <x v="4"/>
    <n v="190.34"/>
    <x v="93"/>
    <x v="2"/>
    <x v="8"/>
  </r>
  <r>
    <s v="ORD-1150"/>
    <x v="115"/>
    <d v="2024-11-27T00:00:00"/>
    <x v="2"/>
    <x v="0"/>
    <x v="6"/>
    <x v="15"/>
    <n v="3293.12"/>
    <n v="3"/>
    <x v="0"/>
    <n v="931.48"/>
    <x v="15"/>
    <x v="2"/>
    <x v="0"/>
  </r>
  <r>
    <s v="ORD-1151"/>
    <x v="116"/>
    <d v="2024-06-02T00:00:00"/>
    <x v="0"/>
    <x v="1"/>
    <x v="1"/>
    <x v="10"/>
    <n v="3750.14"/>
    <n v="17"/>
    <x v="5"/>
    <n v="1300.31"/>
    <x v="43"/>
    <x v="0"/>
    <x v="7"/>
  </r>
  <r>
    <s v="ORD-1152"/>
    <x v="117"/>
    <d v="2024-05-09T00:00:00"/>
    <x v="1"/>
    <x v="2"/>
    <x v="2"/>
    <x v="2"/>
    <n v="3496.74"/>
    <n v="11"/>
    <x v="3"/>
    <n v="305.41000000000003"/>
    <x v="64"/>
    <x v="1"/>
    <x v="7"/>
  </r>
  <r>
    <s v="ORD-1153"/>
    <x v="118"/>
    <d v="2024-07-30T00:00:00"/>
    <x v="2"/>
    <x v="2"/>
    <x v="10"/>
    <x v="17"/>
    <n v="2845.26"/>
    <n v="12"/>
    <x v="2"/>
    <n v="-369.93"/>
    <x v="49"/>
    <x v="2"/>
    <x v="10"/>
  </r>
  <r>
    <s v="ORD-1154"/>
    <x v="119"/>
    <d v="2024-08-06T00:00:00"/>
    <x v="2"/>
    <x v="0"/>
    <x v="7"/>
    <x v="12"/>
    <n v="1351.62"/>
    <n v="4"/>
    <x v="1"/>
    <n v="200.55"/>
    <x v="111"/>
    <x v="0"/>
    <x v="4"/>
  </r>
  <r>
    <s v="ORD-1155"/>
    <x v="120"/>
    <d v="2024-08-22T00:00:00"/>
    <x v="1"/>
    <x v="0"/>
    <x v="6"/>
    <x v="7"/>
    <n v="1926.74"/>
    <n v="12"/>
    <x v="2"/>
    <n v="673.29"/>
    <x v="21"/>
    <x v="2"/>
    <x v="4"/>
  </r>
  <r>
    <s v="ORD-1156"/>
    <x v="121"/>
    <d v="2024-01-31T00:00:00"/>
    <x v="2"/>
    <x v="2"/>
    <x v="10"/>
    <x v="28"/>
    <n v="785.42"/>
    <n v="20"/>
    <x v="0"/>
    <n v="-223.37"/>
    <x v="97"/>
    <x v="1"/>
    <x v="5"/>
  </r>
  <r>
    <s v="ORD-1157"/>
    <x v="24"/>
    <d v="2024-02-07T00:00:00"/>
    <x v="3"/>
    <x v="2"/>
    <x v="9"/>
    <x v="30"/>
    <n v="371.44"/>
    <n v="5"/>
    <x v="0"/>
    <n v="68.709999999999994"/>
    <x v="112"/>
    <x v="0"/>
    <x v="8"/>
  </r>
  <r>
    <s v="ORD-1158"/>
    <x v="96"/>
    <d v="2024-08-16T00:00:00"/>
    <x v="1"/>
    <x v="0"/>
    <x v="0"/>
    <x v="22"/>
    <n v="1428.95"/>
    <n v="9"/>
    <x v="4"/>
    <n v="-483.21"/>
    <x v="103"/>
    <x v="0"/>
    <x v="4"/>
  </r>
  <r>
    <s v="ORD-1159"/>
    <x v="122"/>
    <d v="2024-04-12T00:00:00"/>
    <x v="2"/>
    <x v="0"/>
    <x v="5"/>
    <x v="19"/>
    <n v="3156.12"/>
    <n v="15"/>
    <x v="4"/>
    <n v="1101.2"/>
    <x v="113"/>
    <x v="1"/>
    <x v="3"/>
  </r>
  <r>
    <s v="ORD-1160"/>
    <x v="123"/>
    <d v="2024-09-11T00:00:00"/>
    <x v="0"/>
    <x v="1"/>
    <x v="1"/>
    <x v="10"/>
    <n v="897.46"/>
    <n v="15"/>
    <x v="1"/>
    <n v="263.08999999999997"/>
    <x v="27"/>
    <x v="2"/>
    <x v="9"/>
  </r>
  <r>
    <s v="ORD-1161"/>
    <x v="124"/>
    <d v="2024-06-17T00:00:00"/>
    <x v="0"/>
    <x v="0"/>
    <x v="0"/>
    <x v="31"/>
    <n v="3442.61"/>
    <n v="6"/>
    <x v="3"/>
    <n v="-697.56"/>
    <x v="114"/>
    <x v="1"/>
    <x v="6"/>
  </r>
  <r>
    <s v="ORD-1162"/>
    <x v="125"/>
    <d v="2024-04-14T00:00:00"/>
    <x v="1"/>
    <x v="2"/>
    <x v="8"/>
    <x v="23"/>
    <n v="2327.58"/>
    <n v="12"/>
    <x v="5"/>
    <n v="677.56"/>
    <x v="115"/>
    <x v="1"/>
    <x v="3"/>
  </r>
  <r>
    <s v="ORD-1163"/>
    <x v="126"/>
    <d v="2024-11-10T00:00:00"/>
    <x v="0"/>
    <x v="2"/>
    <x v="9"/>
    <x v="30"/>
    <n v="2945.76"/>
    <n v="17"/>
    <x v="5"/>
    <n v="827.02"/>
    <x v="32"/>
    <x v="0"/>
    <x v="0"/>
  </r>
  <r>
    <s v="ORD-1164"/>
    <x v="65"/>
    <d v="2024-02-09T00:00:00"/>
    <x v="3"/>
    <x v="0"/>
    <x v="5"/>
    <x v="19"/>
    <n v="1996.87"/>
    <n v="17"/>
    <x v="3"/>
    <n v="176.72"/>
    <x v="63"/>
    <x v="1"/>
    <x v="8"/>
  </r>
  <r>
    <s v="ORD-1165"/>
    <x v="127"/>
    <d v="2024-10-11T00:00:00"/>
    <x v="1"/>
    <x v="2"/>
    <x v="8"/>
    <x v="16"/>
    <n v="2192.88"/>
    <n v="10"/>
    <x v="4"/>
    <n v="216.2"/>
    <x v="101"/>
    <x v="2"/>
    <x v="1"/>
  </r>
  <r>
    <s v="ORD-1166"/>
    <x v="128"/>
    <d v="2024-04-30T00:00:00"/>
    <x v="3"/>
    <x v="1"/>
    <x v="3"/>
    <x v="32"/>
    <n v="2631.46"/>
    <n v="18"/>
    <x v="3"/>
    <n v="230.39"/>
    <x v="110"/>
    <x v="2"/>
    <x v="3"/>
  </r>
  <r>
    <s v="ORD-1167"/>
    <x v="129"/>
    <d v="2024-10-01T00:00:00"/>
    <x v="1"/>
    <x v="0"/>
    <x v="7"/>
    <x v="29"/>
    <n v="2720.25"/>
    <n v="20"/>
    <x v="3"/>
    <n v="823.58"/>
    <x v="116"/>
    <x v="2"/>
    <x v="9"/>
  </r>
  <r>
    <s v="ORD-1168"/>
    <x v="82"/>
    <d v="2024-01-16T00:00:00"/>
    <x v="0"/>
    <x v="0"/>
    <x v="0"/>
    <x v="0"/>
    <n v="3126.1"/>
    <n v="14"/>
    <x v="2"/>
    <n v="755.57"/>
    <x v="19"/>
    <x v="2"/>
    <x v="5"/>
  </r>
  <r>
    <s v="ORD-1169"/>
    <x v="130"/>
    <d v="2024-11-21T00:00:00"/>
    <x v="3"/>
    <x v="2"/>
    <x v="10"/>
    <x v="17"/>
    <n v="1365.38"/>
    <n v="3"/>
    <x v="0"/>
    <n v="92.81"/>
    <x v="117"/>
    <x v="0"/>
    <x v="0"/>
  </r>
  <r>
    <s v="ORD-1170"/>
    <x v="131"/>
    <d v="2024-09-11T00:00:00"/>
    <x v="1"/>
    <x v="2"/>
    <x v="10"/>
    <x v="17"/>
    <n v="3480.57"/>
    <n v="11"/>
    <x v="0"/>
    <n v="1205.69"/>
    <x v="56"/>
    <x v="1"/>
    <x v="9"/>
  </r>
  <r>
    <s v="ORD-1171"/>
    <x v="118"/>
    <d v="2024-07-25T00:00:00"/>
    <x v="3"/>
    <x v="0"/>
    <x v="5"/>
    <x v="19"/>
    <n v="1156.52"/>
    <n v="4"/>
    <x v="3"/>
    <n v="-213.82"/>
    <x v="118"/>
    <x v="2"/>
    <x v="10"/>
  </r>
  <r>
    <s v="ORD-1172"/>
    <x v="86"/>
    <d v="2024-01-30T00:00:00"/>
    <x v="2"/>
    <x v="0"/>
    <x v="6"/>
    <x v="15"/>
    <n v="3860.07"/>
    <n v="6"/>
    <x v="3"/>
    <n v="1274.31"/>
    <x v="119"/>
    <x v="2"/>
    <x v="5"/>
  </r>
  <r>
    <s v="ORD-1173"/>
    <x v="132"/>
    <d v="2024-04-09T00:00:00"/>
    <x v="2"/>
    <x v="0"/>
    <x v="6"/>
    <x v="6"/>
    <n v="3546.53"/>
    <n v="16"/>
    <x v="1"/>
    <n v="273.14"/>
    <x v="120"/>
    <x v="0"/>
    <x v="3"/>
  </r>
  <r>
    <s v="ORD-1174"/>
    <x v="133"/>
    <d v="2024-08-25T00:00:00"/>
    <x v="1"/>
    <x v="0"/>
    <x v="0"/>
    <x v="9"/>
    <n v="439.53"/>
    <n v="16"/>
    <x v="2"/>
    <n v="138.32"/>
    <x v="121"/>
    <x v="2"/>
    <x v="4"/>
  </r>
  <r>
    <s v="ORD-1175"/>
    <x v="64"/>
    <d v="2024-09-01T00:00:00"/>
    <x v="0"/>
    <x v="1"/>
    <x v="3"/>
    <x v="32"/>
    <n v="3559.21"/>
    <n v="12"/>
    <x v="5"/>
    <n v="568.69000000000005"/>
    <x v="122"/>
    <x v="1"/>
    <x v="4"/>
  </r>
  <r>
    <s v="ORD-1176"/>
    <x v="134"/>
    <d v="2024-10-21T00:00:00"/>
    <x v="3"/>
    <x v="0"/>
    <x v="0"/>
    <x v="9"/>
    <n v="1698.81"/>
    <n v="15"/>
    <x v="2"/>
    <n v="227.5"/>
    <x v="6"/>
    <x v="1"/>
    <x v="1"/>
  </r>
  <r>
    <s v="ORD-1177"/>
    <x v="135"/>
    <d v="2024-12-15T00:00:00"/>
    <x v="1"/>
    <x v="1"/>
    <x v="3"/>
    <x v="26"/>
    <n v="3230.86"/>
    <n v="11"/>
    <x v="2"/>
    <n v="1071.6300000000001"/>
    <x v="123"/>
    <x v="2"/>
    <x v="2"/>
  </r>
  <r>
    <s v="ORD-1178"/>
    <x v="136"/>
    <d v="2024-04-17T00:00:00"/>
    <x v="0"/>
    <x v="1"/>
    <x v="1"/>
    <x v="1"/>
    <n v="2925.97"/>
    <n v="16"/>
    <x v="2"/>
    <n v="547.44000000000005"/>
    <x v="120"/>
    <x v="0"/>
    <x v="3"/>
  </r>
  <r>
    <s v="ORD-1179"/>
    <x v="137"/>
    <d v="2024-09-22T00:00:00"/>
    <x v="3"/>
    <x v="0"/>
    <x v="0"/>
    <x v="0"/>
    <n v="1723.58"/>
    <n v="20"/>
    <x v="0"/>
    <n v="521.87"/>
    <x v="124"/>
    <x v="0"/>
    <x v="9"/>
  </r>
  <r>
    <s v="ORD-1180"/>
    <x v="138"/>
    <d v="2024-09-23T00:00:00"/>
    <x v="3"/>
    <x v="2"/>
    <x v="8"/>
    <x v="23"/>
    <n v="1492.15"/>
    <n v="4"/>
    <x v="5"/>
    <n v="335.9"/>
    <x v="125"/>
    <x v="0"/>
    <x v="9"/>
  </r>
  <r>
    <s v="ORD-1181"/>
    <x v="67"/>
    <d v="2024-12-18T00:00:00"/>
    <x v="2"/>
    <x v="2"/>
    <x v="10"/>
    <x v="28"/>
    <n v="2438.21"/>
    <n v="6"/>
    <x v="2"/>
    <n v="582.02"/>
    <x v="73"/>
    <x v="0"/>
    <x v="2"/>
  </r>
  <r>
    <s v="ORD-1182"/>
    <x v="38"/>
    <d v="2024-07-15T00:00:00"/>
    <x v="1"/>
    <x v="1"/>
    <x v="4"/>
    <x v="11"/>
    <n v="965.44"/>
    <n v="15"/>
    <x v="3"/>
    <n v="169.56"/>
    <x v="116"/>
    <x v="1"/>
    <x v="10"/>
  </r>
  <r>
    <s v="ORD-1183"/>
    <x v="139"/>
    <d v="2024-04-20T00:00:00"/>
    <x v="2"/>
    <x v="0"/>
    <x v="5"/>
    <x v="5"/>
    <n v="767.81"/>
    <n v="7"/>
    <x v="2"/>
    <n v="113.26"/>
    <x v="126"/>
    <x v="1"/>
    <x v="3"/>
  </r>
  <r>
    <s v="ORD-1184"/>
    <x v="79"/>
    <d v="2024-10-02T00:00:00"/>
    <x v="3"/>
    <x v="1"/>
    <x v="3"/>
    <x v="26"/>
    <n v="2298.52"/>
    <n v="9"/>
    <x v="2"/>
    <n v="448.8"/>
    <x v="45"/>
    <x v="1"/>
    <x v="9"/>
  </r>
  <r>
    <s v="ORD-1185"/>
    <x v="20"/>
    <d v="2024-05-26T00:00:00"/>
    <x v="1"/>
    <x v="2"/>
    <x v="2"/>
    <x v="33"/>
    <n v="1027.29"/>
    <n v="16"/>
    <x v="3"/>
    <n v="199.23"/>
    <x v="125"/>
    <x v="2"/>
    <x v="7"/>
  </r>
  <r>
    <s v="ORD-1186"/>
    <x v="140"/>
    <d v="2024-05-24T00:00:00"/>
    <x v="0"/>
    <x v="0"/>
    <x v="6"/>
    <x v="6"/>
    <n v="3318.92"/>
    <n v="5"/>
    <x v="3"/>
    <n v="207.83"/>
    <x v="127"/>
    <x v="0"/>
    <x v="7"/>
  </r>
  <r>
    <s v="ORD-1187"/>
    <x v="14"/>
    <d v="2024-02-15T00:00:00"/>
    <x v="2"/>
    <x v="0"/>
    <x v="0"/>
    <x v="22"/>
    <n v="1052.45"/>
    <n v="18"/>
    <x v="3"/>
    <n v="347.21"/>
    <x v="61"/>
    <x v="1"/>
    <x v="8"/>
  </r>
  <r>
    <s v="ORD-1188"/>
    <x v="141"/>
    <d v="2024-03-12T00:00:00"/>
    <x v="1"/>
    <x v="1"/>
    <x v="1"/>
    <x v="20"/>
    <n v="3644.44"/>
    <n v="8"/>
    <x v="0"/>
    <n v="-436.79"/>
    <x v="85"/>
    <x v="0"/>
    <x v="11"/>
  </r>
  <r>
    <s v="ORD-1189"/>
    <x v="142"/>
    <d v="2024-06-25T00:00:00"/>
    <x v="0"/>
    <x v="0"/>
    <x v="7"/>
    <x v="29"/>
    <n v="3866.95"/>
    <n v="6"/>
    <x v="5"/>
    <n v="950.76"/>
    <x v="128"/>
    <x v="2"/>
    <x v="6"/>
  </r>
  <r>
    <s v="ORD-1190"/>
    <x v="60"/>
    <d v="2024-09-07T00:00:00"/>
    <x v="1"/>
    <x v="2"/>
    <x v="2"/>
    <x v="21"/>
    <n v="2672.12"/>
    <n v="3"/>
    <x v="0"/>
    <n v="593.85"/>
    <x v="57"/>
    <x v="1"/>
    <x v="4"/>
  </r>
  <r>
    <s v="ORD-1191"/>
    <x v="35"/>
    <d v="2024-01-22T00:00:00"/>
    <x v="2"/>
    <x v="1"/>
    <x v="1"/>
    <x v="10"/>
    <n v="3204.85"/>
    <n v="6"/>
    <x v="0"/>
    <n v="1085.29"/>
    <x v="129"/>
    <x v="1"/>
    <x v="5"/>
  </r>
  <r>
    <s v="ORD-1192"/>
    <x v="35"/>
    <d v="2024-01-20T00:00:00"/>
    <x v="3"/>
    <x v="0"/>
    <x v="5"/>
    <x v="19"/>
    <n v="1317.11"/>
    <n v="18"/>
    <x v="2"/>
    <n v="261.02"/>
    <x v="26"/>
    <x v="0"/>
    <x v="5"/>
  </r>
  <r>
    <s v="ORD-1193"/>
    <x v="143"/>
    <d v="2024-09-22T00:00:00"/>
    <x v="3"/>
    <x v="1"/>
    <x v="1"/>
    <x v="10"/>
    <n v="859.35"/>
    <n v="15"/>
    <x v="0"/>
    <n v="109.29"/>
    <x v="130"/>
    <x v="0"/>
    <x v="9"/>
  </r>
  <r>
    <s v="ORD-1194"/>
    <x v="144"/>
    <d v="2024-06-25T00:00:00"/>
    <x v="1"/>
    <x v="1"/>
    <x v="4"/>
    <x v="4"/>
    <n v="3351.21"/>
    <n v="17"/>
    <x v="3"/>
    <n v="254.76"/>
    <x v="113"/>
    <x v="2"/>
    <x v="6"/>
  </r>
  <r>
    <s v="ORD-1195"/>
    <x v="145"/>
    <d v="2024-04-06T00:00:00"/>
    <x v="2"/>
    <x v="2"/>
    <x v="10"/>
    <x v="28"/>
    <n v="1227.94"/>
    <n v="8"/>
    <x v="5"/>
    <n v="339.07"/>
    <x v="62"/>
    <x v="1"/>
    <x v="3"/>
  </r>
  <r>
    <s v="ORD-1196"/>
    <x v="146"/>
    <d v="2024-06-03T00:00:00"/>
    <x v="3"/>
    <x v="0"/>
    <x v="0"/>
    <x v="0"/>
    <n v="482.97"/>
    <n v="4"/>
    <x v="5"/>
    <n v="68.599999999999994"/>
    <x v="131"/>
    <x v="1"/>
    <x v="6"/>
  </r>
  <r>
    <s v="ORD-1197"/>
    <x v="147"/>
    <d v="2024-09-18T00:00:00"/>
    <x v="0"/>
    <x v="0"/>
    <x v="0"/>
    <x v="31"/>
    <n v="2554.85"/>
    <n v="8"/>
    <x v="4"/>
    <n v="494.25"/>
    <x v="132"/>
    <x v="0"/>
    <x v="9"/>
  </r>
  <r>
    <s v="ORD-1198"/>
    <x v="15"/>
    <d v="2024-11-11T00:00:00"/>
    <x v="2"/>
    <x v="0"/>
    <x v="6"/>
    <x v="15"/>
    <n v="3106.97"/>
    <n v="20"/>
    <x v="1"/>
    <n v="645.16999999999996"/>
    <x v="133"/>
    <x v="2"/>
    <x v="0"/>
  </r>
  <r>
    <s v="ORD-1199"/>
    <x v="93"/>
    <d v="2024-07-05T00:00:00"/>
    <x v="0"/>
    <x v="1"/>
    <x v="4"/>
    <x v="11"/>
    <n v="2397.63"/>
    <n v="5"/>
    <x v="4"/>
    <n v="355.89"/>
    <x v="21"/>
    <x v="1"/>
    <x v="10"/>
  </r>
  <r>
    <s v="ORD-1200"/>
    <x v="148"/>
    <d v="2024-03-03T00:00:00"/>
    <x v="2"/>
    <x v="1"/>
    <x v="4"/>
    <x v="4"/>
    <n v="3282.6"/>
    <n v="15"/>
    <x v="4"/>
    <n v="669.57"/>
    <x v="92"/>
    <x v="0"/>
    <x v="8"/>
  </r>
  <r>
    <s v="ORD-1201"/>
    <x v="121"/>
    <d v="2024-02-06T00:00:00"/>
    <x v="3"/>
    <x v="0"/>
    <x v="5"/>
    <x v="19"/>
    <n v="1204.21"/>
    <n v="1"/>
    <x v="0"/>
    <n v="-138.93"/>
    <x v="105"/>
    <x v="2"/>
    <x v="5"/>
  </r>
  <r>
    <s v="ORD-1202"/>
    <x v="149"/>
    <d v="2024-08-09T00:00:00"/>
    <x v="0"/>
    <x v="0"/>
    <x v="5"/>
    <x v="18"/>
    <n v="3948.01"/>
    <n v="16"/>
    <x v="1"/>
    <n v="537.42999999999995"/>
    <x v="36"/>
    <x v="1"/>
    <x v="4"/>
  </r>
  <r>
    <s v="ORD-1203"/>
    <x v="76"/>
    <d v="2024-03-16T00:00:00"/>
    <x v="3"/>
    <x v="2"/>
    <x v="9"/>
    <x v="27"/>
    <n v="1658.67"/>
    <n v="18"/>
    <x v="4"/>
    <n v="408.13"/>
    <x v="134"/>
    <x v="0"/>
    <x v="11"/>
  </r>
  <r>
    <s v="ORD-1204"/>
    <x v="150"/>
    <d v="2024-04-07T00:00:00"/>
    <x v="1"/>
    <x v="0"/>
    <x v="7"/>
    <x v="29"/>
    <n v="3085.67"/>
    <n v="10"/>
    <x v="5"/>
    <n v="777.74"/>
    <x v="135"/>
    <x v="1"/>
    <x v="3"/>
  </r>
  <r>
    <s v="ORD-1205"/>
    <x v="151"/>
    <d v="2024-10-05T00:00:00"/>
    <x v="1"/>
    <x v="1"/>
    <x v="3"/>
    <x v="26"/>
    <n v="831.71"/>
    <n v="7"/>
    <x v="0"/>
    <n v="-232.59"/>
    <x v="136"/>
    <x v="0"/>
    <x v="9"/>
  </r>
  <r>
    <s v="ORD-1206"/>
    <x v="152"/>
    <d v="2024-12-10T00:00:00"/>
    <x v="0"/>
    <x v="1"/>
    <x v="1"/>
    <x v="1"/>
    <n v="628.36"/>
    <n v="2"/>
    <x v="5"/>
    <n v="144.11000000000001"/>
    <x v="65"/>
    <x v="1"/>
    <x v="2"/>
  </r>
  <r>
    <s v="ORD-1207"/>
    <x v="153"/>
    <d v="2024-01-28T00:00:00"/>
    <x v="0"/>
    <x v="2"/>
    <x v="9"/>
    <x v="14"/>
    <n v="2274.1"/>
    <n v="2"/>
    <x v="4"/>
    <n v="457.48"/>
    <x v="137"/>
    <x v="0"/>
    <x v="5"/>
  </r>
  <r>
    <s v="ORD-1208"/>
    <x v="47"/>
    <d v="2024-10-26T00:00:00"/>
    <x v="3"/>
    <x v="1"/>
    <x v="3"/>
    <x v="32"/>
    <n v="3946.36"/>
    <n v="17"/>
    <x v="4"/>
    <n v="686.94"/>
    <x v="138"/>
    <x v="1"/>
    <x v="1"/>
  </r>
  <r>
    <s v="ORD-1209"/>
    <x v="154"/>
    <d v="2024-10-14T00:00:00"/>
    <x v="2"/>
    <x v="0"/>
    <x v="6"/>
    <x v="8"/>
    <n v="3896.09"/>
    <n v="13"/>
    <x v="2"/>
    <n v="567.35"/>
    <x v="139"/>
    <x v="2"/>
    <x v="1"/>
  </r>
  <r>
    <s v="ORD-1210"/>
    <x v="155"/>
    <d v="2024-03-21T00:00:00"/>
    <x v="2"/>
    <x v="1"/>
    <x v="4"/>
    <x v="4"/>
    <n v="1153.6300000000001"/>
    <n v="8"/>
    <x v="3"/>
    <n v="-354.47"/>
    <x v="140"/>
    <x v="0"/>
    <x v="11"/>
  </r>
  <r>
    <s v="ORD-1211"/>
    <x v="58"/>
    <d v="2024-08-25T00:00:00"/>
    <x v="2"/>
    <x v="2"/>
    <x v="10"/>
    <x v="17"/>
    <n v="1160.72"/>
    <n v="7"/>
    <x v="3"/>
    <n v="283.23"/>
    <x v="116"/>
    <x v="2"/>
    <x v="4"/>
  </r>
  <r>
    <s v="ORD-1212"/>
    <x v="156"/>
    <d v="2024-07-09T00:00:00"/>
    <x v="1"/>
    <x v="1"/>
    <x v="3"/>
    <x v="25"/>
    <n v="2776.27"/>
    <n v="20"/>
    <x v="1"/>
    <n v="866.44"/>
    <x v="141"/>
    <x v="1"/>
    <x v="10"/>
  </r>
  <r>
    <s v="ORD-1213"/>
    <x v="84"/>
    <d v="2024-10-30T00:00:00"/>
    <x v="2"/>
    <x v="1"/>
    <x v="3"/>
    <x v="26"/>
    <n v="3838.82"/>
    <n v="1"/>
    <x v="4"/>
    <n v="1271.22"/>
    <x v="3"/>
    <x v="2"/>
    <x v="1"/>
  </r>
  <r>
    <s v="ORD-1214"/>
    <x v="157"/>
    <d v="2024-03-08T00:00:00"/>
    <x v="1"/>
    <x v="0"/>
    <x v="7"/>
    <x v="24"/>
    <n v="3681.72"/>
    <n v="18"/>
    <x v="3"/>
    <n v="1040.6500000000001"/>
    <x v="105"/>
    <x v="1"/>
    <x v="11"/>
  </r>
  <r>
    <s v="ORD-1215"/>
    <x v="129"/>
    <d v="2024-10-05T00:00:00"/>
    <x v="3"/>
    <x v="2"/>
    <x v="2"/>
    <x v="33"/>
    <n v="3560.54"/>
    <n v="15"/>
    <x v="1"/>
    <n v="1035.57"/>
    <x v="142"/>
    <x v="1"/>
    <x v="9"/>
  </r>
  <r>
    <s v="ORD-1216"/>
    <x v="124"/>
    <d v="2024-06-15T00:00:00"/>
    <x v="3"/>
    <x v="2"/>
    <x v="9"/>
    <x v="14"/>
    <n v="2359.4699999999998"/>
    <n v="8"/>
    <x v="0"/>
    <n v="221.26"/>
    <x v="101"/>
    <x v="2"/>
    <x v="6"/>
  </r>
  <r>
    <s v="ORD-1217"/>
    <x v="158"/>
    <d v="2024-11-01T00:00:00"/>
    <x v="3"/>
    <x v="1"/>
    <x v="1"/>
    <x v="10"/>
    <n v="1112.57"/>
    <n v="19"/>
    <x v="4"/>
    <n v="222.28"/>
    <x v="23"/>
    <x v="1"/>
    <x v="1"/>
  </r>
  <r>
    <s v="ORD-1218"/>
    <x v="55"/>
    <d v="2024-12-21T00:00:00"/>
    <x v="3"/>
    <x v="2"/>
    <x v="9"/>
    <x v="27"/>
    <n v="880.88"/>
    <n v="12"/>
    <x v="4"/>
    <n v="81.03"/>
    <x v="95"/>
    <x v="0"/>
    <x v="2"/>
  </r>
  <r>
    <s v="ORD-1219"/>
    <x v="145"/>
    <d v="2024-04-04T00:00:00"/>
    <x v="0"/>
    <x v="1"/>
    <x v="4"/>
    <x v="11"/>
    <n v="3116.27"/>
    <n v="14"/>
    <x v="4"/>
    <n v="943.49"/>
    <x v="143"/>
    <x v="0"/>
    <x v="3"/>
  </r>
  <r>
    <s v="ORD-1220"/>
    <x v="159"/>
    <d v="2024-12-30T00:00:00"/>
    <x v="0"/>
    <x v="1"/>
    <x v="4"/>
    <x v="4"/>
    <n v="1649.5"/>
    <n v="20"/>
    <x v="0"/>
    <n v="412.42"/>
    <x v="144"/>
    <x v="2"/>
    <x v="2"/>
  </r>
  <r>
    <s v="ORD-1221"/>
    <x v="131"/>
    <d v="2024-09-11T00:00:00"/>
    <x v="0"/>
    <x v="1"/>
    <x v="4"/>
    <x v="4"/>
    <n v="294.44"/>
    <n v="17"/>
    <x v="0"/>
    <n v="38.99"/>
    <x v="145"/>
    <x v="2"/>
    <x v="9"/>
  </r>
  <r>
    <s v="ORD-1222"/>
    <x v="160"/>
    <d v="2024-01-15T00:00:00"/>
    <x v="1"/>
    <x v="1"/>
    <x v="1"/>
    <x v="20"/>
    <n v="808.37"/>
    <n v="7"/>
    <x v="2"/>
    <n v="168.09"/>
    <x v="144"/>
    <x v="0"/>
    <x v="5"/>
  </r>
  <r>
    <s v="ORD-1223"/>
    <x v="73"/>
    <d v="2024-05-22T00:00:00"/>
    <x v="0"/>
    <x v="2"/>
    <x v="9"/>
    <x v="27"/>
    <n v="2368.7600000000002"/>
    <n v="8"/>
    <x v="3"/>
    <n v="604.54"/>
    <x v="6"/>
    <x v="2"/>
    <x v="7"/>
  </r>
  <r>
    <s v="ORD-1224"/>
    <x v="161"/>
    <d v="2024-11-30T00:00:00"/>
    <x v="0"/>
    <x v="2"/>
    <x v="9"/>
    <x v="27"/>
    <n v="2322.63"/>
    <n v="2"/>
    <x v="0"/>
    <n v="122.72"/>
    <x v="146"/>
    <x v="1"/>
    <x v="0"/>
  </r>
  <r>
    <s v="ORD-1225"/>
    <x v="162"/>
    <d v="2024-09-18T00:00:00"/>
    <x v="3"/>
    <x v="0"/>
    <x v="5"/>
    <x v="5"/>
    <n v="3696.82"/>
    <n v="8"/>
    <x v="4"/>
    <n v="1184.3900000000001"/>
    <x v="147"/>
    <x v="1"/>
    <x v="9"/>
  </r>
  <r>
    <s v="ORD-1226"/>
    <x v="8"/>
    <d v="2024-10-24T00:00:00"/>
    <x v="3"/>
    <x v="1"/>
    <x v="1"/>
    <x v="20"/>
    <n v="3720.94"/>
    <n v="18"/>
    <x v="2"/>
    <n v="920.68"/>
    <x v="148"/>
    <x v="1"/>
    <x v="1"/>
  </r>
  <r>
    <s v="ORD-1227"/>
    <x v="26"/>
    <d v="2024-06-10T00:00:00"/>
    <x v="1"/>
    <x v="0"/>
    <x v="7"/>
    <x v="12"/>
    <n v="3328.38"/>
    <n v="3"/>
    <x v="3"/>
    <n v="328.63"/>
    <x v="45"/>
    <x v="0"/>
    <x v="6"/>
  </r>
  <r>
    <s v="ORD-1228"/>
    <x v="163"/>
    <d v="2024-07-23T00:00:00"/>
    <x v="2"/>
    <x v="0"/>
    <x v="7"/>
    <x v="12"/>
    <n v="2965.61"/>
    <n v="17"/>
    <x v="0"/>
    <n v="-1015.12"/>
    <x v="57"/>
    <x v="0"/>
    <x v="10"/>
  </r>
  <r>
    <s v="ORD-1229"/>
    <x v="164"/>
    <d v="2024-08-14T00:00:00"/>
    <x v="0"/>
    <x v="2"/>
    <x v="9"/>
    <x v="27"/>
    <n v="361.1"/>
    <n v="9"/>
    <x v="5"/>
    <n v="71.2"/>
    <x v="30"/>
    <x v="2"/>
    <x v="4"/>
  </r>
  <r>
    <s v="ORD-1230"/>
    <x v="165"/>
    <d v="2024-07-17T00:00:00"/>
    <x v="1"/>
    <x v="0"/>
    <x v="6"/>
    <x v="8"/>
    <n v="3145.63"/>
    <n v="10"/>
    <x v="4"/>
    <n v="-830.23"/>
    <x v="2"/>
    <x v="2"/>
    <x v="10"/>
  </r>
  <r>
    <s v="ORD-1231"/>
    <x v="166"/>
    <d v="2024-03-25T00:00:00"/>
    <x v="1"/>
    <x v="0"/>
    <x v="6"/>
    <x v="7"/>
    <n v="1602.63"/>
    <n v="3"/>
    <x v="1"/>
    <n v="533.5"/>
    <x v="8"/>
    <x v="2"/>
    <x v="11"/>
  </r>
  <r>
    <s v="ORD-1232"/>
    <x v="7"/>
    <d v="2024-05-19T00:00:00"/>
    <x v="1"/>
    <x v="1"/>
    <x v="1"/>
    <x v="10"/>
    <n v="1933.16"/>
    <n v="18"/>
    <x v="2"/>
    <n v="-333.3"/>
    <x v="149"/>
    <x v="2"/>
    <x v="7"/>
  </r>
  <r>
    <s v="ORD-1233"/>
    <x v="6"/>
    <d v="2024-07-01T00:00:00"/>
    <x v="3"/>
    <x v="2"/>
    <x v="8"/>
    <x v="23"/>
    <n v="1801.79"/>
    <n v="3"/>
    <x v="0"/>
    <n v="577.19000000000005"/>
    <x v="5"/>
    <x v="0"/>
    <x v="6"/>
  </r>
  <r>
    <s v="ORD-1234"/>
    <x v="167"/>
    <d v="2024-05-06T00:00:00"/>
    <x v="2"/>
    <x v="1"/>
    <x v="1"/>
    <x v="10"/>
    <n v="1379.24"/>
    <n v="16"/>
    <x v="4"/>
    <n v="95.14"/>
    <x v="150"/>
    <x v="1"/>
    <x v="7"/>
  </r>
  <r>
    <s v="ORD-1235"/>
    <x v="51"/>
    <d v="2024-08-07T00:00:00"/>
    <x v="2"/>
    <x v="1"/>
    <x v="3"/>
    <x v="26"/>
    <n v="3790.83"/>
    <n v="16"/>
    <x v="2"/>
    <n v="890.85"/>
    <x v="115"/>
    <x v="0"/>
    <x v="4"/>
  </r>
  <r>
    <s v="ORD-1236"/>
    <x v="76"/>
    <d v="2024-03-14T00:00:00"/>
    <x v="0"/>
    <x v="2"/>
    <x v="2"/>
    <x v="33"/>
    <n v="1674.59"/>
    <n v="11"/>
    <x v="5"/>
    <n v="251.89"/>
    <x v="12"/>
    <x v="1"/>
    <x v="11"/>
  </r>
  <r>
    <s v="ORD-1237"/>
    <x v="52"/>
    <d v="2024-12-01T00:00:00"/>
    <x v="3"/>
    <x v="2"/>
    <x v="10"/>
    <x v="17"/>
    <n v="1428.19"/>
    <n v="13"/>
    <x v="3"/>
    <n v="196.28"/>
    <x v="77"/>
    <x v="2"/>
    <x v="0"/>
  </r>
  <r>
    <s v="ORD-1238"/>
    <x v="123"/>
    <d v="2024-09-11T00:00:00"/>
    <x v="3"/>
    <x v="2"/>
    <x v="2"/>
    <x v="21"/>
    <n v="1618.81"/>
    <n v="19"/>
    <x v="4"/>
    <n v="368.55"/>
    <x v="140"/>
    <x v="2"/>
    <x v="9"/>
  </r>
  <r>
    <s v="ORD-1239"/>
    <x v="168"/>
    <d v="2024-12-15T00:00:00"/>
    <x v="2"/>
    <x v="0"/>
    <x v="7"/>
    <x v="24"/>
    <n v="3241.32"/>
    <n v="3"/>
    <x v="5"/>
    <n v="-816.47"/>
    <x v="149"/>
    <x v="1"/>
    <x v="2"/>
  </r>
  <r>
    <s v="ORD-1240"/>
    <x v="169"/>
    <d v="2024-06-07T00:00:00"/>
    <x v="3"/>
    <x v="0"/>
    <x v="7"/>
    <x v="12"/>
    <n v="1836.73"/>
    <n v="13"/>
    <x v="1"/>
    <n v="339.28"/>
    <x v="151"/>
    <x v="2"/>
    <x v="6"/>
  </r>
  <r>
    <s v="ORD-1241"/>
    <x v="170"/>
    <d v="2024-10-31T00:00:00"/>
    <x v="2"/>
    <x v="0"/>
    <x v="5"/>
    <x v="19"/>
    <n v="2881.13"/>
    <n v="18"/>
    <x v="2"/>
    <n v="-695.66"/>
    <x v="5"/>
    <x v="1"/>
    <x v="1"/>
  </r>
  <r>
    <s v="ORD-1242"/>
    <x v="33"/>
    <d v="2024-05-12T00:00:00"/>
    <x v="1"/>
    <x v="0"/>
    <x v="5"/>
    <x v="5"/>
    <n v="3938.53"/>
    <n v="13"/>
    <x v="3"/>
    <n v="1337.98"/>
    <x v="151"/>
    <x v="1"/>
    <x v="7"/>
  </r>
  <r>
    <s v="ORD-1243"/>
    <x v="11"/>
    <d v="2024-01-07T00:00:00"/>
    <x v="3"/>
    <x v="1"/>
    <x v="4"/>
    <x v="11"/>
    <n v="1921.67"/>
    <n v="13"/>
    <x v="5"/>
    <n v="541.34"/>
    <x v="152"/>
    <x v="2"/>
    <x v="5"/>
  </r>
  <r>
    <s v="ORD-1244"/>
    <x v="171"/>
    <d v="2024-09-15T00:00:00"/>
    <x v="3"/>
    <x v="1"/>
    <x v="3"/>
    <x v="3"/>
    <n v="1357.87"/>
    <n v="3"/>
    <x v="1"/>
    <n v="406.54"/>
    <x v="128"/>
    <x v="1"/>
    <x v="9"/>
  </r>
  <r>
    <s v="ORD-1245"/>
    <x v="172"/>
    <d v="2024-07-01T00:00:00"/>
    <x v="3"/>
    <x v="2"/>
    <x v="10"/>
    <x v="17"/>
    <n v="1556.13"/>
    <n v="4"/>
    <x v="5"/>
    <n v="414.86"/>
    <x v="60"/>
    <x v="1"/>
    <x v="6"/>
  </r>
  <r>
    <s v="ORD-1246"/>
    <x v="24"/>
    <d v="2024-02-08T00:00:00"/>
    <x v="0"/>
    <x v="0"/>
    <x v="5"/>
    <x v="18"/>
    <n v="3434.43"/>
    <n v="4"/>
    <x v="0"/>
    <n v="996.04"/>
    <x v="153"/>
    <x v="2"/>
    <x v="8"/>
  </r>
  <r>
    <s v="ORD-1247"/>
    <x v="167"/>
    <d v="2024-05-06T00:00:00"/>
    <x v="1"/>
    <x v="2"/>
    <x v="9"/>
    <x v="27"/>
    <n v="1119.46"/>
    <n v="13"/>
    <x v="0"/>
    <n v="117.92"/>
    <x v="154"/>
    <x v="1"/>
    <x v="7"/>
  </r>
  <r>
    <s v="ORD-1248"/>
    <x v="173"/>
    <d v="2024-08-15T00:00:00"/>
    <x v="0"/>
    <x v="0"/>
    <x v="7"/>
    <x v="24"/>
    <n v="2470.7600000000002"/>
    <n v="13"/>
    <x v="1"/>
    <n v="645.91"/>
    <x v="22"/>
    <x v="2"/>
    <x v="4"/>
  </r>
  <r>
    <s v="ORD-1249"/>
    <x v="174"/>
    <d v="2024-12-27T00:00:00"/>
    <x v="0"/>
    <x v="0"/>
    <x v="7"/>
    <x v="24"/>
    <n v="1472.44"/>
    <n v="15"/>
    <x v="1"/>
    <n v="189.51"/>
    <x v="155"/>
    <x v="2"/>
    <x v="2"/>
  </r>
  <r>
    <s v="ORD-1250"/>
    <x v="28"/>
    <d v="2024-10-02T00:00:00"/>
    <x v="2"/>
    <x v="0"/>
    <x v="6"/>
    <x v="8"/>
    <n v="1554.72"/>
    <n v="15"/>
    <x v="2"/>
    <n v="158.21"/>
    <x v="41"/>
    <x v="2"/>
    <x v="9"/>
  </r>
  <r>
    <s v="ORD-1251"/>
    <x v="175"/>
    <d v="2024-06-02T00:00:00"/>
    <x v="1"/>
    <x v="2"/>
    <x v="8"/>
    <x v="16"/>
    <n v="1395.18"/>
    <n v="6"/>
    <x v="3"/>
    <n v="360"/>
    <x v="99"/>
    <x v="1"/>
    <x v="6"/>
  </r>
  <r>
    <s v="ORD-1252"/>
    <x v="176"/>
    <d v="2024-08-04T00:00:00"/>
    <x v="2"/>
    <x v="2"/>
    <x v="10"/>
    <x v="17"/>
    <n v="2633.13"/>
    <n v="6"/>
    <x v="2"/>
    <n v="263.47000000000003"/>
    <x v="156"/>
    <x v="2"/>
    <x v="4"/>
  </r>
  <r>
    <s v="ORD-1253"/>
    <x v="122"/>
    <d v="2024-04-10T00:00:00"/>
    <x v="2"/>
    <x v="0"/>
    <x v="5"/>
    <x v="19"/>
    <n v="3819.41"/>
    <n v="16"/>
    <x v="4"/>
    <n v="414.55"/>
    <x v="128"/>
    <x v="2"/>
    <x v="3"/>
  </r>
  <r>
    <s v="ORD-1254"/>
    <x v="9"/>
    <d v="2024-10-21T00:00:00"/>
    <x v="2"/>
    <x v="0"/>
    <x v="6"/>
    <x v="6"/>
    <n v="2913.03"/>
    <n v="15"/>
    <x v="5"/>
    <n v="291.82"/>
    <x v="63"/>
    <x v="0"/>
    <x v="1"/>
  </r>
  <r>
    <s v="ORD-1255"/>
    <x v="177"/>
    <d v="2024-04-26T00:00:00"/>
    <x v="0"/>
    <x v="2"/>
    <x v="10"/>
    <x v="17"/>
    <n v="880.78"/>
    <n v="15"/>
    <x v="2"/>
    <n v="240.24"/>
    <x v="157"/>
    <x v="1"/>
    <x v="3"/>
  </r>
  <r>
    <s v="ORD-1256"/>
    <x v="178"/>
    <d v="2024-10-09T00:00:00"/>
    <x v="0"/>
    <x v="2"/>
    <x v="2"/>
    <x v="33"/>
    <n v="3334.79"/>
    <n v="2"/>
    <x v="0"/>
    <n v="608.29999999999995"/>
    <x v="23"/>
    <x v="0"/>
    <x v="1"/>
  </r>
  <r>
    <s v="ORD-1257"/>
    <x v="119"/>
    <d v="2024-08-06T00:00:00"/>
    <x v="1"/>
    <x v="2"/>
    <x v="8"/>
    <x v="23"/>
    <n v="1235.56"/>
    <n v="3"/>
    <x v="5"/>
    <n v="-382.51"/>
    <x v="29"/>
    <x v="2"/>
    <x v="4"/>
  </r>
  <r>
    <s v="ORD-1258"/>
    <x v="21"/>
    <d v="2024-05-04T00:00:00"/>
    <x v="3"/>
    <x v="0"/>
    <x v="6"/>
    <x v="15"/>
    <n v="2560.5700000000002"/>
    <n v="7"/>
    <x v="4"/>
    <n v="746.74"/>
    <x v="130"/>
    <x v="2"/>
    <x v="7"/>
  </r>
  <r>
    <s v="ORD-1259"/>
    <x v="151"/>
    <d v="2024-10-03T00:00:00"/>
    <x v="1"/>
    <x v="2"/>
    <x v="2"/>
    <x v="21"/>
    <n v="2397.7600000000002"/>
    <n v="17"/>
    <x v="0"/>
    <n v="-706.27"/>
    <x v="59"/>
    <x v="1"/>
    <x v="9"/>
  </r>
  <r>
    <s v="ORD-1260"/>
    <x v="179"/>
    <d v="2024-07-29T00:00:00"/>
    <x v="3"/>
    <x v="0"/>
    <x v="7"/>
    <x v="12"/>
    <n v="3497.8"/>
    <n v="8"/>
    <x v="4"/>
    <n v="921.39"/>
    <x v="130"/>
    <x v="2"/>
    <x v="10"/>
  </r>
  <r>
    <s v="ORD-1261"/>
    <x v="89"/>
    <d v="2024-12-18T00:00:00"/>
    <x v="2"/>
    <x v="1"/>
    <x v="4"/>
    <x v="4"/>
    <n v="2604.3000000000002"/>
    <n v="13"/>
    <x v="5"/>
    <n v="189.22"/>
    <x v="158"/>
    <x v="1"/>
    <x v="2"/>
  </r>
  <r>
    <s v="ORD-1262"/>
    <x v="40"/>
    <d v="2024-02-23T00:00:00"/>
    <x v="3"/>
    <x v="0"/>
    <x v="0"/>
    <x v="22"/>
    <n v="3813.45"/>
    <n v="11"/>
    <x v="2"/>
    <n v="193.5"/>
    <x v="159"/>
    <x v="0"/>
    <x v="8"/>
  </r>
  <r>
    <s v="ORD-1263"/>
    <x v="40"/>
    <d v="2024-02-24T00:00:00"/>
    <x v="3"/>
    <x v="1"/>
    <x v="4"/>
    <x v="4"/>
    <n v="1066.8599999999999"/>
    <n v="14"/>
    <x v="4"/>
    <n v="211.68"/>
    <x v="160"/>
    <x v="2"/>
    <x v="8"/>
  </r>
  <r>
    <s v="ORD-1264"/>
    <x v="180"/>
    <d v="2024-05-30T00:00:00"/>
    <x v="1"/>
    <x v="0"/>
    <x v="6"/>
    <x v="7"/>
    <n v="3603.08"/>
    <n v="2"/>
    <x v="1"/>
    <n v="287.79000000000002"/>
    <x v="13"/>
    <x v="2"/>
    <x v="7"/>
  </r>
  <r>
    <s v="ORD-1265"/>
    <x v="4"/>
    <d v="2024-08-23T00:00:00"/>
    <x v="0"/>
    <x v="1"/>
    <x v="3"/>
    <x v="25"/>
    <n v="252.53"/>
    <n v="14"/>
    <x v="4"/>
    <n v="88.06"/>
    <x v="1"/>
    <x v="2"/>
    <x v="4"/>
  </r>
  <r>
    <s v="ORD-1266"/>
    <x v="181"/>
    <d v="2024-12-02T00:00:00"/>
    <x v="1"/>
    <x v="2"/>
    <x v="8"/>
    <x v="13"/>
    <n v="1601.63"/>
    <n v="3"/>
    <x v="3"/>
    <n v="399.37"/>
    <x v="161"/>
    <x v="2"/>
    <x v="0"/>
  </r>
  <r>
    <s v="ORD-1267"/>
    <x v="182"/>
    <d v="2024-02-02T00:00:00"/>
    <x v="3"/>
    <x v="0"/>
    <x v="7"/>
    <x v="24"/>
    <n v="2708.07"/>
    <n v="4"/>
    <x v="1"/>
    <n v="-308.79000000000002"/>
    <x v="153"/>
    <x v="0"/>
    <x v="5"/>
  </r>
  <r>
    <s v="ORD-1268"/>
    <x v="183"/>
    <d v="2024-11-02T00:00:00"/>
    <x v="2"/>
    <x v="1"/>
    <x v="1"/>
    <x v="20"/>
    <n v="1538.4"/>
    <n v="4"/>
    <x v="5"/>
    <n v="397.23"/>
    <x v="65"/>
    <x v="0"/>
    <x v="1"/>
  </r>
  <r>
    <s v="ORD-1269"/>
    <x v="184"/>
    <d v="2024-05-03T00:00:00"/>
    <x v="0"/>
    <x v="0"/>
    <x v="5"/>
    <x v="18"/>
    <n v="1425.07"/>
    <n v="10"/>
    <x v="4"/>
    <n v="234.87"/>
    <x v="88"/>
    <x v="0"/>
    <x v="3"/>
  </r>
  <r>
    <s v="ORD-1270"/>
    <x v="185"/>
    <d v="2024-03-11T00:00:00"/>
    <x v="0"/>
    <x v="0"/>
    <x v="5"/>
    <x v="5"/>
    <n v="2687.58"/>
    <n v="15"/>
    <x v="3"/>
    <n v="716.86"/>
    <x v="123"/>
    <x v="2"/>
    <x v="11"/>
  </r>
  <r>
    <s v="ORD-1271"/>
    <x v="186"/>
    <d v="2024-03-24T00:00:00"/>
    <x v="2"/>
    <x v="1"/>
    <x v="1"/>
    <x v="1"/>
    <n v="775.05"/>
    <n v="4"/>
    <x v="2"/>
    <n v="208.49"/>
    <x v="68"/>
    <x v="1"/>
    <x v="11"/>
  </r>
  <r>
    <s v="ORD-1272"/>
    <x v="187"/>
    <d v="2024-08-12T00:00:00"/>
    <x v="1"/>
    <x v="1"/>
    <x v="3"/>
    <x v="3"/>
    <n v="1180.6300000000001"/>
    <n v="20"/>
    <x v="2"/>
    <n v="314.47000000000003"/>
    <x v="162"/>
    <x v="1"/>
    <x v="4"/>
  </r>
  <r>
    <s v="ORD-1273"/>
    <x v="188"/>
    <d v="2024-12-19T00:00:00"/>
    <x v="3"/>
    <x v="1"/>
    <x v="4"/>
    <x v="11"/>
    <n v="3054.41"/>
    <n v="10"/>
    <x v="0"/>
    <n v="202.72"/>
    <x v="163"/>
    <x v="0"/>
    <x v="2"/>
  </r>
  <r>
    <s v="ORD-1274"/>
    <x v="189"/>
    <d v="2024-05-09T00:00:00"/>
    <x v="2"/>
    <x v="1"/>
    <x v="1"/>
    <x v="10"/>
    <n v="2642.81"/>
    <n v="3"/>
    <x v="2"/>
    <n v="-836.76"/>
    <x v="164"/>
    <x v="2"/>
    <x v="7"/>
  </r>
  <r>
    <s v="ORD-1275"/>
    <x v="190"/>
    <d v="2024-07-08T00:00:00"/>
    <x v="1"/>
    <x v="2"/>
    <x v="9"/>
    <x v="27"/>
    <n v="2298.84"/>
    <n v="6"/>
    <x v="5"/>
    <n v="773.18"/>
    <x v="112"/>
    <x v="2"/>
    <x v="10"/>
  </r>
  <r>
    <s v="ORD-1276"/>
    <x v="160"/>
    <d v="2024-01-10T00:00:00"/>
    <x v="0"/>
    <x v="2"/>
    <x v="10"/>
    <x v="28"/>
    <n v="3709.67"/>
    <n v="13"/>
    <x v="2"/>
    <n v="504.32"/>
    <x v="23"/>
    <x v="0"/>
    <x v="5"/>
  </r>
  <r>
    <s v="ORD-1277"/>
    <x v="92"/>
    <d v="2024-08-06T00:00:00"/>
    <x v="2"/>
    <x v="1"/>
    <x v="4"/>
    <x v="11"/>
    <n v="1290.5"/>
    <n v="10"/>
    <x v="1"/>
    <n v="262.48"/>
    <x v="165"/>
    <x v="2"/>
    <x v="10"/>
  </r>
  <r>
    <s v="ORD-1278"/>
    <x v="191"/>
    <d v="2024-03-25T00:00:00"/>
    <x v="2"/>
    <x v="0"/>
    <x v="5"/>
    <x v="19"/>
    <n v="2870.03"/>
    <n v="8"/>
    <x v="1"/>
    <n v="354"/>
    <x v="38"/>
    <x v="0"/>
    <x v="11"/>
  </r>
  <r>
    <s v="ORD-1279"/>
    <x v="148"/>
    <d v="2024-03-07T00:00:00"/>
    <x v="0"/>
    <x v="2"/>
    <x v="10"/>
    <x v="28"/>
    <n v="297.49"/>
    <n v="5"/>
    <x v="0"/>
    <n v="15.89"/>
    <x v="4"/>
    <x v="0"/>
    <x v="8"/>
  </r>
  <r>
    <s v="ORD-1280"/>
    <x v="192"/>
    <d v="2024-06-30T00:00:00"/>
    <x v="1"/>
    <x v="2"/>
    <x v="10"/>
    <x v="17"/>
    <n v="2998.51"/>
    <n v="4"/>
    <x v="1"/>
    <n v="451.29"/>
    <x v="162"/>
    <x v="1"/>
    <x v="6"/>
  </r>
  <r>
    <s v="ORD-1281"/>
    <x v="63"/>
    <d v="2024-09-26T00:00:00"/>
    <x v="3"/>
    <x v="0"/>
    <x v="5"/>
    <x v="19"/>
    <n v="1956.99"/>
    <n v="12"/>
    <x v="1"/>
    <n v="391.17"/>
    <x v="166"/>
    <x v="2"/>
    <x v="9"/>
  </r>
  <r>
    <s v="ORD-1282"/>
    <x v="193"/>
    <d v="2024-07-09T00:00:00"/>
    <x v="3"/>
    <x v="1"/>
    <x v="4"/>
    <x v="11"/>
    <n v="1106.52"/>
    <n v="17"/>
    <x v="1"/>
    <n v="69.94"/>
    <x v="146"/>
    <x v="1"/>
    <x v="10"/>
  </r>
  <r>
    <s v="ORD-1283"/>
    <x v="194"/>
    <d v="2024-05-05T00:00:00"/>
    <x v="2"/>
    <x v="2"/>
    <x v="9"/>
    <x v="14"/>
    <n v="921.1"/>
    <n v="2"/>
    <x v="2"/>
    <n v="267.98"/>
    <x v="167"/>
    <x v="2"/>
    <x v="7"/>
  </r>
  <r>
    <s v="ORD-1284"/>
    <x v="195"/>
    <d v="2024-12-07T00:00:00"/>
    <x v="1"/>
    <x v="2"/>
    <x v="10"/>
    <x v="17"/>
    <n v="3684.46"/>
    <n v="11"/>
    <x v="3"/>
    <n v="1097.23"/>
    <x v="106"/>
    <x v="0"/>
    <x v="2"/>
  </r>
  <r>
    <s v="ORD-1285"/>
    <x v="196"/>
    <d v="2024-03-02T00:00:00"/>
    <x v="1"/>
    <x v="1"/>
    <x v="4"/>
    <x v="11"/>
    <n v="3827.8"/>
    <n v="3"/>
    <x v="5"/>
    <n v="1185.8900000000001"/>
    <x v="35"/>
    <x v="2"/>
    <x v="11"/>
  </r>
  <r>
    <s v="ORD-1286"/>
    <x v="54"/>
    <d v="2024-06-13T00:00:00"/>
    <x v="0"/>
    <x v="0"/>
    <x v="6"/>
    <x v="8"/>
    <n v="1633.45"/>
    <n v="10"/>
    <x v="2"/>
    <n v="466.11"/>
    <x v="168"/>
    <x v="1"/>
    <x v="6"/>
  </r>
  <r>
    <s v="ORD-1287"/>
    <x v="167"/>
    <d v="2024-05-11T00:00:00"/>
    <x v="3"/>
    <x v="0"/>
    <x v="6"/>
    <x v="15"/>
    <n v="2996.74"/>
    <n v="18"/>
    <x v="4"/>
    <n v="285.2"/>
    <x v="169"/>
    <x v="0"/>
    <x v="7"/>
  </r>
  <r>
    <s v="ORD-1288"/>
    <x v="197"/>
    <d v="2024-01-16T00:00:00"/>
    <x v="3"/>
    <x v="0"/>
    <x v="5"/>
    <x v="19"/>
    <n v="255.48"/>
    <n v="13"/>
    <x v="0"/>
    <n v="-68.510000000000005"/>
    <x v="170"/>
    <x v="2"/>
    <x v="5"/>
  </r>
  <r>
    <s v="ORD-1289"/>
    <x v="198"/>
    <d v="2024-10-01T00:00:00"/>
    <x v="2"/>
    <x v="2"/>
    <x v="8"/>
    <x v="16"/>
    <n v="2918.7"/>
    <n v="3"/>
    <x v="1"/>
    <n v="952.61"/>
    <x v="171"/>
    <x v="1"/>
    <x v="9"/>
  </r>
  <r>
    <s v="ORD-1290"/>
    <x v="199"/>
    <d v="2024-09-29T00:00:00"/>
    <x v="3"/>
    <x v="2"/>
    <x v="8"/>
    <x v="13"/>
    <n v="608.41"/>
    <n v="5"/>
    <x v="0"/>
    <n v="-180.08"/>
    <x v="172"/>
    <x v="2"/>
    <x v="9"/>
  </r>
  <r>
    <s v="ORD-1291"/>
    <x v="8"/>
    <d v="2024-10-17T00:00:00"/>
    <x v="2"/>
    <x v="0"/>
    <x v="7"/>
    <x v="29"/>
    <n v="1343.79"/>
    <n v="11"/>
    <x v="5"/>
    <n v="349.68"/>
    <x v="22"/>
    <x v="1"/>
    <x v="1"/>
  </r>
  <r>
    <s v="ORD-1292"/>
    <x v="200"/>
    <d v="2024-06-18T00:00:00"/>
    <x v="3"/>
    <x v="1"/>
    <x v="1"/>
    <x v="1"/>
    <n v="760.42"/>
    <n v="19"/>
    <x v="1"/>
    <n v="73.47"/>
    <x v="112"/>
    <x v="0"/>
    <x v="6"/>
  </r>
  <r>
    <s v="ORD-1293"/>
    <x v="46"/>
    <d v="2024-08-31T00:00:00"/>
    <x v="2"/>
    <x v="1"/>
    <x v="4"/>
    <x v="4"/>
    <n v="3867.38"/>
    <n v="7"/>
    <x v="5"/>
    <n v="551.07000000000005"/>
    <x v="95"/>
    <x v="0"/>
    <x v="4"/>
  </r>
  <r>
    <s v="ORD-1294"/>
    <x v="196"/>
    <d v="2024-03-03T00:00:00"/>
    <x v="1"/>
    <x v="0"/>
    <x v="0"/>
    <x v="9"/>
    <n v="1056.33"/>
    <n v="11"/>
    <x v="4"/>
    <n v="81.72"/>
    <x v="116"/>
    <x v="2"/>
    <x v="11"/>
  </r>
  <r>
    <s v="ORD-1295"/>
    <x v="201"/>
    <d v="2024-07-07T00:00:00"/>
    <x v="0"/>
    <x v="0"/>
    <x v="0"/>
    <x v="31"/>
    <n v="3325.34"/>
    <n v="6"/>
    <x v="1"/>
    <n v="1116.08"/>
    <x v="173"/>
    <x v="0"/>
    <x v="10"/>
  </r>
  <r>
    <s v="ORD-1296"/>
    <x v="202"/>
    <d v="2024-10-14T00:00:00"/>
    <x v="0"/>
    <x v="2"/>
    <x v="8"/>
    <x v="16"/>
    <n v="705.45"/>
    <n v="2"/>
    <x v="4"/>
    <n v="62.94"/>
    <x v="174"/>
    <x v="0"/>
    <x v="1"/>
  </r>
  <r>
    <s v="ORD-1297"/>
    <x v="97"/>
    <d v="2024-07-10T00:00:00"/>
    <x v="3"/>
    <x v="1"/>
    <x v="1"/>
    <x v="1"/>
    <n v="991.56"/>
    <n v="15"/>
    <x v="4"/>
    <n v="76.94"/>
    <x v="175"/>
    <x v="0"/>
    <x v="10"/>
  </r>
  <r>
    <s v="ORD-1298"/>
    <x v="142"/>
    <d v="2024-06-19T00:00:00"/>
    <x v="0"/>
    <x v="2"/>
    <x v="8"/>
    <x v="16"/>
    <n v="3715.49"/>
    <n v="14"/>
    <x v="0"/>
    <n v="-626.05999999999995"/>
    <x v="176"/>
    <x v="0"/>
    <x v="6"/>
  </r>
  <r>
    <s v="ORD-1299"/>
    <x v="168"/>
    <d v="2024-12-21T00:00:00"/>
    <x v="1"/>
    <x v="2"/>
    <x v="10"/>
    <x v="28"/>
    <n v="1281.18"/>
    <n v="15"/>
    <x v="4"/>
    <n v="77.38"/>
    <x v="64"/>
    <x v="1"/>
    <x v="2"/>
  </r>
  <r>
    <s v="ORD-1300"/>
    <x v="194"/>
    <d v="2024-05-09T00:00:00"/>
    <x v="2"/>
    <x v="2"/>
    <x v="9"/>
    <x v="14"/>
    <n v="578.96"/>
    <n v="13"/>
    <x v="4"/>
    <n v="101.76"/>
    <x v="177"/>
    <x v="2"/>
    <x v="7"/>
  </r>
  <r>
    <s v="ORD-1301"/>
    <x v="79"/>
    <d v="2024-09-29T00:00:00"/>
    <x v="0"/>
    <x v="2"/>
    <x v="2"/>
    <x v="21"/>
    <n v="2291.94"/>
    <n v="16"/>
    <x v="3"/>
    <n v="742.14"/>
    <x v="8"/>
    <x v="1"/>
    <x v="9"/>
  </r>
  <r>
    <s v="ORD-1302"/>
    <x v="203"/>
    <d v="2024-07-21T00:00:00"/>
    <x v="1"/>
    <x v="1"/>
    <x v="3"/>
    <x v="32"/>
    <n v="359.89"/>
    <n v="9"/>
    <x v="1"/>
    <n v="105.3"/>
    <x v="79"/>
    <x v="0"/>
    <x v="10"/>
  </r>
  <r>
    <s v="ORD-1303"/>
    <x v="204"/>
    <d v="2024-07-05T00:00:00"/>
    <x v="1"/>
    <x v="1"/>
    <x v="1"/>
    <x v="20"/>
    <n v="1154.32"/>
    <n v="18"/>
    <x v="0"/>
    <n v="77.08"/>
    <x v="178"/>
    <x v="1"/>
    <x v="10"/>
  </r>
  <r>
    <s v="ORD-1304"/>
    <x v="177"/>
    <d v="2024-04-28T00:00:00"/>
    <x v="3"/>
    <x v="1"/>
    <x v="1"/>
    <x v="1"/>
    <n v="2471.9499999999998"/>
    <n v="12"/>
    <x v="2"/>
    <n v="144.52000000000001"/>
    <x v="162"/>
    <x v="2"/>
    <x v="3"/>
  </r>
  <r>
    <s v="ORD-1305"/>
    <x v="8"/>
    <d v="2024-10-19T00:00:00"/>
    <x v="1"/>
    <x v="2"/>
    <x v="2"/>
    <x v="2"/>
    <n v="2089.14"/>
    <n v="3"/>
    <x v="1"/>
    <n v="250.25"/>
    <x v="8"/>
    <x v="1"/>
    <x v="1"/>
  </r>
  <r>
    <s v="ORD-1306"/>
    <x v="79"/>
    <d v="2024-10-03T00:00:00"/>
    <x v="0"/>
    <x v="2"/>
    <x v="10"/>
    <x v="28"/>
    <n v="1527.85"/>
    <n v="6"/>
    <x v="3"/>
    <n v="-103.69"/>
    <x v="140"/>
    <x v="1"/>
    <x v="9"/>
  </r>
  <r>
    <s v="ORD-1307"/>
    <x v="174"/>
    <d v="2024-12-28T00:00:00"/>
    <x v="0"/>
    <x v="0"/>
    <x v="0"/>
    <x v="9"/>
    <n v="1650.97"/>
    <n v="13"/>
    <x v="2"/>
    <n v="132.59"/>
    <x v="82"/>
    <x v="1"/>
    <x v="2"/>
  </r>
  <r>
    <s v="ORD-1308"/>
    <x v="76"/>
    <d v="2024-03-12T00:00:00"/>
    <x v="2"/>
    <x v="0"/>
    <x v="6"/>
    <x v="7"/>
    <n v="903.26"/>
    <n v="18"/>
    <x v="0"/>
    <n v="286.23"/>
    <x v="34"/>
    <x v="2"/>
    <x v="11"/>
  </r>
  <r>
    <s v="ORD-1309"/>
    <x v="201"/>
    <d v="2024-07-04T00:00:00"/>
    <x v="1"/>
    <x v="2"/>
    <x v="2"/>
    <x v="33"/>
    <n v="2831.87"/>
    <n v="5"/>
    <x v="4"/>
    <n v="760.78"/>
    <x v="144"/>
    <x v="1"/>
    <x v="10"/>
  </r>
  <r>
    <s v="ORD-1310"/>
    <x v="205"/>
    <d v="2024-10-26T00:00:00"/>
    <x v="0"/>
    <x v="1"/>
    <x v="4"/>
    <x v="4"/>
    <n v="3703.89"/>
    <n v="20"/>
    <x v="4"/>
    <n v="-895.95"/>
    <x v="30"/>
    <x v="1"/>
    <x v="1"/>
  </r>
  <r>
    <s v="ORD-1311"/>
    <x v="206"/>
    <d v="2024-09-13T00:00:00"/>
    <x v="3"/>
    <x v="0"/>
    <x v="5"/>
    <x v="18"/>
    <n v="1550.54"/>
    <n v="11"/>
    <x v="4"/>
    <n v="373.46"/>
    <x v="125"/>
    <x v="0"/>
    <x v="9"/>
  </r>
  <r>
    <s v="ORD-1312"/>
    <x v="159"/>
    <d v="2025-01-02T00:00:00"/>
    <x v="2"/>
    <x v="1"/>
    <x v="3"/>
    <x v="32"/>
    <n v="1185.78"/>
    <n v="3"/>
    <x v="3"/>
    <n v="-150.59"/>
    <x v="103"/>
    <x v="2"/>
    <x v="2"/>
  </r>
  <r>
    <s v="ORD-1313"/>
    <x v="13"/>
    <d v="2024-01-01T00:00:00"/>
    <x v="2"/>
    <x v="2"/>
    <x v="9"/>
    <x v="14"/>
    <n v="3567.07"/>
    <n v="16"/>
    <x v="5"/>
    <n v="554.21"/>
    <x v="42"/>
    <x v="1"/>
    <x v="5"/>
  </r>
  <r>
    <s v="ORD-1314"/>
    <x v="207"/>
    <d v="2024-09-05T00:00:00"/>
    <x v="1"/>
    <x v="2"/>
    <x v="8"/>
    <x v="16"/>
    <n v="1355.91"/>
    <n v="11"/>
    <x v="3"/>
    <n v="-454.91"/>
    <x v="103"/>
    <x v="1"/>
    <x v="9"/>
  </r>
  <r>
    <s v="ORD-1315"/>
    <x v="208"/>
    <d v="2024-04-03T00:00:00"/>
    <x v="1"/>
    <x v="0"/>
    <x v="5"/>
    <x v="5"/>
    <n v="3781.88"/>
    <n v="3"/>
    <x v="3"/>
    <n v="863.06"/>
    <x v="178"/>
    <x v="2"/>
    <x v="11"/>
  </r>
  <r>
    <s v="ORD-1316"/>
    <x v="131"/>
    <d v="2024-09-04T00:00:00"/>
    <x v="2"/>
    <x v="0"/>
    <x v="7"/>
    <x v="12"/>
    <n v="3586.57"/>
    <n v="6"/>
    <x v="1"/>
    <n v="288.27999999999997"/>
    <x v="24"/>
    <x v="0"/>
    <x v="9"/>
  </r>
  <r>
    <s v="ORD-1317"/>
    <x v="132"/>
    <d v="2024-04-13T00:00:00"/>
    <x v="3"/>
    <x v="0"/>
    <x v="0"/>
    <x v="31"/>
    <n v="1140.81"/>
    <n v="2"/>
    <x v="5"/>
    <n v="252.72"/>
    <x v="139"/>
    <x v="1"/>
    <x v="3"/>
  </r>
  <r>
    <s v="ORD-1318"/>
    <x v="166"/>
    <d v="2024-03-19T00:00:00"/>
    <x v="3"/>
    <x v="1"/>
    <x v="3"/>
    <x v="3"/>
    <n v="1354.56"/>
    <n v="20"/>
    <x v="5"/>
    <n v="-148.87"/>
    <x v="76"/>
    <x v="1"/>
    <x v="11"/>
  </r>
  <r>
    <s v="ORD-1319"/>
    <x v="208"/>
    <d v="2024-04-01T00:00:00"/>
    <x v="0"/>
    <x v="2"/>
    <x v="8"/>
    <x v="23"/>
    <n v="3193.29"/>
    <n v="16"/>
    <x v="5"/>
    <n v="1016.95"/>
    <x v="105"/>
    <x v="2"/>
    <x v="11"/>
  </r>
  <r>
    <s v="ORD-1320"/>
    <x v="209"/>
    <d v="2024-11-30T00:00:00"/>
    <x v="1"/>
    <x v="2"/>
    <x v="9"/>
    <x v="27"/>
    <n v="949.69"/>
    <n v="2"/>
    <x v="3"/>
    <n v="172.77"/>
    <x v="179"/>
    <x v="2"/>
    <x v="0"/>
  </r>
  <r>
    <s v="ORD-1321"/>
    <x v="210"/>
    <d v="2024-05-17T00:00:00"/>
    <x v="1"/>
    <x v="0"/>
    <x v="5"/>
    <x v="18"/>
    <n v="2755.53"/>
    <n v="18"/>
    <x v="5"/>
    <n v="940.22"/>
    <x v="70"/>
    <x v="2"/>
    <x v="7"/>
  </r>
  <r>
    <s v="ORD-1322"/>
    <x v="61"/>
    <d v="2024-10-10T00:00:00"/>
    <x v="2"/>
    <x v="0"/>
    <x v="6"/>
    <x v="6"/>
    <n v="2397.6799999999998"/>
    <n v="8"/>
    <x v="5"/>
    <n v="334.85"/>
    <x v="111"/>
    <x v="0"/>
    <x v="1"/>
  </r>
  <r>
    <s v="ORD-1323"/>
    <x v="211"/>
    <d v="2024-12-31T00:00:00"/>
    <x v="1"/>
    <x v="1"/>
    <x v="3"/>
    <x v="32"/>
    <n v="3808.98"/>
    <n v="6"/>
    <x v="4"/>
    <n v="-1114.27"/>
    <x v="173"/>
    <x v="2"/>
    <x v="2"/>
  </r>
  <r>
    <s v="ORD-1324"/>
    <x v="149"/>
    <d v="2024-08-05T00:00:00"/>
    <x v="2"/>
    <x v="1"/>
    <x v="4"/>
    <x v="11"/>
    <n v="3377.91"/>
    <n v="9"/>
    <x v="3"/>
    <n v="1091.8800000000001"/>
    <x v="65"/>
    <x v="1"/>
    <x v="4"/>
  </r>
  <r>
    <s v="ORD-1325"/>
    <x v="24"/>
    <d v="2024-02-05T00:00:00"/>
    <x v="2"/>
    <x v="0"/>
    <x v="6"/>
    <x v="7"/>
    <n v="3462.34"/>
    <n v="17"/>
    <x v="5"/>
    <n v="-1125.77"/>
    <x v="4"/>
    <x v="1"/>
    <x v="8"/>
  </r>
  <r>
    <s v="ORD-1326"/>
    <x v="212"/>
    <d v="2024-12-30T00:00:00"/>
    <x v="0"/>
    <x v="2"/>
    <x v="10"/>
    <x v="28"/>
    <n v="2374.73"/>
    <n v="19"/>
    <x v="1"/>
    <n v="777.67"/>
    <x v="21"/>
    <x v="2"/>
    <x v="2"/>
  </r>
  <r>
    <s v="ORD-1327"/>
    <x v="213"/>
    <d v="2024-02-25T00:00:00"/>
    <x v="3"/>
    <x v="2"/>
    <x v="2"/>
    <x v="21"/>
    <n v="2705.45"/>
    <n v="19"/>
    <x v="2"/>
    <n v="519.21"/>
    <x v="65"/>
    <x v="1"/>
    <x v="8"/>
  </r>
  <r>
    <s v="ORD-1328"/>
    <x v="214"/>
    <d v="2024-07-27T00:00:00"/>
    <x v="2"/>
    <x v="1"/>
    <x v="3"/>
    <x v="26"/>
    <n v="2839.43"/>
    <n v="2"/>
    <x v="0"/>
    <n v="546.78"/>
    <x v="1"/>
    <x v="1"/>
    <x v="10"/>
  </r>
  <r>
    <s v="ORD-1329"/>
    <x v="97"/>
    <d v="2024-07-09T00:00:00"/>
    <x v="3"/>
    <x v="2"/>
    <x v="2"/>
    <x v="21"/>
    <n v="3410.67"/>
    <n v="4"/>
    <x v="4"/>
    <n v="308.04000000000002"/>
    <x v="172"/>
    <x v="0"/>
    <x v="10"/>
  </r>
  <r>
    <s v="ORD-1330"/>
    <x v="39"/>
    <d v="2024-08-19T00:00:00"/>
    <x v="3"/>
    <x v="0"/>
    <x v="6"/>
    <x v="8"/>
    <n v="954.76"/>
    <n v="7"/>
    <x v="5"/>
    <n v="259.97000000000003"/>
    <x v="127"/>
    <x v="2"/>
    <x v="4"/>
  </r>
  <r>
    <s v="ORD-1331"/>
    <x v="215"/>
    <d v="2024-07-10T00:00:00"/>
    <x v="1"/>
    <x v="1"/>
    <x v="3"/>
    <x v="25"/>
    <n v="758.69"/>
    <n v="17"/>
    <x v="2"/>
    <n v="44.52"/>
    <x v="180"/>
    <x v="1"/>
    <x v="10"/>
  </r>
  <r>
    <s v="ORD-1332"/>
    <x v="125"/>
    <d v="2024-04-12T00:00:00"/>
    <x v="1"/>
    <x v="1"/>
    <x v="3"/>
    <x v="3"/>
    <n v="3692.62"/>
    <n v="7"/>
    <x v="3"/>
    <n v="592.69000000000005"/>
    <x v="143"/>
    <x v="2"/>
    <x v="3"/>
  </r>
  <r>
    <s v="ORD-1333"/>
    <x v="216"/>
    <d v="2024-07-23T00:00:00"/>
    <x v="0"/>
    <x v="1"/>
    <x v="3"/>
    <x v="25"/>
    <n v="2477.66"/>
    <n v="6"/>
    <x v="5"/>
    <n v="560.11"/>
    <x v="181"/>
    <x v="2"/>
    <x v="10"/>
  </r>
  <r>
    <s v="ORD-1334"/>
    <x v="217"/>
    <d v="2024-03-28T00:00:00"/>
    <x v="0"/>
    <x v="2"/>
    <x v="8"/>
    <x v="23"/>
    <n v="436.19"/>
    <n v="19"/>
    <x v="4"/>
    <n v="133.97"/>
    <x v="177"/>
    <x v="0"/>
    <x v="11"/>
  </r>
  <r>
    <s v="ORD-1335"/>
    <x v="89"/>
    <d v="2024-12-15T00:00:00"/>
    <x v="3"/>
    <x v="0"/>
    <x v="6"/>
    <x v="8"/>
    <n v="3492.36"/>
    <n v="1"/>
    <x v="5"/>
    <n v="1129.6199999999999"/>
    <x v="63"/>
    <x v="2"/>
    <x v="2"/>
  </r>
  <r>
    <s v="ORD-1336"/>
    <x v="218"/>
    <d v="2024-11-03T00:00:00"/>
    <x v="1"/>
    <x v="2"/>
    <x v="2"/>
    <x v="33"/>
    <n v="3876.34"/>
    <n v="9"/>
    <x v="5"/>
    <n v="1235.18"/>
    <x v="126"/>
    <x v="1"/>
    <x v="0"/>
  </r>
  <r>
    <s v="ORD-1337"/>
    <x v="4"/>
    <d v="2024-08-27T00:00:00"/>
    <x v="1"/>
    <x v="2"/>
    <x v="2"/>
    <x v="33"/>
    <n v="2202.39"/>
    <n v="20"/>
    <x v="5"/>
    <n v="-496.3"/>
    <x v="96"/>
    <x v="1"/>
    <x v="4"/>
  </r>
  <r>
    <s v="ORD-1338"/>
    <x v="37"/>
    <d v="2024-12-10T00:00:00"/>
    <x v="3"/>
    <x v="2"/>
    <x v="8"/>
    <x v="23"/>
    <n v="489.39"/>
    <n v="9"/>
    <x v="0"/>
    <n v="72.209999999999994"/>
    <x v="101"/>
    <x v="2"/>
    <x v="2"/>
  </r>
  <r>
    <s v="ORD-1339"/>
    <x v="195"/>
    <d v="2024-12-05T00:00:00"/>
    <x v="1"/>
    <x v="1"/>
    <x v="4"/>
    <x v="11"/>
    <n v="3623.83"/>
    <n v="20"/>
    <x v="5"/>
    <n v="899.29"/>
    <x v="90"/>
    <x v="2"/>
    <x v="2"/>
  </r>
  <r>
    <s v="ORD-1340"/>
    <x v="219"/>
    <d v="2024-01-21T00:00:00"/>
    <x v="3"/>
    <x v="2"/>
    <x v="9"/>
    <x v="27"/>
    <n v="1706.03"/>
    <n v="2"/>
    <x v="2"/>
    <n v="447.7"/>
    <x v="182"/>
    <x v="2"/>
    <x v="5"/>
  </r>
  <r>
    <s v="ORD-1341"/>
    <x v="132"/>
    <d v="2024-04-12T00:00:00"/>
    <x v="1"/>
    <x v="0"/>
    <x v="6"/>
    <x v="7"/>
    <n v="2152.4299999999998"/>
    <n v="6"/>
    <x v="0"/>
    <n v="673.6"/>
    <x v="183"/>
    <x v="2"/>
    <x v="3"/>
  </r>
  <r>
    <s v="ORD-1342"/>
    <x v="91"/>
    <d v="2024-02-26T00:00:00"/>
    <x v="1"/>
    <x v="0"/>
    <x v="0"/>
    <x v="0"/>
    <n v="3800.96"/>
    <n v="11"/>
    <x v="0"/>
    <n v="291.88"/>
    <x v="16"/>
    <x v="1"/>
    <x v="8"/>
  </r>
  <r>
    <s v="ORD-1343"/>
    <x v="69"/>
    <d v="2024-06-12T00:00:00"/>
    <x v="3"/>
    <x v="2"/>
    <x v="2"/>
    <x v="33"/>
    <n v="1352.69"/>
    <n v="4"/>
    <x v="5"/>
    <n v="89.42"/>
    <x v="184"/>
    <x v="0"/>
    <x v="6"/>
  </r>
  <r>
    <s v="ORD-1344"/>
    <x v="220"/>
    <d v="2024-10-25T00:00:00"/>
    <x v="2"/>
    <x v="1"/>
    <x v="4"/>
    <x v="11"/>
    <n v="3503.12"/>
    <n v="13"/>
    <x v="2"/>
    <n v="-488.71"/>
    <x v="118"/>
    <x v="1"/>
    <x v="1"/>
  </r>
  <r>
    <s v="ORD-1345"/>
    <x v="186"/>
    <d v="2024-03-20T00:00:00"/>
    <x v="1"/>
    <x v="2"/>
    <x v="9"/>
    <x v="30"/>
    <n v="3598.17"/>
    <n v="15"/>
    <x v="4"/>
    <n v="521.42999999999995"/>
    <x v="157"/>
    <x v="1"/>
    <x v="11"/>
  </r>
  <r>
    <s v="ORD-1346"/>
    <x v="221"/>
    <d v="2024-02-18T00:00:00"/>
    <x v="3"/>
    <x v="0"/>
    <x v="7"/>
    <x v="24"/>
    <n v="2629.37"/>
    <n v="1"/>
    <x v="5"/>
    <n v="347.23"/>
    <x v="135"/>
    <x v="1"/>
    <x v="8"/>
  </r>
  <r>
    <s v="ORD-1347"/>
    <x v="222"/>
    <d v="2024-03-29T00:00:00"/>
    <x v="2"/>
    <x v="1"/>
    <x v="1"/>
    <x v="20"/>
    <n v="1876.42"/>
    <n v="14"/>
    <x v="5"/>
    <n v="335.33"/>
    <x v="41"/>
    <x v="0"/>
    <x v="11"/>
  </r>
  <r>
    <s v="ORD-1348"/>
    <x v="223"/>
    <d v="2024-01-03T00:00:00"/>
    <x v="1"/>
    <x v="0"/>
    <x v="0"/>
    <x v="9"/>
    <n v="3595.02"/>
    <n v="17"/>
    <x v="4"/>
    <n v="-199.07"/>
    <x v="23"/>
    <x v="2"/>
    <x v="5"/>
  </r>
  <r>
    <s v="ORD-1349"/>
    <x v="33"/>
    <d v="2024-05-10T00:00:00"/>
    <x v="3"/>
    <x v="2"/>
    <x v="10"/>
    <x v="28"/>
    <n v="1688.31"/>
    <n v="19"/>
    <x v="3"/>
    <n v="169.01"/>
    <x v="106"/>
    <x v="0"/>
    <x v="7"/>
  </r>
  <r>
    <s v="ORD-1350"/>
    <x v="175"/>
    <d v="2024-06-05T00:00:00"/>
    <x v="2"/>
    <x v="0"/>
    <x v="0"/>
    <x v="22"/>
    <n v="3579.9"/>
    <n v="5"/>
    <x v="3"/>
    <n v="1248.82"/>
    <x v="87"/>
    <x v="2"/>
    <x v="6"/>
  </r>
  <r>
    <s v="ORD-1351"/>
    <x v="78"/>
    <d v="2024-04-08T00:00:00"/>
    <x v="2"/>
    <x v="1"/>
    <x v="1"/>
    <x v="1"/>
    <n v="2976.88"/>
    <n v="5"/>
    <x v="4"/>
    <n v="804.42"/>
    <x v="175"/>
    <x v="0"/>
    <x v="3"/>
  </r>
  <r>
    <s v="ORD-1352"/>
    <x v="222"/>
    <d v="2024-03-28T00:00:00"/>
    <x v="3"/>
    <x v="0"/>
    <x v="5"/>
    <x v="19"/>
    <n v="3537.04"/>
    <n v="9"/>
    <x v="2"/>
    <n v="838.07"/>
    <x v="16"/>
    <x v="0"/>
    <x v="11"/>
  </r>
  <r>
    <s v="ORD-1353"/>
    <x v="153"/>
    <d v="2024-01-26T00:00:00"/>
    <x v="0"/>
    <x v="1"/>
    <x v="4"/>
    <x v="11"/>
    <n v="1812.91"/>
    <n v="13"/>
    <x v="1"/>
    <n v="388.3"/>
    <x v="4"/>
    <x v="0"/>
    <x v="5"/>
  </r>
  <r>
    <s v="ORD-1354"/>
    <x v="166"/>
    <d v="2024-03-22T00:00:00"/>
    <x v="0"/>
    <x v="2"/>
    <x v="9"/>
    <x v="30"/>
    <n v="628.66999999999996"/>
    <n v="17"/>
    <x v="3"/>
    <n v="148.88999999999999"/>
    <x v="148"/>
    <x v="1"/>
    <x v="11"/>
  </r>
  <r>
    <s v="ORD-1355"/>
    <x v="176"/>
    <d v="2024-08-03T00:00:00"/>
    <x v="0"/>
    <x v="2"/>
    <x v="8"/>
    <x v="16"/>
    <n v="2116.52"/>
    <n v="20"/>
    <x v="4"/>
    <n v="599.79999999999995"/>
    <x v="80"/>
    <x v="0"/>
    <x v="4"/>
  </r>
  <r>
    <s v="ORD-1356"/>
    <x v="224"/>
    <d v="2024-04-18T00:00:00"/>
    <x v="2"/>
    <x v="2"/>
    <x v="10"/>
    <x v="28"/>
    <n v="2305.52"/>
    <n v="7"/>
    <x v="0"/>
    <n v="760.68"/>
    <x v="47"/>
    <x v="0"/>
    <x v="3"/>
  </r>
  <r>
    <s v="ORD-1357"/>
    <x v="225"/>
    <d v="2024-01-02T00:00:00"/>
    <x v="0"/>
    <x v="1"/>
    <x v="4"/>
    <x v="4"/>
    <n v="809.29"/>
    <n v="3"/>
    <x v="2"/>
    <n v="58.69"/>
    <x v="153"/>
    <x v="0"/>
    <x v="5"/>
  </r>
  <r>
    <s v="ORD-1358"/>
    <x v="226"/>
    <d v="2024-05-14T00:00:00"/>
    <x v="2"/>
    <x v="2"/>
    <x v="2"/>
    <x v="21"/>
    <n v="437.8"/>
    <n v="6"/>
    <x v="1"/>
    <n v="133.82"/>
    <x v="58"/>
    <x v="0"/>
    <x v="7"/>
  </r>
  <r>
    <s v="ORD-1359"/>
    <x v="89"/>
    <d v="2024-12-17T00:00:00"/>
    <x v="2"/>
    <x v="0"/>
    <x v="5"/>
    <x v="18"/>
    <n v="3442.17"/>
    <n v="2"/>
    <x v="1"/>
    <n v="1051.93"/>
    <x v="134"/>
    <x v="1"/>
    <x v="2"/>
  </r>
  <r>
    <s v="ORD-1360"/>
    <x v="208"/>
    <d v="2024-04-02T00:00:00"/>
    <x v="3"/>
    <x v="2"/>
    <x v="2"/>
    <x v="33"/>
    <n v="598.57000000000005"/>
    <n v="11"/>
    <x v="4"/>
    <n v="50.37"/>
    <x v="178"/>
    <x v="1"/>
    <x v="11"/>
  </r>
  <r>
    <s v="ORD-1361"/>
    <x v="41"/>
    <d v="2024-08-25T00:00:00"/>
    <x v="2"/>
    <x v="0"/>
    <x v="6"/>
    <x v="6"/>
    <n v="2683.17"/>
    <n v="6"/>
    <x v="1"/>
    <n v="240.82"/>
    <x v="185"/>
    <x v="2"/>
    <x v="4"/>
  </r>
  <r>
    <s v="ORD-1362"/>
    <x v="227"/>
    <d v="2024-03-23T00:00:00"/>
    <x v="2"/>
    <x v="0"/>
    <x v="6"/>
    <x v="6"/>
    <n v="929.73"/>
    <n v="13"/>
    <x v="3"/>
    <n v="217.01"/>
    <x v="130"/>
    <x v="0"/>
    <x v="11"/>
  </r>
  <r>
    <s v="ORD-1363"/>
    <x v="228"/>
    <d v="2024-03-14T00:00:00"/>
    <x v="2"/>
    <x v="1"/>
    <x v="3"/>
    <x v="25"/>
    <n v="422.4"/>
    <n v="9"/>
    <x v="0"/>
    <n v="60.94"/>
    <x v="141"/>
    <x v="1"/>
    <x v="11"/>
  </r>
  <r>
    <s v="ORD-1364"/>
    <x v="229"/>
    <d v="2024-12-16T00:00:00"/>
    <x v="3"/>
    <x v="0"/>
    <x v="5"/>
    <x v="19"/>
    <n v="2731.42"/>
    <n v="8"/>
    <x v="5"/>
    <n v="419.89"/>
    <x v="186"/>
    <x v="0"/>
    <x v="2"/>
  </r>
  <r>
    <s v="ORD-1365"/>
    <x v="230"/>
    <d v="2024-07-18T00:00:00"/>
    <x v="0"/>
    <x v="1"/>
    <x v="4"/>
    <x v="11"/>
    <n v="2145.88"/>
    <n v="16"/>
    <x v="5"/>
    <n v="-666.99"/>
    <x v="133"/>
    <x v="1"/>
    <x v="10"/>
  </r>
  <r>
    <s v="ORD-1366"/>
    <x v="123"/>
    <d v="2024-09-13T00:00:00"/>
    <x v="1"/>
    <x v="2"/>
    <x v="2"/>
    <x v="2"/>
    <n v="2150.98"/>
    <n v="18"/>
    <x v="0"/>
    <n v="351.88"/>
    <x v="160"/>
    <x v="1"/>
    <x v="9"/>
  </r>
  <r>
    <s v="ORD-1367"/>
    <x v="14"/>
    <d v="2024-02-17T00:00:00"/>
    <x v="2"/>
    <x v="0"/>
    <x v="6"/>
    <x v="8"/>
    <n v="3462.21"/>
    <n v="15"/>
    <x v="3"/>
    <n v="296.41000000000003"/>
    <x v="42"/>
    <x v="1"/>
    <x v="8"/>
  </r>
  <r>
    <s v="ORD-1368"/>
    <x v="161"/>
    <d v="2024-11-30T00:00:00"/>
    <x v="0"/>
    <x v="2"/>
    <x v="9"/>
    <x v="14"/>
    <n v="2339.2399999999998"/>
    <n v="1"/>
    <x v="1"/>
    <n v="672.61"/>
    <x v="159"/>
    <x v="1"/>
    <x v="0"/>
  </r>
  <r>
    <s v="ORD-1369"/>
    <x v="44"/>
    <d v="2024-11-26T00:00:00"/>
    <x v="1"/>
    <x v="0"/>
    <x v="6"/>
    <x v="7"/>
    <n v="1612.53"/>
    <n v="2"/>
    <x v="4"/>
    <n v="489.07"/>
    <x v="94"/>
    <x v="0"/>
    <x v="0"/>
  </r>
  <r>
    <s v="ORD-1370"/>
    <x v="231"/>
    <d v="2024-11-20T00:00:00"/>
    <x v="3"/>
    <x v="0"/>
    <x v="6"/>
    <x v="8"/>
    <n v="615.39"/>
    <n v="8"/>
    <x v="1"/>
    <n v="93.79"/>
    <x v="187"/>
    <x v="2"/>
    <x v="0"/>
  </r>
  <r>
    <s v="ORD-1371"/>
    <x v="232"/>
    <d v="2024-06-03T00:00:00"/>
    <x v="0"/>
    <x v="1"/>
    <x v="1"/>
    <x v="10"/>
    <n v="776.68"/>
    <n v="14"/>
    <x v="1"/>
    <n v="98.08"/>
    <x v="14"/>
    <x v="1"/>
    <x v="7"/>
  </r>
  <r>
    <s v="ORD-1372"/>
    <x v="196"/>
    <d v="2024-03-08T00:00:00"/>
    <x v="1"/>
    <x v="2"/>
    <x v="10"/>
    <x v="17"/>
    <n v="654.12"/>
    <n v="14"/>
    <x v="1"/>
    <n v="214.54"/>
    <x v="69"/>
    <x v="0"/>
    <x v="11"/>
  </r>
  <r>
    <s v="ORD-1373"/>
    <x v="233"/>
    <d v="2024-10-29T00:00:00"/>
    <x v="2"/>
    <x v="2"/>
    <x v="10"/>
    <x v="17"/>
    <n v="266.27"/>
    <n v="2"/>
    <x v="2"/>
    <n v="88.03"/>
    <x v="1"/>
    <x v="2"/>
    <x v="1"/>
  </r>
  <r>
    <s v="ORD-1374"/>
    <x v="131"/>
    <d v="2024-09-06T00:00:00"/>
    <x v="1"/>
    <x v="0"/>
    <x v="7"/>
    <x v="29"/>
    <n v="1702.77"/>
    <n v="20"/>
    <x v="2"/>
    <n v="536.04999999999995"/>
    <x v="184"/>
    <x v="2"/>
    <x v="9"/>
  </r>
  <r>
    <s v="ORD-1375"/>
    <x v="234"/>
    <d v="2024-07-21T00:00:00"/>
    <x v="1"/>
    <x v="2"/>
    <x v="9"/>
    <x v="27"/>
    <n v="3889.34"/>
    <n v="15"/>
    <x v="4"/>
    <n v="355.7"/>
    <x v="188"/>
    <x v="1"/>
    <x v="10"/>
  </r>
  <r>
    <s v="ORD-1376"/>
    <x v="235"/>
    <d v="2024-09-23T00:00:00"/>
    <x v="3"/>
    <x v="0"/>
    <x v="7"/>
    <x v="29"/>
    <n v="1036.42"/>
    <n v="10"/>
    <x v="0"/>
    <n v="159.18"/>
    <x v="37"/>
    <x v="0"/>
    <x v="9"/>
  </r>
  <r>
    <s v="ORD-1377"/>
    <x v="103"/>
    <d v="2024-12-31T00:00:00"/>
    <x v="3"/>
    <x v="0"/>
    <x v="5"/>
    <x v="19"/>
    <n v="2358.5500000000002"/>
    <n v="19"/>
    <x v="2"/>
    <n v="784.93"/>
    <x v="189"/>
    <x v="1"/>
    <x v="2"/>
  </r>
  <r>
    <s v="ORD-1378"/>
    <x v="236"/>
    <d v="2024-12-15T00:00:00"/>
    <x v="2"/>
    <x v="1"/>
    <x v="4"/>
    <x v="11"/>
    <n v="344.77"/>
    <n v="5"/>
    <x v="1"/>
    <n v="86.56"/>
    <x v="124"/>
    <x v="0"/>
    <x v="2"/>
  </r>
  <r>
    <s v="ORD-1379"/>
    <x v="237"/>
    <d v="2024-03-27T00:00:00"/>
    <x v="3"/>
    <x v="1"/>
    <x v="1"/>
    <x v="20"/>
    <n v="3191.34"/>
    <n v="7"/>
    <x v="2"/>
    <n v="190.5"/>
    <x v="190"/>
    <x v="0"/>
    <x v="11"/>
  </r>
  <r>
    <s v="ORD-1380"/>
    <x v="109"/>
    <d v="2024-02-25T00:00:00"/>
    <x v="2"/>
    <x v="1"/>
    <x v="4"/>
    <x v="4"/>
    <n v="2848.51"/>
    <n v="2"/>
    <x v="5"/>
    <n v="473.61"/>
    <x v="114"/>
    <x v="2"/>
    <x v="8"/>
  </r>
  <r>
    <s v="ORD-1381"/>
    <x v="55"/>
    <d v="2024-12-21T00:00:00"/>
    <x v="0"/>
    <x v="1"/>
    <x v="4"/>
    <x v="4"/>
    <n v="1011.58"/>
    <n v="15"/>
    <x v="4"/>
    <n v="327.19"/>
    <x v="173"/>
    <x v="1"/>
    <x v="2"/>
  </r>
  <r>
    <s v="ORD-1382"/>
    <x v="90"/>
    <d v="2024-12-02T00:00:00"/>
    <x v="1"/>
    <x v="0"/>
    <x v="7"/>
    <x v="24"/>
    <n v="1933.06"/>
    <n v="3"/>
    <x v="4"/>
    <n v="654.80999999999995"/>
    <x v="191"/>
    <x v="0"/>
    <x v="0"/>
  </r>
  <r>
    <s v="ORD-1383"/>
    <x v="196"/>
    <d v="2024-03-08T00:00:00"/>
    <x v="0"/>
    <x v="2"/>
    <x v="2"/>
    <x v="33"/>
    <n v="1240.9000000000001"/>
    <n v="6"/>
    <x v="2"/>
    <n v="-376.99"/>
    <x v="170"/>
    <x v="2"/>
    <x v="11"/>
  </r>
  <r>
    <s v="ORD-1384"/>
    <x v="46"/>
    <d v="2024-08-28T00:00:00"/>
    <x v="0"/>
    <x v="1"/>
    <x v="3"/>
    <x v="3"/>
    <n v="3151.23"/>
    <n v="20"/>
    <x v="0"/>
    <n v="442.26"/>
    <x v="159"/>
    <x v="2"/>
    <x v="4"/>
  </r>
  <r>
    <s v="ORD-1385"/>
    <x v="178"/>
    <d v="2024-10-13T00:00:00"/>
    <x v="0"/>
    <x v="0"/>
    <x v="0"/>
    <x v="0"/>
    <n v="3838.7"/>
    <n v="17"/>
    <x v="1"/>
    <n v="1097.4000000000001"/>
    <x v="192"/>
    <x v="2"/>
    <x v="1"/>
  </r>
  <r>
    <s v="ORD-1386"/>
    <x v="238"/>
    <d v="2024-10-11T00:00:00"/>
    <x v="0"/>
    <x v="2"/>
    <x v="10"/>
    <x v="28"/>
    <n v="2737.5"/>
    <n v="11"/>
    <x v="3"/>
    <n v="377.97"/>
    <x v="41"/>
    <x v="2"/>
    <x v="1"/>
  </r>
  <r>
    <s v="ORD-1387"/>
    <x v="239"/>
    <d v="2024-11-19T00:00:00"/>
    <x v="0"/>
    <x v="1"/>
    <x v="4"/>
    <x v="4"/>
    <n v="1921.25"/>
    <n v="20"/>
    <x v="2"/>
    <n v="-236.6"/>
    <x v="124"/>
    <x v="2"/>
    <x v="0"/>
  </r>
  <r>
    <s v="ORD-1388"/>
    <x v="240"/>
    <d v="2024-06-19T00:00:00"/>
    <x v="0"/>
    <x v="2"/>
    <x v="2"/>
    <x v="33"/>
    <n v="2964.91"/>
    <n v="1"/>
    <x v="2"/>
    <n v="879.49"/>
    <x v="90"/>
    <x v="2"/>
    <x v="6"/>
  </r>
  <r>
    <s v="ORD-1389"/>
    <x v="241"/>
    <d v="2024-09-24T00:00:00"/>
    <x v="2"/>
    <x v="1"/>
    <x v="3"/>
    <x v="32"/>
    <n v="1451.17"/>
    <n v="3"/>
    <x v="1"/>
    <n v="145.43"/>
    <x v="84"/>
    <x v="0"/>
    <x v="9"/>
  </r>
  <r>
    <s v="ORD-1390"/>
    <x v="242"/>
    <d v="2024-10-02T00:00:00"/>
    <x v="0"/>
    <x v="1"/>
    <x v="4"/>
    <x v="11"/>
    <n v="3493.57"/>
    <n v="14"/>
    <x v="1"/>
    <n v="390.14"/>
    <x v="193"/>
    <x v="1"/>
    <x v="1"/>
  </r>
  <r>
    <s v="ORD-1391"/>
    <x v="243"/>
    <d v="2024-08-11T00:00:00"/>
    <x v="1"/>
    <x v="1"/>
    <x v="3"/>
    <x v="26"/>
    <n v="392.07"/>
    <n v="3"/>
    <x v="1"/>
    <n v="40.54"/>
    <x v="194"/>
    <x v="0"/>
    <x v="4"/>
  </r>
  <r>
    <s v="ORD-1392"/>
    <x v="244"/>
    <d v="2024-02-09T00:00:00"/>
    <x v="3"/>
    <x v="2"/>
    <x v="9"/>
    <x v="27"/>
    <n v="2613.31"/>
    <n v="14"/>
    <x v="3"/>
    <n v="143.91"/>
    <x v="141"/>
    <x v="0"/>
    <x v="8"/>
  </r>
  <r>
    <s v="ORD-1393"/>
    <x v="129"/>
    <d v="2024-09-30T00:00:00"/>
    <x v="0"/>
    <x v="0"/>
    <x v="5"/>
    <x v="5"/>
    <n v="3430.94"/>
    <n v="12"/>
    <x v="2"/>
    <n v="280.79000000000002"/>
    <x v="92"/>
    <x v="2"/>
    <x v="9"/>
  </r>
  <r>
    <s v="ORD-1394"/>
    <x v="146"/>
    <d v="2024-06-04T00:00:00"/>
    <x v="3"/>
    <x v="2"/>
    <x v="9"/>
    <x v="27"/>
    <n v="3332.96"/>
    <n v="1"/>
    <x v="5"/>
    <n v="322.95"/>
    <x v="52"/>
    <x v="1"/>
    <x v="6"/>
  </r>
  <r>
    <s v="ORD-1395"/>
    <x v="245"/>
    <d v="2024-07-23T00:00:00"/>
    <x v="1"/>
    <x v="2"/>
    <x v="2"/>
    <x v="2"/>
    <n v="2325.7199999999998"/>
    <n v="18"/>
    <x v="4"/>
    <n v="-202.27"/>
    <x v="195"/>
    <x v="0"/>
    <x v="10"/>
  </r>
  <r>
    <s v="ORD-1396"/>
    <x v="59"/>
    <d v="2024-11-07T00:00:00"/>
    <x v="0"/>
    <x v="2"/>
    <x v="10"/>
    <x v="17"/>
    <n v="1044.01"/>
    <n v="17"/>
    <x v="4"/>
    <n v="102.61"/>
    <x v="84"/>
    <x v="0"/>
    <x v="0"/>
  </r>
  <r>
    <s v="ORD-1397"/>
    <x v="117"/>
    <d v="2024-05-12T00:00:00"/>
    <x v="0"/>
    <x v="1"/>
    <x v="4"/>
    <x v="11"/>
    <n v="3442.7"/>
    <n v="18"/>
    <x v="5"/>
    <n v="-837.96"/>
    <x v="71"/>
    <x v="0"/>
    <x v="7"/>
  </r>
  <r>
    <s v="ORD-1398"/>
    <x v="246"/>
    <d v="2024-12-10T00:00:00"/>
    <x v="3"/>
    <x v="1"/>
    <x v="1"/>
    <x v="20"/>
    <n v="2427.23"/>
    <n v="11"/>
    <x v="3"/>
    <n v="214.72"/>
    <x v="60"/>
    <x v="2"/>
    <x v="2"/>
  </r>
  <r>
    <s v="ORD-1399"/>
    <x v="213"/>
    <d v="2024-02-25T00:00:00"/>
    <x v="0"/>
    <x v="1"/>
    <x v="3"/>
    <x v="25"/>
    <n v="1939.92"/>
    <n v="20"/>
    <x v="0"/>
    <n v="274.89"/>
    <x v="167"/>
    <x v="1"/>
    <x v="8"/>
  </r>
  <r>
    <s v="ORD-1400"/>
    <x v="25"/>
    <d v="2024-10-21T00:00:00"/>
    <x v="3"/>
    <x v="2"/>
    <x v="10"/>
    <x v="28"/>
    <n v="1424.56"/>
    <n v="8"/>
    <x v="0"/>
    <n v="387.4"/>
    <x v="87"/>
    <x v="1"/>
    <x v="1"/>
  </r>
  <r>
    <s v="ORD-1401"/>
    <x v="190"/>
    <d v="2024-07-05T00:00:00"/>
    <x v="3"/>
    <x v="2"/>
    <x v="9"/>
    <x v="27"/>
    <n v="1595.28"/>
    <n v="10"/>
    <x v="5"/>
    <n v="343.79"/>
    <x v="153"/>
    <x v="1"/>
    <x v="10"/>
  </r>
  <r>
    <s v="ORD-1402"/>
    <x v="15"/>
    <d v="2024-11-07T00:00:00"/>
    <x v="3"/>
    <x v="1"/>
    <x v="4"/>
    <x v="11"/>
    <n v="1237.1300000000001"/>
    <n v="3"/>
    <x v="0"/>
    <n v="-89.84"/>
    <x v="196"/>
    <x v="0"/>
    <x v="0"/>
  </r>
  <r>
    <s v="ORD-1403"/>
    <x v="138"/>
    <d v="2024-09-16T00:00:00"/>
    <x v="2"/>
    <x v="0"/>
    <x v="7"/>
    <x v="29"/>
    <n v="2318.48"/>
    <n v="18"/>
    <x v="2"/>
    <n v="444.29"/>
    <x v="60"/>
    <x v="0"/>
    <x v="9"/>
  </r>
  <r>
    <s v="ORD-1404"/>
    <x v="247"/>
    <d v="2024-07-12T00:00:00"/>
    <x v="1"/>
    <x v="0"/>
    <x v="0"/>
    <x v="0"/>
    <n v="1992.63"/>
    <n v="17"/>
    <x v="1"/>
    <n v="336.83"/>
    <x v="112"/>
    <x v="2"/>
    <x v="10"/>
  </r>
  <r>
    <s v="ORD-1405"/>
    <x v="37"/>
    <d v="2024-12-08T00:00:00"/>
    <x v="1"/>
    <x v="0"/>
    <x v="7"/>
    <x v="24"/>
    <n v="847.08"/>
    <n v="19"/>
    <x v="2"/>
    <n v="209.93"/>
    <x v="125"/>
    <x v="0"/>
    <x v="2"/>
  </r>
  <r>
    <s v="ORD-1406"/>
    <x v="131"/>
    <d v="2024-09-09T00:00:00"/>
    <x v="0"/>
    <x v="1"/>
    <x v="3"/>
    <x v="32"/>
    <n v="485.73"/>
    <n v="12"/>
    <x v="4"/>
    <n v="30.52"/>
    <x v="197"/>
    <x v="1"/>
    <x v="9"/>
  </r>
  <r>
    <s v="ORD-1407"/>
    <x v="190"/>
    <d v="2024-07-09T00:00:00"/>
    <x v="2"/>
    <x v="2"/>
    <x v="8"/>
    <x v="16"/>
    <n v="3927.21"/>
    <n v="11"/>
    <x v="1"/>
    <n v="1025.48"/>
    <x v="14"/>
    <x v="1"/>
    <x v="10"/>
  </r>
  <r>
    <s v="ORD-1408"/>
    <x v="140"/>
    <d v="2024-05-24T00:00:00"/>
    <x v="1"/>
    <x v="2"/>
    <x v="9"/>
    <x v="27"/>
    <n v="2453.8000000000002"/>
    <n v="3"/>
    <x v="2"/>
    <n v="307.89"/>
    <x v="146"/>
    <x v="1"/>
    <x v="7"/>
  </r>
  <r>
    <s v="ORD-1409"/>
    <x v="111"/>
    <d v="2024-04-30T00:00:00"/>
    <x v="3"/>
    <x v="2"/>
    <x v="9"/>
    <x v="27"/>
    <n v="3576.89"/>
    <n v="1"/>
    <x v="2"/>
    <n v="1125.33"/>
    <x v="198"/>
    <x v="0"/>
    <x v="3"/>
  </r>
  <r>
    <s v="ORD-1410"/>
    <x v="184"/>
    <d v="2024-04-28T00:00:00"/>
    <x v="3"/>
    <x v="1"/>
    <x v="1"/>
    <x v="1"/>
    <n v="840.09"/>
    <n v="20"/>
    <x v="0"/>
    <n v="247.9"/>
    <x v="199"/>
    <x v="0"/>
    <x v="3"/>
  </r>
  <r>
    <s v="ORD-1411"/>
    <x v="92"/>
    <d v="2024-08-05T00:00:00"/>
    <x v="0"/>
    <x v="2"/>
    <x v="9"/>
    <x v="27"/>
    <n v="1040.1400000000001"/>
    <n v="6"/>
    <x v="0"/>
    <n v="-312.05"/>
    <x v="173"/>
    <x v="0"/>
    <x v="10"/>
  </r>
  <r>
    <s v="ORD-1412"/>
    <x v="95"/>
    <d v="2024-01-25T00:00:00"/>
    <x v="1"/>
    <x v="1"/>
    <x v="4"/>
    <x v="11"/>
    <n v="3590.49"/>
    <n v="5"/>
    <x v="1"/>
    <n v="358.7"/>
    <x v="19"/>
    <x v="1"/>
    <x v="5"/>
  </r>
  <r>
    <s v="ORD-1413"/>
    <x v="248"/>
    <d v="2024-09-27T00:00:00"/>
    <x v="0"/>
    <x v="0"/>
    <x v="0"/>
    <x v="9"/>
    <n v="1062.23"/>
    <n v="20"/>
    <x v="5"/>
    <n v="329.49"/>
    <x v="200"/>
    <x v="0"/>
    <x v="9"/>
  </r>
  <r>
    <s v="ORD-1414"/>
    <x v="179"/>
    <d v="2024-07-31T00:00:00"/>
    <x v="1"/>
    <x v="0"/>
    <x v="0"/>
    <x v="0"/>
    <n v="2965.7"/>
    <n v="11"/>
    <x v="5"/>
    <n v="-679.03"/>
    <x v="201"/>
    <x v="0"/>
    <x v="10"/>
  </r>
  <r>
    <s v="ORD-1415"/>
    <x v="249"/>
    <d v="2024-07-18T00:00:00"/>
    <x v="1"/>
    <x v="1"/>
    <x v="1"/>
    <x v="1"/>
    <n v="2210.17"/>
    <n v="17"/>
    <x v="0"/>
    <n v="-388.85"/>
    <x v="129"/>
    <x v="2"/>
    <x v="10"/>
  </r>
  <r>
    <s v="ORD-1416"/>
    <x v="91"/>
    <d v="2024-02-21T00:00:00"/>
    <x v="2"/>
    <x v="0"/>
    <x v="5"/>
    <x v="5"/>
    <n v="2137.48"/>
    <n v="4"/>
    <x v="1"/>
    <n v="-416.11"/>
    <x v="90"/>
    <x v="1"/>
    <x v="8"/>
  </r>
  <r>
    <s v="ORD-1417"/>
    <x v="48"/>
    <d v="2024-11-04T00:00:00"/>
    <x v="2"/>
    <x v="0"/>
    <x v="6"/>
    <x v="7"/>
    <n v="3530.59"/>
    <n v="17"/>
    <x v="5"/>
    <n v="419.6"/>
    <x v="202"/>
    <x v="0"/>
    <x v="0"/>
  </r>
  <r>
    <s v="ORD-1418"/>
    <x v="85"/>
    <d v="2024-07-19T00:00:00"/>
    <x v="0"/>
    <x v="2"/>
    <x v="10"/>
    <x v="17"/>
    <n v="2039.28"/>
    <n v="8"/>
    <x v="1"/>
    <n v="275.26"/>
    <x v="203"/>
    <x v="0"/>
    <x v="10"/>
  </r>
  <r>
    <s v="ORD-1419"/>
    <x v="250"/>
    <d v="2024-08-01T00:00:00"/>
    <x v="1"/>
    <x v="1"/>
    <x v="4"/>
    <x v="11"/>
    <n v="2417.4499999999998"/>
    <n v="4"/>
    <x v="2"/>
    <n v="126.09"/>
    <x v="8"/>
    <x v="2"/>
    <x v="10"/>
  </r>
  <r>
    <s v="ORD-1420"/>
    <x v="67"/>
    <d v="2024-12-23T00:00:00"/>
    <x v="2"/>
    <x v="2"/>
    <x v="8"/>
    <x v="16"/>
    <n v="1847.77"/>
    <n v="19"/>
    <x v="3"/>
    <n v="237.24"/>
    <x v="89"/>
    <x v="0"/>
    <x v="2"/>
  </r>
  <r>
    <s v="ORD-1421"/>
    <x v="25"/>
    <d v="2024-10-21T00:00:00"/>
    <x v="3"/>
    <x v="0"/>
    <x v="6"/>
    <x v="15"/>
    <n v="1799.61"/>
    <n v="18"/>
    <x v="5"/>
    <n v="186.47"/>
    <x v="143"/>
    <x v="0"/>
    <x v="1"/>
  </r>
  <r>
    <s v="ORD-1422"/>
    <x v="131"/>
    <d v="2024-09-08T00:00:00"/>
    <x v="3"/>
    <x v="0"/>
    <x v="0"/>
    <x v="22"/>
    <n v="3009.18"/>
    <n v="4"/>
    <x v="0"/>
    <n v="357.89"/>
    <x v="104"/>
    <x v="0"/>
    <x v="9"/>
  </r>
  <r>
    <s v="ORD-1423"/>
    <x v="237"/>
    <d v="2024-03-24T00:00:00"/>
    <x v="1"/>
    <x v="0"/>
    <x v="6"/>
    <x v="7"/>
    <n v="3253.2"/>
    <n v="20"/>
    <x v="0"/>
    <n v="-830.77"/>
    <x v="11"/>
    <x v="2"/>
    <x v="11"/>
  </r>
  <r>
    <s v="ORD-1424"/>
    <x v="163"/>
    <d v="2024-07-18T00:00:00"/>
    <x v="0"/>
    <x v="1"/>
    <x v="3"/>
    <x v="25"/>
    <n v="580.53"/>
    <n v="9"/>
    <x v="4"/>
    <n v="93.61"/>
    <x v="204"/>
    <x v="0"/>
    <x v="10"/>
  </r>
  <r>
    <s v="ORD-1425"/>
    <x v="234"/>
    <d v="2024-07-21T00:00:00"/>
    <x v="3"/>
    <x v="0"/>
    <x v="5"/>
    <x v="18"/>
    <n v="2651.09"/>
    <n v="15"/>
    <x v="1"/>
    <n v="292.98"/>
    <x v="82"/>
    <x v="0"/>
    <x v="10"/>
  </r>
  <r>
    <s v="ORD-1426"/>
    <x v="251"/>
    <d v="2024-09-26T00:00:00"/>
    <x v="1"/>
    <x v="1"/>
    <x v="4"/>
    <x v="11"/>
    <n v="2556.96"/>
    <n v="2"/>
    <x v="3"/>
    <n v="-311.38"/>
    <x v="121"/>
    <x v="0"/>
    <x v="9"/>
  </r>
  <r>
    <s v="ORD-1427"/>
    <x v="252"/>
    <d v="2024-03-22T00:00:00"/>
    <x v="3"/>
    <x v="2"/>
    <x v="2"/>
    <x v="33"/>
    <n v="1731.79"/>
    <n v="19"/>
    <x v="4"/>
    <n v="355.58"/>
    <x v="205"/>
    <x v="2"/>
    <x v="11"/>
  </r>
  <r>
    <s v="ORD-1428"/>
    <x v="27"/>
    <d v="2024-02-06T00:00:00"/>
    <x v="3"/>
    <x v="0"/>
    <x v="0"/>
    <x v="31"/>
    <n v="3862.33"/>
    <n v="9"/>
    <x v="4"/>
    <n v="895.71"/>
    <x v="144"/>
    <x v="0"/>
    <x v="8"/>
  </r>
  <r>
    <s v="ORD-1429"/>
    <x v="214"/>
    <d v="2024-07-25T00:00:00"/>
    <x v="3"/>
    <x v="1"/>
    <x v="3"/>
    <x v="3"/>
    <n v="2344.87"/>
    <n v="17"/>
    <x v="3"/>
    <n v="-356.4"/>
    <x v="99"/>
    <x v="1"/>
    <x v="10"/>
  </r>
  <r>
    <s v="ORD-1430"/>
    <x v="235"/>
    <d v="2024-09-23T00:00:00"/>
    <x v="3"/>
    <x v="0"/>
    <x v="6"/>
    <x v="6"/>
    <n v="2361.88"/>
    <n v="8"/>
    <x v="3"/>
    <n v="799.19"/>
    <x v="95"/>
    <x v="1"/>
    <x v="9"/>
  </r>
  <r>
    <s v="ORD-1431"/>
    <x v="4"/>
    <d v="2024-08-23T00:00:00"/>
    <x v="2"/>
    <x v="1"/>
    <x v="3"/>
    <x v="3"/>
    <n v="1685.02"/>
    <n v="8"/>
    <x v="0"/>
    <n v="438.7"/>
    <x v="86"/>
    <x v="0"/>
    <x v="4"/>
  </r>
  <r>
    <s v="ORD-1432"/>
    <x v="253"/>
    <d v="2024-08-04T00:00:00"/>
    <x v="0"/>
    <x v="0"/>
    <x v="0"/>
    <x v="0"/>
    <n v="1327.34"/>
    <n v="13"/>
    <x v="0"/>
    <n v="364.54"/>
    <x v="77"/>
    <x v="0"/>
    <x v="10"/>
  </r>
  <r>
    <s v="ORD-1433"/>
    <x v="61"/>
    <d v="2024-10-12T00:00:00"/>
    <x v="2"/>
    <x v="2"/>
    <x v="2"/>
    <x v="2"/>
    <n v="3603.69"/>
    <n v="9"/>
    <x v="4"/>
    <n v="1204.1199999999999"/>
    <x v="206"/>
    <x v="1"/>
    <x v="1"/>
  </r>
  <r>
    <s v="ORD-1434"/>
    <x v="132"/>
    <d v="2024-04-14T00:00:00"/>
    <x v="1"/>
    <x v="1"/>
    <x v="4"/>
    <x v="11"/>
    <n v="3522.78"/>
    <n v="7"/>
    <x v="4"/>
    <n v="390.43"/>
    <x v="147"/>
    <x v="1"/>
    <x v="3"/>
  </r>
  <r>
    <s v="ORD-1435"/>
    <x v="239"/>
    <d v="2024-11-17T00:00:00"/>
    <x v="1"/>
    <x v="1"/>
    <x v="1"/>
    <x v="1"/>
    <n v="2784.3"/>
    <n v="16"/>
    <x v="2"/>
    <n v="144.75"/>
    <x v="53"/>
    <x v="0"/>
    <x v="0"/>
  </r>
  <r>
    <s v="ORD-1436"/>
    <x v="254"/>
    <d v="2024-01-29T00:00:00"/>
    <x v="3"/>
    <x v="0"/>
    <x v="0"/>
    <x v="22"/>
    <n v="3617.95"/>
    <n v="19"/>
    <x v="3"/>
    <n v="713.61"/>
    <x v="149"/>
    <x v="0"/>
    <x v="5"/>
  </r>
  <r>
    <s v="ORD-1437"/>
    <x v="255"/>
    <d v="2024-09-22T00:00:00"/>
    <x v="2"/>
    <x v="1"/>
    <x v="4"/>
    <x v="11"/>
    <n v="453.06"/>
    <n v="14"/>
    <x v="5"/>
    <n v="-150.37"/>
    <x v="106"/>
    <x v="2"/>
    <x v="9"/>
  </r>
  <r>
    <s v="ORD-1438"/>
    <x v="192"/>
    <d v="2024-07-02T00:00:00"/>
    <x v="1"/>
    <x v="2"/>
    <x v="8"/>
    <x v="13"/>
    <n v="2193.27"/>
    <n v="11"/>
    <x v="0"/>
    <n v="115.2"/>
    <x v="72"/>
    <x v="2"/>
    <x v="6"/>
  </r>
  <r>
    <s v="ORD-1439"/>
    <x v="38"/>
    <d v="2024-07-14T00:00:00"/>
    <x v="3"/>
    <x v="2"/>
    <x v="2"/>
    <x v="2"/>
    <n v="2307.11"/>
    <n v="8"/>
    <x v="3"/>
    <n v="441.59"/>
    <x v="53"/>
    <x v="0"/>
    <x v="10"/>
  </r>
  <r>
    <s v="ORD-1440"/>
    <x v="247"/>
    <d v="2024-07-08T00:00:00"/>
    <x v="2"/>
    <x v="2"/>
    <x v="10"/>
    <x v="17"/>
    <n v="2877.67"/>
    <n v="12"/>
    <x v="3"/>
    <n v="881.42"/>
    <x v="16"/>
    <x v="2"/>
    <x v="10"/>
  </r>
  <r>
    <s v="ORD-1441"/>
    <x v="83"/>
    <d v="2024-04-04T00:00:00"/>
    <x v="1"/>
    <x v="1"/>
    <x v="4"/>
    <x v="4"/>
    <n v="3265.33"/>
    <n v="18"/>
    <x v="5"/>
    <n v="1002.11"/>
    <x v="29"/>
    <x v="2"/>
    <x v="3"/>
  </r>
  <r>
    <s v="ORD-1442"/>
    <x v="155"/>
    <d v="2024-03-24T00:00:00"/>
    <x v="0"/>
    <x v="1"/>
    <x v="3"/>
    <x v="25"/>
    <n v="754.27"/>
    <n v="17"/>
    <x v="2"/>
    <n v="200.76"/>
    <x v="121"/>
    <x v="0"/>
    <x v="11"/>
  </r>
  <r>
    <s v="ORD-1443"/>
    <x v="256"/>
    <d v="2024-06-06T00:00:00"/>
    <x v="0"/>
    <x v="2"/>
    <x v="8"/>
    <x v="13"/>
    <n v="862.53"/>
    <n v="7"/>
    <x v="3"/>
    <n v="166.44"/>
    <x v="164"/>
    <x v="2"/>
    <x v="6"/>
  </r>
  <r>
    <s v="ORD-1444"/>
    <x v="257"/>
    <d v="2024-08-23T00:00:00"/>
    <x v="3"/>
    <x v="2"/>
    <x v="2"/>
    <x v="33"/>
    <n v="2340.59"/>
    <n v="9"/>
    <x v="3"/>
    <n v="-130.96"/>
    <x v="85"/>
    <x v="1"/>
    <x v="4"/>
  </r>
  <r>
    <s v="ORD-1445"/>
    <x v="229"/>
    <d v="2024-12-16T00:00:00"/>
    <x v="1"/>
    <x v="2"/>
    <x v="2"/>
    <x v="21"/>
    <n v="2774.47"/>
    <n v="16"/>
    <x v="0"/>
    <n v="-510.72"/>
    <x v="96"/>
    <x v="2"/>
    <x v="2"/>
  </r>
  <r>
    <s v="ORD-1446"/>
    <x v="114"/>
    <d v="2024-11-14T00:00:00"/>
    <x v="2"/>
    <x v="0"/>
    <x v="7"/>
    <x v="29"/>
    <n v="2652.18"/>
    <n v="11"/>
    <x v="5"/>
    <n v="634.88"/>
    <x v="9"/>
    <x v="2"/>
    <x v="0"/>
  </r>
  <r>
    <s v="ORD-1447"/>
    <x v="244"/>
    <d v="2024-02-07T00:00:00"/>
    <x v="1"/>
    <x v="2"/>
    <x v="10"/>
    <x v="17"/>
    <n v="1438.29"/>
    <n v="10"/>
    <x v="0"/>
    <n v="187.33"/>
    <x v="27"/>
    <x v="0"/>
    <x v="8"/>
  </r>
  <r>
    <s v="ORD-1448"/>
    <x v="7"/>
    <d v="2024-05-25T00:00:00"/>
    <x v="3"/>
    <x v="0"/>
    <x v="6"/>
    <x v="6"/>
    <n v="877.44"/>
    <n v="1"/>
    <x v="4"/>
    <n v="235.44"/>
    <x v="207"/>
    <x v="1"/>
    <x v="7"/>
  </r>
  <r>
    <s v="ORD-1449"/>
    <x v="212"/>
    <d v="2024-12-25T00:00:00"/>
    <x v="1"/>
    <x v="1"/>
    <x v="3"/>
    <x v="3"/>
    <n v="608.33000000000004"/>
    <n v="16"/>
    <x v="2"/>
    <n v="40.24"/>
    <x v="173"/>
    <x v="0"/>
    <x v="2"/>
  </r>
  <r>
    <s v="ORD-1450"/>
    <x v="63"/>
    <d v="2024-09-26T00:00:00"/>
    <x v="0"/>
    <x v="2"/>
    <x v="10"/>
    <x v="28"/>
    <n v="2705.62"/>
    <n v="13"/>
    <x v="3"/>
    <n v="321.45"/>
    <x v="148"/>
    <x v="1"/>
    <x v="9"/>
  </r>
  <r>
    <s v="ORD-1451"/>
    <x v="39"/>
    <d v="2024-08-16T00:00:00"/>
    <x v="1"/>
    <x v="0"/>
    <x v="7"/>
    <x v="29"/>
    <n v="381.83"/>
    <n v="12"/>
    <x v="3"/>
    <n v="118.09"/>
    <x v="77"/>
    <x v="1"/>
    <x v="4"/>
  </r>
  <r>
    <s v="ORD-1452"/>
    <x v="45"/>
    <d v="2024-10-07T00:00:00"/>
    <x v="2"/>
    <x v="1"/>
    <x v="4"/>
    <x v="11"/>
    <n v="2465.62"/>
    <n v="15"/>
    <x v="0"/>
    <n v="677.24"/>
    <x v="4"/>
    <x v="1"/>
    <x v="1"/>
  </r>
  <r>
    <s v="ORD-1453"/>
    <x v="243"/>
    <d v="2024-08-14T00:00:00"/>
    <x v="3"/>
    <x v="2"/>
    <x v="10"/>
    <x v="28"/>
    <n v="1906.98"/>
    <n v="12"/>
    <x v="5"/>
    <n v="243.98"/>
    <x v="166"/>
    <x v="1"/>
    <x v="4"/>
  </r>
  <r>
    <s v="ORD-1454"/>
    <x v="13"/>
    <d v="2024-01-03T00:00:00"/>
    <x v="3"/>
    <x v="2"/>
    <x v="9"/>
    <x v="30"/>
    <n v="281.19"/>
    <n v="16"/>
    <x v="5"/>
    <n v="39.33"/>
    <x v="208"/>
    <x v="2"/>
    <x v="5"/>
  </r>
  <r>
    <s v="ORD-1455"/>
    <x v="232"/>
    <d v="2024-06-01T00:00:00"/>
    <x v="0"/>
    <x v="0"/>
    <x v="0"/>
    <x v="0"/>
    <n v="1794.01"/>
    <n v="18"/>
    <x v="5"/>
    <n v="302.16000000000003"/>
    <x v="209"/>
    <x v="0"/>
    <x v="7"/>
  </r>
  <r>
    <s v="ORD-1456"/>
    <x v="258"/>
    <d v="2024-12-02T00:00:00"/>
    <x v="2"/>
    <x v="1"/>
    <x v="3"/>
    <x v="3"/>
    <n v="1833.4"/>
    <n v="8"/>
    <x v="2"/>
    <n v="512.17999999999995"/>
    <x v="210"/>
    <x v="0"/>
    <x v="0"/>
  </r>
  <r>
    <s v="ORD-1457"/>
    <x v="259"/>
    <d v="2024-12-25T00:00:00"/>
    <x v="3"/>
    <x v="0"/>
    <x v="0"/>
    <x v="22"/>
    <n v="955"/>
    <n v="3"/>
    <x v="4"/>
    <n v="-86.89"/>
    <x v="118"/>
    <x v="1"/>
    <x v="2"/>
  </r>
  <r>
    <s v="ORD-1458"/>
    <x v="41"/>
    <d v="2024-08-28T00:00:00"/>
    <x v="3"/>
    <x v="0"/>
    <x v="6"/>
    <x v="15"/>
    <n v="1452.41"/>
    <n v="5"/>
    <x v="1"/>
    <n v="-495.15"/>
    <x v="84"/>
    <x v="2"/>
    <x v="4"/>
  </r>
  <r>
    <s v="ORD-1459"/>
    <x v="109"/>
    <d v="2024-02-26T00:00:00"/>
    <x v="3"/>
    <x v="1"/>
    <x v="4"/>
    <x v="4"/>
    <n v="2976.65"/>
    <n v="8"/>
    <x v="1"/>
    <n v="283.39"/>
    <x v="205"/>
    <x v="1"/>
    <x v="8"/>
  </r>
  <r>
    <s v="ORD-1460"/>
    <x v="260"/>
    <d v="2024-06-30T00:00:00"/>
    <x v="3"/>
    <x v="2"/>
    <x v="2"/>
    <x v="21"/>
    <n v="2863.51"/>
    <n v="2"/>
    <x v="3"/>
    <n v="212.09"/>
    <x v="176"/>
    <x v="1"/>
    <x v="6"/>
  </r>
  <r>
    <s v="ORD-1461"/>
    <x v="261"/>
    <d v="2024-03-15T00:00:00"/>
    <x v="3"/>
    <x v="2"/>
    <x v="8"/>
    <x v="13"/>
    <n v="2013.05"/>
    <n v="7"/>
    <x v="3"/>
    <n v="594.20000000000005"/>
    <x v="90"/>
    <x v="2"/>
    <x v="11"/>
  </r>
  <r>
    <s v="ORD-1462"/>
    <x v="262"/>
    <d v="2024-03-06T00:00:00"/>
    <x v="2"/>
    <x v="2"/>
    <x v="10"/>
    <x v="28"/>
    <n v="996.92"/>
    <n v="4"/>
    <x v="2"/>
    <n v="249.03"/>
    <x v="104"/>
    <x v="1"/>
    <x v="11"/>
  </r>
  <r>
    <s v="ORD-1463"/>
    <x v="163"/>
    <d v="2024-07-22T00:00:00"/>
    <x v="3"/>
    <x v="1"/>
    <x v="4"/>
    <x v="11"/>
    <n v="3042.72"/>
    <n v="18"/>
    <x v="2"/>
    <n v="263.63"/>
    <x v="132"/>
    <x v="0"/>
    <x v="10"/>
  </r>
  <r>
    <s v="ORD-1464"/>
    <x v="175"/>
    <d v="2024-06-04T00:00:00"/>
    <x v="3"/>
    <x v="1"/>
    <x v="4"/>
    <x v="11"/>
    <n v="3899.78"/>
    <n v="8"/>
    <x v="0"/>
    <n v="-702.93"/>
    <x v="32"/>
    <x v="1"/>
    <x v="6"/>
  </r>
  <r>
    <s v="ORD-1465"/>
    <x v="30"/>
    <d v="2024-05-22T00:00:00"/>
    <x v="2"/>
    <x v="1"/>
    <x v="1"/>
    <x v="1"/>
    <n v="2429.04"/>
    <n v="16"/>
    <x v="0"/>
    <n v="555.91999999999996"/>
    <x v="22"/>
    <x v="0"/>
    <x v="7"/>
  </r>
  <r>
    <s v="ORD-1466"/>
    <x v="263"/>
    <d v="2024-02-18T00:00:00"/>
    <x v="1"/>
    <x v="2"/>
    <x v="8"/>
    <x v="13"/>
    <n v="2569.92"/>
    <n v="2"/>
    <x v="1"/>
    <n v="402.59"/>
    <x v="67"/>
    <x v="2"/>
    <x v="8"/>
  </r>
  <r>
    <s v="ORD-1467"/>
    <x v="264"/>
    <d v="2024-10-02T00:00:00"/>
    <x v="1"/>
    <x v="2"/>
    <x v="10"/>
    <x v="17"/>
    <n v="3931.28"/>
    <n v="12"/>
    <x v="5"/>
    <n v="-1061.28"/>
    <x v="166"/>
    <x v="2"/>
    <x v="1"/>
  </r>
  <r>
    <s v="ORD-1468"/>
    <x v="249"/>
    <d v="2024-07-17T00:00:00"/>
    <x v="1"/>
    <x v="2"/>
    <x v="8"/>
    <x v="23"/>
    <n v="2899.85"/>
    <n v="18"/>
    <x v="3"/>
    <n v="617.15"/>
    <x v="121"/>
    <x v="1"/>
    <x v="10"/>
  </r>
  <r>
    <s v="ORD-1469"/>
    <x v="8"/>
    <d v="2024-10-19T00:00:00"/>
    <x v="3"/>
    <x v="2"/>
    <x v="9"/>
    <x v="27"/>
    <n v="3503.73"/>
    <n v="20"/>
    <x v="2"/>
    <n v="343.73"/>
    <x v="211"/>
    <x v="0"/>
    <x v="1"/>
  </r>
  <r>
    <s v="ORD-1470"/>
    <x v="257"/>
    <d v="2024-08-22T00:00:00"/>
    <x v="3"/>
    <x v="0"/>
    <x v="0"/>
    <x v="22"/>
    <n v="252.7"/>
    <n v="17"/>
    <x v="5"/>
    <n v="68.25"/>
    <x v="31"/>
    <x v="0"/>
    <x v="4"/>
  </r>
  <r>
    <s v="ORD-1471"/>
    <x v="231"/>
    <d v="2024-11-18T00:00:00"/>
    <x v="1"/>
    <x v="2"/>
    <x v="8"/>
    <x v="13"/>
    <n v="3876.86"/>
    <n v="13"/>
    <x v="4"/>
    <n v="803.37"/>
    <x v="63"/>
    <x v="2"/>
    <x v="0"/>
  </r>
  <r>
    <s v="ORD-1472"/>
    <x v="127"/>
    <d v="2024-10-11T00:00:00"/>
    <x v="3"/>
    <x v="2"/>
    <x v="9"/>
    <x v="30"/>
    <n v="1457.59"/>
    <n v="4"/>
    <x v="2"/>
    <n v="-361"/>
    <x v="169"/>
    <x v="1"/>
    <x v="1"/>
  </r>
  <r>
    <s v="ORD-1473"/>
    <x v="228"/>
    <d v="2024-03-09T00:00:00"/>
    <x v="0"/>
    <x v="1"/>
    <x v="1"/>
    <x v="10"/>
    <n v="968.56"/>
    <n v="2"/>
    <x v="2"/>
    <n v="234.9"/>
    <x v="83"/>
    <x v="1"/>
    <x v="11"/>
  </r>
  <r>
    <s v="ORD-1474"/>
    <x v="56"/>
    <d v="2024-09-11T00:00:00"/>
    <x v="0"/>
    <x v="2"/>
    <x v="10"/>
    <x v="28"/>
    <n v="299.07"/>
    <n v="7"/>
    <x v="0"/>
    <n v="59.04"/>
    <x v="29"/>
    <x v="1"/>
    <x v="9"/>
  </r>
  <r>
    <s v="ORD-1475"/>
    <x v="14"/>
    <d v="2024-02-17T00:00:00"/>
    <x v="0"/>
    <x v="2"/>
    <x v="9"/>
    <x v="27"/>
    <n v="3228.44"/>
    <n v="2"/>
    <x v="2"/>
    <n v="-418.87"/>
    <x v="132"/>
    <x v="1"/>
    <x v="8"/>
  </r>
  <r>
    <s v="ORD-1476"/>
    <x v="244"/>
    <d v="2024-02-10T00:00:00"/>
    <x v="0"/>
    <x v="1"/>
    <x v="4"/>
    <x v="11"/>
    <n v="629.59"/>
    <n v="8"/>
    <x v="2"/>
    <n v="104.26"/>
    <x v="55"/>
    <x v="2"/>
    <x v="8"/>
  </r>
  <r>
    <s v="ORD-1477"/>
    <x v="265"/>
    <d v="2024-12-05T00:00:00"/>
    <x v="1"/>
    <x v="0"/>
    <x v="6"/>
    <x v="8"/>
    <n v="3123.56"/>
    <n v="19"/>
    <x v="3"/>
    <n v="788.22"/>
    <x v="147"/>
    <x v="0"/>
    <x v="2"/>
  </r>
  <r>
    <s v="ORD-1478"/>
    <x v="266"/>
    <d v="2024-08-07T00:00:00"/>
    <x v="1"/>
    <x v="1"/>
    <x v="4"/>
    <x v="4"/>
    <n v="2142.6"/>
    <n v="6"/>
    <x v="2"/>
    <n v="748.9"/>
    <x v="67"/>
    <x v="0"/>
    <x v="4"/>
  </r>
  <r>
    <s v="ORD-1479"/>
    <x v="267"/>
    <d v="2024-07-04T00:00:00"/>
    <x v="3"/>
    <x v="2"/>
    <x v="9"/>
    <x v="30"/>
    <n v="1864.71"/>
    <n v="11"/>
    <x v="2"/>
    <n v="227.9"/>
    <x v="133"/>
    <x v="1"/>
    <x v="6"/>
  </r>
  <r>
    <s v="ORD-1480"/>
    <x v="165"/>
    <d v="2024-07-15T00:00:00"/>
    <x v="3"/>
    <x v="2"/>
    <x v="9"/>
    <x v="27"/>
    <n v="250.73"/>
    <n v="2"/>
    <x v="3"/>
    <n v="57.35"/>
    <x v="61"/>
    <x v="2"/>
    <x v="10"/>
  </r>
  <r>
    <s v="ORD-1481"/>
    <x v="146"/>
    <d v="2024-06-03T00:00:00"/>
    <x v="3"/>
    <x v="1"/>
    <x v="1"/>
    <x v="10"/>
    <n v="331.38"/>
    <n v="9"/>
    <x v="2"/>
    <n v="67.400000000000006"/>
    <x v="168"/>
    <x v="2"/>
    <x v="6"/>
  </r>
  <r>
    <s v="ORD-1482"/>
    <x v="18"/>
    <d v="2024-10-21T00:00:00"/>
    <x v="0"/>
    <x v="1"/>
    <x v="3"/>
    <x v="26"/>
    <n v="835.4"/>
    <n v="9"/>
    <x v="3"/>
    <n v="264.73"/>
    <x v="180"/>
    <x v="2"/>
    <x v="1"/>
  </r>
  <r>
    <s v="ORD-1483"/>
    <x v="226"/>
    <d v="2024-05-15T00:00:00"/>
    <x v="0"/>
    <x v="0"/>
    <x v="6"/>
    <x v="15"/>
    <n v="3003.5"/>
    <n v="11"/>
    <x v="5"/>
    <n v="305.97000000000003"/>
    <x v="190"/>
    <x v="2"/>
    <x v="7"/>
  </r>
  <r>
    <s v="ORD-1484"/>
    <x v="188"/>
    <d v="2024-12-20T00:00:00"/>
    <x v="3"/>
    <x v="1"/>
    <x v="4"/>
    <x v="4"/>
    <n v="544.29"/>
    <n v="2"/>
    <x v="3"/>
    <n v="84.03"/>
    <x v="146"/>
    <x v="2"/>
    <x v="2"/>
  </r>
  <r>
    <s v="ORD-1485"/>
    <x v="268"/>
    <d v="2024-08-02T00:00:00"/>
    <x v="1"/>
    <x v="0"/>
    <x v="5"/>
    <x v="5"/>
    <n v="3165.32"/>
    <n v="13"/>
    <x v="1"/>
    <n v="-447.69"/>
    <x v="92"/>
    <x v="2"/>
    <x v="4"/>
  </r>
  <r>
    <s v="ORD-1486"/>
    <x v="45"/>
    <d v="2024-10-05T00:00:00"/>
    <x v="3"/>
    <x v="0"/>
    <x v="7"/>
    <x v="29"/>
    <n v="439.45"/>
    <n v="13"/>
    <x v="5"/>
    <n v="121.22"/>
    <x v="212"/>
    <x v="1"/>
    <x v="1"/>
  </r>
  <r>
    <s v="ORD-1487"/>
    <x v="72"/>
    <d v="2024-02-19T00:00:00"/>
    <x v="2"/>
    <x v="2"/>
    <x v="9"/>
    <x v="14"/>
    <n v="745.71"/>
    <n v="3"/>
    <x v="5"/>
    <n v="-165.12"/>
    <x v="186"/>
    <x v="2"/>
    <x v="8"/>
  </r>
  <r>
    <s v="ORD-1488"/>
    <x v="118"/>
    <d v="2024-07-27T00:00:00"/>
    <x v="0"/>
    <x v="2"/>
    <x v="9"/>
    <x v="30"/>
    <n v="738.91"/>
    <n v="5"/>
    <x v="5"/>
    <n v="160.93"/>
    <x v="23"/>
    <x v="1"/>
    <x v="10"/>
  </r>
  <r>
    <s v="ORD-1489"/>
    <x v="52"/>
    <d v="2024-12-02T00:00:00"/>
    <x v="1"/>
    <x v="1"/>
    <x v="1"/>
    <x v="10"/>
    <n v="3162.89"/>
    <n v="11"/>
    <x v="0"/>
    <n v="-1035.03"/>
    <x v="89"/>
    <x v="0"/>
    <x v="0"/>
  </r>
  <r>
    <s v="ORD-1490"/>
    <x v="246"/>
    <d v="2024-12-15T00:00:00"/>
    <x v="2"/>
    <x v="2"/>
    <x v="2"/>
    <x v="2"/>
    <n v="1452.77"/>
    <n v="20"/>
    <x v="0"/>
    <n v="83.19"/>
    <x v="184"/>
    <x v="2"/>
    <x v="2"/>
  </r>
  <r>
    <s v="ORD-1491"/>
    <x v="34"/>
    <d v="2024-07-05T00:00:00"/>
    <x v="1"/>
    <x v="2"/>
    <x v="8"/>
    <x v="16"/>
    <n v="998.82"/>
    <n v="12"/>
    <x v="4"/>
    <n v="276.99"/>
    <x v="69"/>
    <x v="2"/>
    <x v="6"/>
  </r>
  <r>
    <s v="ORD-1492"/>
    <x v="31"/>
    <d v="2024-02-27T00:00:00"/>
    <x v="1"/>
    <x v="0"/>
    <x v="7"/>
    <x v="24"/>
    <n v="301.5"/>
    <n v="4"/>
    <x v="3"/>
    <n v="-55.78"/>
    <x v="123"/>
    <x v="1"/>
    <x v="8"/>
  </r>
  <r>
    <s v="ORD-1493"/>
    <x v="269"/>
    <d v="2024-04-20T00:00:00"/>
    <x v="1"/>
    <x v="0"/>
    <x v="0"/>
    <x v="22"/>
    <n v="2586.41"/>
    <n v="5"/>
    <x v="0"/>
    <n v="-671.5"/>
    <x v="79"/>
    <x v="2"/>
    <x v="3"/>
  </r>
  <r>
    <s v="ORD-1494"/>
    <x v="170"/>
    <d v="2024-10-25T00:00:00"/>
    <x v="3"/>
    <x v="1"/>
    <x v="1"/>
    <x v="10"/>
    <n v="1002.61"/>
    <n v="20"/>
    <x v="3"/>
    <n v="66.099999999999994"/>
    <x v="44"/>
    <x v="0"/>
    <x v="1"/>
  </r>
  <r>
    <s v="ORD-1495"/>
    <x v="270"/>
    <d v="2024-01-06T00:00:00"/>
    <x v="2"/>
    <x v="0"/>
    <x v="0"/>
    <x v="31"/>
    <n v="3491.06"/>
    <n v="1"/>
    <x v="3"/>
    <n v="1083.01"/>
    <x v="11"/>
    <x v="1"/>
    <x v="5"/>
  </r>
  <r>
    <s v="ORD-1496"/>
    <x v="271"/>
    <d v="2024-05-04T00:00:00"/>
    <x v="0"/>
    <x v="2"/>
    <x v="9"/>
    <x v="30"/>
    <n v="2243.35"/>
    <n v="6"/>
    <x v="4"/>
    <n v="449.11"/>
    <x v="165"/>
    <x v="0"/>
    <x v="3"/>
  </r>
  <r>
    <s v="ORD-1497"/>
    <x v="272"/>
    <d v="2024-12-30T00:00:00"/>
    <x v="0"/>
    <x v="1"/>
    <x v="4"/>
    <x v="4"/>
    <n v="1500.89"/>
    <n v="13"/>
    <x v="0"/>
    <n v="145.74"/>
    <x v="130"/>
    <x v="0"/>
    <x v="2"/>
  </r>
  <r>
    <s v="ORD-1498"/>
    <x v="267"/>
    <d v="2024-07-04T00:00:00"/>
    <x v="3"/>
    <x v="1"/>
    <x v="4"/>
    <x v="4"/>
    <n v="3294.6"/>
    <n v="9"/>
    <x v="5"/>
    <n v="1044.79"/>
    <x v="213"/>
    <x v="1"/>
    <x v="6"/>
  </r>
  <r>
    <s v="ORD-1499"/>
    <x v="100"/>
    <d v="2024-01-20T00:00:00"/>
    <x v="1"/>
    <x v="1"/>
    <x v="3"/>
    <x v="25"/>
    <n v="2713.49"/>
    <n v="3"/>
    <x v="0"/>
    <n v="446.81"/>
    <x v="98"/>
    <x v="0"/>
    <x v="5"/>
  </r>
  <r>
    <s v="ORD-1500"/>
    <x v="126"/>
    <d v="2024-11-12T00:00:00"/>
    <x v="2"/>
    <x v="1"/>
    <x v="4"/>
    <x v="11"/>
    <n v="1849.24"/>
    <n v="10"/>
    <x v="2"/>
    <n v="275.14"/>
    <x v="188"/>
    <x v="1"/>
    <x v="0"/>
  </r>
  <r>
    <s v="ORD-1501"/>
    <x v="273"/>
    <d v="2024-04-17T00:00:00"/>
    <x v="1"/>
    <x v="1"/>
    <x v="3"/>
    <x v="32"/>
    <n v="1862.74"/>
    <n v="5"/>
    <x v="0"/>
    <n v="614.53"/>
    <x v="195"/>
    <x v="2"/>
    <x v="3"/>
  </r>
  <r>
    <s v="ORD-1502"/>
    <x v="200"/>
    <d v="2024-06-12T00:00:00"/>
    <x v="0"/>
    <x v="1"/>
    <x v="3"/>
    <x v="32"/>
    <n v="2976.55"/>
    <n v="11"/>
    <x v="5"/>
    <n v="1007.14"/>
    <x v="214"/>
    <x v="0"/>
    <x v="6"/>
  </r>
  <r>
    <s v="ORD-1503"/>
    <x v="44"/>
    <d v="2024-11-26T00:00:00"/>
    <x v="1"/>
    <x v="1"/>
    <x v="1"/>
    <x v="1"/>
    <n v="942.8"/>
    <n v="20"/>
    <x v="2"/>
    <n v="122.62"/>
    <x v="155"/>
    <x v="1"/>
    <x v="0"/>
  </r>
  <r>
    <s v="ORD-1504"/>
    <x v="271"/>
    <d v="2024-05-01T00:00:00"/>
    <x v="1"/>
    <x v="0"/>
    <x v="5"/>
    <x v="19"/>
    <n v="548.03"/>
    <n v="16"/>
    <x v="4"/>
    <n v="109.99"/>
    <x v="202"/>
    <x v="1"/>
    <x v="3"/>
  </r>
  <r>
    <s v="ORD-1505"/>
    <x v="272"/>
    <d v="2025-01-04T00:00:00"/>
    <x v="1"/>
    <x v="2"/>
    <x v="9"/>
    <x v="27"/>
    <n v="765.67"/>
    <n v="7"/>
    <x v="4"/>
    <n v="45.69"/>
    <x v="52"/>
    <x v="2"/>
    <x v="2"/>
  </r>
  <r>
    <s v="ORD-1506"/>
    <x v="74"/>
    <d v="2024-01-12T00:00:00"/>
    <x v="2"/>
    <x v="1"/>
    <x v="4"/>
    <x v="11"/>
    <n v="3091.66"/>
    <n v="3"/>
    <x v="4"/>
    <n v="1014.47"/>
    <x v="164"/>
    <x v="2"/>
    <x v="5"/>
  </r>
  <r>
    <s v="ORD-1507"/>
    <x v="57"/>
    <d v="2024-11-18T00:00:00"/>
    <x v="3"/>
    <x v="2"/>
    <x v="10"/>
    <x v="17"/>
    <n v="1768.25"/>
    <n v="2"/>
    <x v="2"/>
    <n v="478.49"/>
    <x v="215"/>
    <x v="2"/>
    <x v="0"/>
  </r>
  <r>
    <s v="ORD-1508"/>
    <x v="23"/>
    <d v="2024-06-15T00:00:00"/>
    <x v="0"/>
    <x v="0"/>
    <x v="5"/>
    <x v="19"/>
    <n v="1963.38"/>
    <n v="2"/>
    <x v="4"/>
    <n v="403.69"/>
    <x v="37"/>
    <x v="0"/>
    <x v="6"/>
  </r>
  <r>
    <s v="ORD-1509"/>
    <x v="32"/>
    <d v="2024-01-27T00:00:00"/>
    <x v="0"/>
    <x v="1"/>
    <x v="3"/>
    <x v="25"/>
    <n v="1742.65"/>
    <n v="10"/>
    <x v="3"/>
    <n v="328.32"/>
    <x v="100"/>
    <x v="1"/>
    <x v="5"/>
  </r>
  <r>
    <s v="ORD-1510"/>
    <x v="126"/>
    <d v="2024-11-09T00:00:00"/>
    <x v="1"/>
    <x v="2"/>
    <x v="9"/>
    <x v="14"/>
    <n v="2959.93"/>
    <n v="4"/>
    <x v="4"/>
    <n v="839.49"/>
    <x v="2"/>
    <x v="1"/>
    <x v="0"/>
  </r>
  <r>
    <s v="ORD-1511"/>
    <x v="112"/>
    <d v="2024-12-24T00:00:00"/>
    <x v="2"/>
    <x v="2"/>
    <x v="2"/>
    <x v="21"/>
    <n v="343.42"/>
    <n v="15"/>
    <x v="2"/>
    <n v="109.55"/>
    <x v="26"/>
    <x v="2"/>
    <x v="2"/>
  </r>
  <r>
    <s v="ORD-1512"/>
    <x v="274"/>
    <d v="2024-08-21T00:00:00"/>
    <x v="3"/>
    <x v="2"/>
    <x v="10"/>
    <x v="28"/>
    <n v="591.97"/>
    <n v="15"/>
    <x v="0"/>
    <n v="94.05"/>
    <x v="91"/>
    <x v="1"/>
    <x v="4"/>
  </r>
  <r>
    <s v="ORD-1513"/>
    <x v="234"/>
    <d v="2024-07-17T00:00:00"/>
    <x v="2"/>
    <x v="0"/>
    <x v="6"/>
    <x v="8"/>
    <n v="3130.98"/>
    <n v="11"/>
    <x v="2"/>
    <n v="974.96"/>
    <x v="202"/>
    <x v="1"/>
    <x v="10"/>
  </r>
  <r>
    <s v="ORD-1514"/>
    <x v="217"/>
    <d v="2024-03-26T00:00:00"/>
    <x v="1"/>
    <x v="0"/>
    <x v="5"/>
    <x v="19"/>
    <n v="1405.23"/>
    <n v="15"/>
    <x v="3"/>
    <n v="-334.35"/>
    <x v="69"/>
    <x v="1"/>
    <x v="11"/>
  </r>
  <r>
    <s v="ORD-1515"/>
    <x v="275"/>
    <d v="2024-03-11T00:00:00"/>
    <x v="0"/>
    <x v="0"/>
    <x v="0"/>
    <x v="9"/>
    <n v="1969.91"/>
    <n v="16"/>
    <x v="2"/>
    <n v="575.67999999999995"/>
    <x v="76"/>
    <x v="2"/>
    <x v="11"/>
  </r>
  <r>
    <s v="ORD-1516"/>
    <x v="276"/>
    <d v="2024-09-12T00:00:00"/>
    <x v="1"/>
    <x v="0"/>
    <x v="6"/>
    <x v="6"/>
    <n v="1788.07"/>
    <n v="3"/>
    <x v="2"/>
    <n v="411.31"/>
    <x v="62"/>
    <x v="1"/>
    <x v="9"/>
  </r>
  <r>
    <s v="ORD-1517"/>
    <x v="277"/>
    <d v="2024-10-11T00:00:00"/>
    <x v="1"/>
    <x v="1"/>
    <x v="1"/>
    <x v="1"/>
    <n v="456.49"/>
    <n v="12"/>
    <x v="1"/>
    <n v="-42.73"/>
    <x v="107"/>
    <x v="2"/>
    <x v="1"/>
  </r>
  <r>
    <s v="ORD-1518"/>
    <x v="278"/>
    <d v="2024-10-26T00:00:00"/>
    <x v="3"/>
    <x v="1"/>
    <x v="1"/>
    <x v="1"/>
    <n v="1813.59"/>
    <n v="6"/>
    <x v="4"/>
    <n v="456.35"/>
    <x v="58"/>
    <x v="1"/>
    <x v="1"/>
  </r>
  <r>
    <s v="ORD-1519"/>
    <x v="279"/>
    <d v="2024-12-22T00:00:00"/>
    <x v="2"/>
    <x v="0"/>
    <x v="0"/>
    <x v="9"/>
    <n v="599.22"/>
    <n v="10"/>
    <x v="3"/>
    <n v="96.22"/>
    <x v="210"/>
    <x v="0"/>
    <x v="2"/>
  </r>
  <r>
    <s v="ORD-1520"/>
    <x v="24"/>
    <d v="2024-02-10T00:00:00"/>
    <x v="0"/>
    <x v="2"/>
    <x v="9"/>
    <x v="14"/>
    <n v="707.59"/>
    <n v="9"/>
    <x v="3"/>
    <n v="147.26"/>
    <x v="152"/>
    <x v="0"/>
    <x v="8"/>
  </r>
  <r>
    <s v="ORD-1521"/>
    <x v="112"/>
    <d v="2024-12-25T00:00:00"/>
    <x v="0"/>
    <x v="1"/>
    <x v="4"/>
    <x v="11"/>
    <n v="2063.7399999999998"/>
    <n v="20"/>
    <x v="0"/>
    <n v="280.99"/>
    <x v="165"/>
    <x v="2"/>
    <x v="2"/>
  </r>
  <r>
    <s v="ORD-1522"/>
    <x v="200"/>
    <d v="2024-06-15T00:00:00"/>
    <x v="3"/>
    <x v="1"/>
    <x v="4"/>
    <x v="4"/>
    <n v="2198.9"/>
    <n v="16"/>
    <x v="5"/>
    <n v="642.95000000000005"/>
    <x v="94"/>
    <x v="2"/>
    <x v="6"/>
  </r>
  <r>
    <s v="ORD-1523"/>
    <x v="280"/>
    <d v="2024-05-03T00:00:00"/>
    <x v="1"/>
    <x v="1"/>
    <x v="1"/>
    <x v="1"/>
    <n v="1993.32"/>
    <n v="4"/>
    <x v="0"/>
    <n v="606.80999999999995"/>
    <x v="216"/>
    <x v="2"/>
    <x v="3"/>
  </r>
  <r>
    <s v="ORD-1524"/>
    <x v="92"/>
    <d v="2024-08-06T00:00:00"/>
    <x v="0"/>
    <x v="2"/>
    <x v="2"/>
    <x v="33"/>
    <n v="3272.66"/>
    <n v="7"/>
    <x v="1"/>
    <n v="792.59"/>
    <x v="0"/>
    <x v="2"/>
    <x v="10"/>
  </r>
  <r>
    <s v="ORD-1525"/>
    <x v="36"/>
    <d v="2024-05-11T00:00:00"/>
    <x v="3"/>
    <x v="2"/>
    <x v="2"/>
    <x v="2"/>
    <n v="676.89"/>
    <n v="11"/>
    <x v="3"/>
    <n v="114.27"/>
    <x v="181"/>
    <x v="2"/>
    <x v="7"/>
  </r>
  <r>
    <s v="ORD-1526"/>
    <x v="82"/>
    <d v="2024-01-17T00:00:00"/>
    <x v="1"/>
    <x v="2"/>
    <x v="2"/>
    <x v="33"/>
    <n v="2046.66"/>
    <n v="16"/>
    <x v="1"/>
    <n v="498.76"/>
    <x v="101"/>
    <x v="1"/>
    <x v="5"/>
  </r>
  <r>
    <s v="ORD-1527"/>
    <x v="130"/>
    <d v="2024-11-24T00:00:00"/>
    <x v="3"/>
    <x v="2"/>
    <x v="9"/>
    <x v="30"/>
    <n v="460.08"/>
    <n v="17"/>
    <x v="3"/>
    <n v="100.98"/>
    <x v="217"/>
    <x v="2"/>
    <x v="0"/>
  </r>
  <r>
    <s v="ORD-1528"/>
    <x v="202"/>
    <d v="2024-10-11T00:00:00"/>
    <x v="1"/>
    <x v="0"/>
    <x v="0"/>
    <x v="31"/>
    <n v="498.3"/>
    <n v="5"/>
    <x v="3"/>
    <n v="150.6"/>
    <x v="109"/>
    <x v="2"/>
    <x v="1"/>
  </r>
  <r>
    <s v="ORD-1529"/>
    <x v="165"/>
    <d v="2024-07-13T00:00:00"/>
    <x v="2"/>
    <x v="1"/>
    <x v="4"/>
    <x v="11"/>
    <n v="3492.23"/>
    <n v="10"/>
    <x v="0"/>
    <n v="1073.32"/>
    <x v="101"/>
    <x v="1"/>
    <x v="10"/>
  </r>
  <r>
    <s v="ORD-1530"/>
    <x v="281"/>
    <d v="2024-05-25T00:00:00"/>
    <x v="0"/>
    <x v="2"/>
    <x v="10"/>
    <x v="17"/>
    <n v="1944.65"/>
    <n v="10"/>
    <x v="4"/>
    <n v="403.57"/>
    <x v="159"/>
    <x v="0"/>
    <x v="7"/>
  </r>
  <r>
    <s v="ORD-1531"/>
    <x v="215"/>
    <d v="2024-07-10T00:00:00"/>
    <x v="1"/>
    <x v="1"/>
    <x v="3"/>
    <x v="3"/>
    <n v="3246.34"/>
    <n v="17"/>
    <x v="4"/>
    <n v="347.56"/>
    <x v="98"/>
    <x v="1"/>
    <x v="10"/>
  </r>
  <r>
    <s v="ORD-1532"/>
    <x v="63"/>
    <d v="2024-09-29T00:00:00"/>
    <x v="3"/>
    <x v="1"/>
    <x v="1"/>
    <x v="20"/>
    <n v="2787.69"/>
    <n v="5"/>
    <x v="4"/>
    <n v="745.35"/>
    <x v="165"/>
    <x v="1"/>
    <x v="9"/>
  </r>
  <r>
    <s v="ORD-1533"/>
    <x v="211"/>
    <d v="2025-01-01T00:00:00"/>
    <x v="0"/>
    <x v="2"/>
    <x v="8"/>
    <x v="13"/>
    <n v="3430.47"/>
    <n v="3"/>
    <x v="3"/>
    <n v="-652"/>
    <x v="202"/>
    <x v="2"/>
    <x v="2"/>
  </r>
  <r>
    <s v="ORD-1534"/>
    <x v="199"/>
    <d v="2024-09-27T00:00:00"/>
    <x v="0"/>
    <x v="0"/>
    <x v="0"/>
    <x v="0"/>
    <n v="1453.3"/>
    <n v="7"/>
    <x v="3"/>
    <n v="193.28"/>
    <x v="218"/>
    <x v="2"/>
    <x v="9"/>
  </r>
  <r>
    <s v="ORD-1535"/>
    <x v="282"/>
    <d v="2024-08-14T00:00:00"/>
    <x v="3"/>
    <x v="1"/>
    <x v="1"/>
    <x v="10"/>
    <n v="679.23"/>
    <n v="20"/>
    <x v="2"/>
    <n v="138.71"/>
    <x v="149"/>
    <x v="2"/>
    <x v="4"/>
  </r>
  <r>
    <s v="ORD-1536"/>
    <x v="34"/>
    <d v="2024-07-03T00:00:00"/>
    <x v="3"/>
    <x v="1"/>
    <x v="4"/>
    <x v="4"/>
    <n v="2402.81"/>
    <n v="6"/>
    <x v="1"/>
    <n v="344.59"/>
    <x v="168"/>
    <x v="1"/>
    <x v="6"/>
  </r>
  <r>
    <s v="ORD-1537"/>
    <x v="45"/>
    <d v="2024-10-10T00:00:00"/>
    <x v="0"/>
    <x v="1"/>
    <x v="1"/>
    <x v="10"/>
    <n v="3637.35"/>
    <n v="2"/>
    <x v="1"/>
    <n v="-600.45000000000005"/>
    <x v="74"/>
    <x v="0"/>
    <x v="1"/>
  </r>
  <r>
    <s v="ORD-1538"/>
    <x v="245"/>
    <d v="2024-07-21T00:00:00"/>
    <x v="2"/>
    <x v="0"/>
    <x v="0"/>
    <x v="31"/>
    <n v="1496.25"/>
    <n v="7"/>
    <x v="0"/>
    <n v="415.24"/>
    <x v="62"/>
    <x v="1"/>
    <x v="10"/>
  </r>
  <r>
    <s v="ORD-1539"/>
    <x v="14"/>
    <d v="2024-02-17T00:00:00"/>
    <x v="1"/>
    <x v="1"/>
    <x v="4"/>
    <x v="4"/>
    <n v="614.74"/>
    <n v="10"/>
    <x v="0"/>
    <n v="149.58000000000001"/>
    <x v="95"/>
    <x v="0"/>
    <x v="8"/>
  </r>
  <r>
    <s v="ORD-1540"/>
    <x v="64"/>
    <d v="2024-08-31T00:00:00"/>
    <x v="1"/>
    <x v="1"/>
    <x v="4"/>
    <x v="4"/>
    <n v="3673.23"/>
    <n v="13"/>
    <x v="4"/>
    <n v="954.62"/>
    <x v="65"/>
    <x v="0"/>
    <x v="4"/>
  </r>
  <r>
    <s v="ORD-1541"/>
    <x v="283"/>
    <d v="2024-06-22T00:00:00"/>
    <x v="2"/>
    <x v="1"/>
    <x v="1"/>
    <x v="10"/>
    <n v="673.33"/>
    <n v="16"/>
    <x v="5"/>
    <n v="204.51"/>
    <x v="136"/>
    <x v="2"/>
    <x v="6"/>
  </r>
  <r>
    <s v="ORD-1542"/>
    <x v="172"/>
    <d v="2024-06-29T00:00:00"/>
    <x v="0"/>
    <x v="2"/>
    <x v="8"/>
    <x v="23"/>
    <n v="2335.56"/>
    <n v="3"/>
    <x v="3"/>
    <n v="490.06"/>
    <x v="119"/>
    <x v="2"/>
    <x v="6"/>
  </r>
  <r>
    <s v="ORD-1543"/>
    <x v="253"/>
    <d v="2024-08-02T00:00:00"/>
    <x v="1"/>
    <x v="0"/>
    <x v="7"/>
    <x v="24"/>
    <n v="1689.31"/>
    <n v="11"/>
    <x v="4"/>
    <n v="496.95"/>
    <x v="19"/>
    <x v="0"/>
    <x v="10"/>
  </r>
  <r>
    <s v="ORD-1544"/>
    <x v="243"/>
    <d v="2024-08-15T00:00:00"/>
    <x v="1"/>
    <x v="1"/>
    <x v="4"/>
    <x v="11"/>
    <n v="3022.63"/>
    <n v="19"/>
    <x v="5"/>
    <n v="254.8"/>
    <x v="219"/>
    <x v="1"/>
    <x v="4"/>
  </r>
  <r>
    <s v="ORD-1545"/>
    <x v="283"/>
    <d v="2024-06-16T00:00:00"/>
    <x v="2"/>
    <x v="1"/>
    <x v="3"/>
    <x v="25"/>
    <n v="511.03"/>
    <n v="4"/>
    <x v="0"/>
    <n v="150.36000000000001"/>
    <x v="27"/>
    <x v="1"/>
    <x v="6"/>
  </r>
  <r>
    <s v="ORD-1546"/>
    <x v="38"/>
    <d v="2024-07-18T00:00:00"/>
    <x v="2"/>
    <x v="0"/>
    <x v="5"/>
    <x v="18"/>
    <n v="1066.04"/>
    <n v="5"/>
    <x v="2"/>
    <n v="342.17"/>
    <x v="94"/>
    <x v="1"/>
    <x v="10"/>
  </r>
  <r>
    <s v="ORD-1547"/>
    <x v="13"/>
    <d v="2024-01-03T00:00:00"/>
    <x v="1"/>
    <x v="2"/>
    <x v="2"/>
    <x v="21"/>
    <n v="2558.4"/>
    <n v="15"/>
    <x v="4"/>
    <n v="285.77"/>
    <x v="220"/>
    <x v="2"/>
    <x v="5"/>
  </r>
  <r>
    <s v="ORD-1548"/>
    <x v="256"/>
    <d v="2024-06-06T00:00:00"/>
    <x v="2"/>
    <x v="0"/>
    <x v="0"/>
    <x v="9"/>
    <n v="2435.23"/>
    <n v="20"/>
    <x v="2"/>
    <n v="-417.06"/>
    <x v="94"/>
    <x v="2"/>
    <x v="6"/>
  </r>
  <r>
    <s v="ORD-1549"/>
    <x v="116"/>
    <d v="2024-05-30T00:00:00"/>
    <x v="3"/>
    <x v="0"/>
    <x v="5"/>
    <x v="18"/>
    <n v="2887.58"/>
    <n v="12"/>
    <x v="1"/>
    <n v="890.46"/>
    <x v="95"/>
    <x v="0"/>
    <x v="7"/>
  </r>
  <r>
    <s v="ORD-1550"/>
    <x v="284"/>
    <d v="2024-05-06T00:00:00"/>
    <x v="2"/>
    <x v="0"/>
    <x v="0"/>
    <x v="22"/>
    <n v="1772.62"/>
    <n v="14"/>
    <x v="2"/>
    <n v="200.95"/>
    <x v="68"/>
    <x v="1"/>
    <x v="3"/>
  </r>
  <r>
    <s v="ORD-1551"/>
    <x v="285"/>
    <d v="2024-03-15T00:00:00"/>
    <x v="2"/>
    <x v="2"/>
    <x v="9"/>
    <x v="14"/>
    <n v="1331.77"/>
    <n v="5"/>
    <x v="4"/>
    <n v="71.22"/>
    <x v="178"/>
    <x v="0"/>
    <x v="11"/>
  </r>
  <r>
    <s v="ORD-1552"/>
    <x v="286"/>
    <d v="2024-03-21T00:00:00"/>
    <x v="2"/>
    <x v="1"/>
    <x v="1"/>
    <x v="1"/>
    <n v="2658.41"/>
    <n v="14"/>
    <x v="5"/>
    <n v="845.57"/>
    <x v="1"/>
    <x v="1"/>
    <x v="11"/>
  </r>
  <r>
    <s v="ORD-1553"/>
    <x v="119"/>
    <d v="2024-08-07T00:00:00"/>
    <x v="2"/>
    <x v="0"/>
    <x v="6"/>
    <x v="6"/>
    <n v="1692.68"/>
    <n v="8"/>
    <x v="4"/>
    <n v="-300.33"/>
    <x v="110"/>
    <x v="2"/>
    <x v="4"/>
  </r>
  <r>
    <s v="ORD-1554"/>
    <x v="162"/>
    <d v="2024-09-15T00:00:00"/>
    <x v="3"/>
    <x v="2"/>
    <x v="2"/>
    <x v="2"/>
    <n v="3918.38"/>
    <n v="19"/>
    <x v="5"/>
    <n v="-1024.52"/>
    <x v="53"/>
    <x v="2"/>
    <x v="9"/>
  </r>
  <r>
    <s v="ORD-1555"/>
    <x v="287"/>
    <d v="2024-09-04T00:00:00"/>
    <x v="1"/>
    <x v="0"/>
    <x v="0"/>
    <x v="22"/>
    <n v="2188.56"/>
    <n v="17"/>
    <x v="2"/>
    <n v="167.5"/>
    <x v="153"/>
    <x v="2"/>
    <x v="9"/>
  </r>
  <r>
    <s v="ORD-1556"/>
    <x v="37"/>
    <d v="2024-12-06T00:00:00"/>
    <x v="3"/>
    <x v="0"/>
    <x v="5"/>
    <x v="19"/>
    <n v="2256.37"/>
    <n v="1"/>
    <x v="5"/>
    <n v="420.16"/>
    <x v="116"/>
    <x v="0"/>
    <x v="2"/>
  </r>
  <r>
    <s v="ORD-1557"/>
    <x v="205"/>
    <d v="2024-10-25T00:00:00"/>
    <x v="2"/>
    <x v="2"/>
    <x v="2"/>
    <x v="21"/>
    <n v="878.16"/>
    <n v="20"/>
    <x v="0"/>
    <n v="124.01"/>
    <x v="217"/>
    <x v="0"/>
    <x v="1"/>
  </r>
  <r>
    <s v="ORD-1558"/>
    <x v="288"/>
    <d v="2024-05-13T00:00:00"/>
    <x v="2"/>
    <x v="0"/>
    <x v="7"/>
    <x v="12"/>
    <n v="443.57"/>
    <n v="10"/>
    <x v="0"/>
    <n v="105.26"/>
    <x v="80"/>
    <x v="1"/>
    <x v="7"/>
  </r>
  <r>
    <s v="ORD-1559"/>
    <x v="289"/>
    <d v="2024-02-14T00:00:00"/>
    <x v="0"/>
    <x v="2"/>
    <x v="2"/>
    <x v="2"/>
    <n v="2559.2399999999998"/>
    <n v="9"/>
    <x v="3"/>
    <n v="-138.87"/>
    <x v="126"/>
    <x v="0"/>
    <x v="8"/>
  </r>
  <r>
    <s v="ORD-1560"/>
    <x v="290"/>
    <d v="2024-04-01T00:00:00"/>
    <x v="2"/>
    <x v="2"/>
    <x v="10"/>
    <x v="17"/>
    <n v="3184.48"/>
    <n v="8"/>
    <x v="5"/>
    <n v="331.96"/>
    <x v="217"/>
    <x v="2"/>
    <x v="11"/>
  </r>
  <r>
    <s v="ORD-1561"/>
    <x v="291"/>
    <d v="2024-01-22T00:00:00"/>
    <x v="0"/>
    <x v="1"/>
    <x v="4"/>
    <x v="11"/>
    <n v="3391.05"/>
    <n v="14"/>
    <x v="5"/>
    <n v="411.62"/>
    <x v="96"/>
    <x v="1"/>
    <x v="5"/>
  </r>
  <r>
    <s v="ORD-1562"/>
    <x v="44"/>
    <d v="2024-11-24T00:00:00"/>
    <x v="1"/>
    <x v="0"/>
    <x v="0"/>
    <x v="9"/>
    <n v="2658.48"/>
    <n v="4"/>
    <x v="1"/>
    <n v="266.58999999999997"/>
    <x v="90"/>
    <x v="2"/>
    <x v="0"/>
  </r>
  <r>
    <s v="ORD-1563"/>
    <x v="146"/>
    <d v="2024-06-10T00:00:00"/>
    <x v="1"/>
    <x v="2"/>
    <x v="9"/>
    <x v="27"/>
    <n v="1234.8399999999999"/>
    <n v="17"/>
    <x v="5"/>
    <n v="66.14"/>
    <x v="221"/>
    <x v="1"/>
    <x v="6"/>
  </r>
  <r>
    <s v="ORD-1564"/>
    <x v="108"/>
    <d v="2024-08-23T00:00:00"/>
    <x v="3"/>
    <x v="0"/>
    <x v="5"/>
    <x v="18"/>
    <n v="3691.42"/>
    <n v="12"/>
    <x v="5"/>
    <n v="860.64"/>
    <x v="7"/>
    <x v="1"/>
    <x v="4"/>
  </r>
  <r>
    <s v="ORD-1565"/>
    <x v="281"/>
    <d v="2024-05-24T00:00:00"/>
    <x v="3"/>
    <x v="2"/>
    <x v="8"/>
    <x v="23"/>
    <n v="2703.79"/>
    <n v="13"/>
    <x v="5"/>
    <n v="762.32"/>
    <x v="1"/>
    <x v="2"/>
    <x v="7"/>
  </r>
  <r>
    <s v="ORD-1566"/>
    <x v="292"/>
    <d v="2024-12-13T00:00:00"/>
    <x v="3"/>
    <x v="0"/>
    <x v="7"/>
    <x v="24"/>
    <n v="2303.5500000000002"/>
    <n v="1"/>
    <x v="1"/>
    <n v="-123.44"/>
    <x v="129"/>
    <x v="0"/>
    <x v="2"/>
  </r>
  <r>
    <s v="ORD-1567"/>
    <x v="293"/>
    <d v="2024-03-01T00:00:00"/>
    <x v="3"/>
    <x v="1"/>
    <x v="4"/>
    <x v="4"/>
    <n v="1194.6099999999999"/>
    <n v="2"/>
    <x v="1"/>
    <n v="-281.70999999999998"/>
    <x v="178"/>
    <x v="0"/>
    <x v="8"/>
  </r>
  <r>
    <s v="ORD-1568"/>
    <x v="106"/>
    <d v="2024-11-03T00:00:00"/>
    <x v="0"/>
    <x v="0"/>
    <x v="5"/>
    <x v="18"/>
    <n v="3461.65"/>
    <n v="5"/>
    <x v="5"/>
    <n v="854.75"/>
    <x v="73"/>
    <x v="2"/>
    <x v="1"/>
  </r>
  <r>
    <s v="ORD-1569"/>
    <x v="25"/>
    <d v="2024-10-18T00:00:00"/>
    <x v="0"/>
    <x v="0"/>
    <x v="7"/>
    <x v="24"/>
    <n v="1354.63"/>
    <n v="3"/>
    <x v="0"/>
    <n v="252.01"/>
    <x v="222"/>
    <x v="1"/>
    <x v="1"/>
  </r>
  <r>
    <s v="ORD-1570"/>
    <x v="266"/>
    <d v="2024-08-11T00:00:00"/>
    <x v="3"/>
    <x v="1"/>
    <x v="1"/>
    <x v="10"/>
    <n v="3164.15"/>
    <n v="13"/>
    <x v="5"/>
    <n v="-473.98"/>
    <x v="139"/>
    <x v="1"/>
    <x v="4"/>
  </r>
  <r>
    <s v="ORD-1571"/>
    <x v="22"/>
    <d v="2024-05-17T00:00:00"/>
    <x v="2"/>
    <x v="1"/>
    <x v="3"/>
    <x v="32"/>
    <n v="2538.63"/>
    <n v="6"/>
    <x v="0"/>
    <n v="-501.68"/>
    <x v="165"/>
    <x v="1"/>
    <x v="7"/>
  </r>
  <r>
    <s v="ORD-1572"/>
    <x v="294"/>
    <d v="2024-08-11T00:00:00"/>
    <x v="0"/>
    <x v="2"/>
    <x v="2"/>
    <x v="2"/>
    <n v="380.73"/>
    <n v="3"/>
    <x v="2"/>
    <n v="102.14"/>
    <x v="170"/>
    <x v="2"/>
    <x v="4"/>
  </r>
  <r>
    <s v="ORD-1573"/>
    <x v="295"/>
    <d v="2024-01-17T00:00:00"/>
    <x v="1"/>
    <x v="0"/>
    <x v="5"/>
    <x v="18"/>
    <n v="2742.27"/>
    <n v="9"/>
    <x v="4"/>
    <n v="713.04"/>
    <x v="64"/>
    <x v="0"/>
    <x v="5"/>
  </r>
  <r>
    <s v="ORD-1574"/>
    <x v="47"/>
    <d v="2024-10-21T00:00:00"/>
    <x v="2"/>
    <x v="2"/>
    <x v="9"/>
    <x v="27"/>
    <n v="3415.18"/>
    <n v="3"/>
    <x v="2"/>
    <n v="402.15"/>
    <x v="39"/>
    <x v="1"/>
    <x v="1"/>
  </r>
  <r>
    <s v="ORD-1575"/>
    <x v="67"/>
    <d v="2024-12-25T00:00:00"/>
    <x v="0"/>
    <x v="0"/>
    <x v="0"/>
    <x v="31"/>
    <n v="2806.88"/>
    <n v="13"/>
    <x v="1"/>
    <n v="672.76"/>
    <x v="13"/>
    <x v="2"/>
    <x v="2"/>
  </r>
  <r>
    <s v="ORD-1576"/>
    <x v="72"/>
    <d v="2024-02-21T00:00:00"/>
    <x v="3"/>
    <x v="1"/>
    <x v="3"/>
    <x v="26"/>
    <n v="2679.22"/>
    <n v="6"/>
    <x v="2"/>
    <n v="165.57"/>
    <x v="215"/>
    <x v="1"/>
    <x v="8"/>
  </r>
  <r>
    <s v="ORD-1577"/>
    <x v="132"/>
    <d v="2024-04-11T00:00:00"/>
    <x v="2"/>
    <x v="1"/>
    <x v="4"/>
    <x v="4"/>
    <n v="2074.39"/>
    <n v="15"/>
    <x v="0"/>
    <n v="-221.63"/>
    <x v="67"/>
    <x v="2"/>
    <x v="3"/>
  </r>
  <r>
    <s v="ORD-1578"/>
    <x v="197"/>
    <d v="2024-01-16T00:00:00"/>
    <x v="2"/>
    <x v="2"/>
    <x v="8"/>
    <x v="13"/>
    <n v="2662.78"/>
    <n v="16"/>
    <x v="2"/>
    <n v="903.98"/>
    <x v="223"/>
    <x v="2"/>
    <x v="5"/>
  </r>
  <r>
    <s v="ORD-1579"/>
    <x v="160"/>
    <d v="2024-01-09T00:00:00"/>
    <x v="3"/>
    <x v="1"/>
    <x v="3"/>
    <x v="3"/>
    <n v="1770.65"/>
    <n v="7"/>
    <x v="0"/>
    <n v="443.01"/>
    <x v="2"/>
    <x v="2"/>
    <x v="5"/>
  </r>
  <r>
    <s v="ORD-1580"/>
    <x v="229"/>
    <d v="2024-12-15T00:00:00"/>
    <x v="1"/>
    <x v="1"/>
    <x v="1"/>
    <x v="20"/>
    <n v="780.96"/>
    <n v="1"/>
    <x v="5"/>
    <n v="251.59"/>
    <x v="40"/>
    <x v="2"/>
    <x v="2"/>
  </r>
  <r>
    <s v="ORD-1581"/>
    <x v="167"/>
    <d v="2024-05-06T00:00:00"/>
    <x v="0"/>
    <x v="1"/>
    <x v="4"/>
    <x v="11"/>
    <n v="3642.48"/>
    <n v="4"/>
    <x v="5"/>
    <n v="850.04"/>
    <x v="186"/>
    <x v="0"/>
    <x v="7"/>
  </r>
  <r>
    <s v="ORD-1582"/>
    <x v="113"/>
    <d v="2024-02-03T00:00:00"/>
    <x v="0"/>
    <x v="2"/>
    <x v="10"/>
    <x v="28"/>
    <n v="3266.7"/>
    <n v="14"/>
    <x v="3"/>
    <n v="958.63"/>
    <x v="83"/>
    <x v="2"/>
    <x v="8"/>
  </r>
  <r>
    <s v="ORD-1583"/>
    <x v="229"/>
    <d v="2024-12-19T00:00:00"/>
    <x v="3"/>
    <x v="1"/>
    <x v="4"/>
    <x v="11"/>
    <n v="1455.96"/>
    <n v="7"/>
    <x v="1"/>
    <n v="331.85"/>
    <x v="222"/>
    <x v="1"/>
    <x v="2"/>
  </r>
  <r>
    <s v="ORD-1584"/>
    <x v="196"/>
    <d v="2024-03-06T00:00:00"/>
    <x v="1"/>
    <x v="2"/>
    <x v="10"/>
    <x v="17"/>
    <n v="2325.2800000000002"/>
    <n v="15"/>
    <x v="4"/>
    <n v="-762"/>
    <x v="165"/>
    <x v="2"/>
    <x v="11"/>
  </r>
  <r>
    <s v="ORD-1585"/>
    <x v="213"/>
    <d v="2024-02-27T00:00:00"/>
    <x v="1"/>
    <x v="1"/>
    <x v="3"/>
    <x v="3"/>
    <n v="273.81"/>
    <n v="6"/>
    <x v="1"/>
    <n v="71.739999999999995"/>
    <x v="98"/>
    <x v="0"/>
    <x v="8"/>
  </r>
  <r>
    <s v="ORD-1586"/>
    <x v="180"/>
    <d v="2024-05-31T00:00:00"/>
    <x v="2"/>
    <x v="0"/>
    <x v="7"/>
    <x v="29"/>
    <n v="786.58"/>
    <n v="9"/>
    <x v="2"/>
    <n v="145.62"/>
    <x v="209"/>
    <x v="2"/>
    <x v="7"/>
  </r>
  <r>
    <s v="ORD-1587"/>
    <x v="290"/>
    <d v="2024-03-30T00:00:00"/>
    <x v="1"/>
    <x v="0"/>
    <x v="6"/>
    <x v="8"/>
    <n v="2601.9699999999998"/>
    <n v="10"/>
    <x v="3"/>
    <n v="457"/>
    <x v="65"/>
    <x v="1"/>
    <x v="11"/>
  </r>
  <r>
    <s v="ORD-1588"/>
    <x v="62"/>
    <d v="2024-04-09T00:00:00"/>
    <x v="0"/>
    <x v="0"/>
    <x v="0"/>
    <x v="0"/>
    <n v="1990.81"/>
    <n v="7"/>
    <x v="3"/>
    <n v="-131.24"/>
    <x v="177"/>
    <x v="1"/>
    <x v="3"/>
  </r>
  <r>
    <s v="ORD-1589"/>
    <x v="155"/>
    <d v="2024-03-24T00:00:00"/>
    <x v="2"/>
    <x v="1"/>
    <x v="1"/>
    <x v="20"/>
    <n v="3710.02"/>
    <n v="2"/>
    <x v="0"/>
    <n v="590.85"/>
    <x v="37"/>
    <x v="1"/>
    <x v="11"/>
  </r>
  <r>
    <s v="ORD-1590"/>
    <x v="296"/>
    <d v="2024-05-13T00:00:00"/>
    <x v="2"/>
    <x v="1"/>
    <x v="1"/>
    <x v="20"/>
    <n v="446.71"/>
    <n v="18"/>
    <x v="4"/>
    <n v="-43.52"/>
    <x v="96"/>
    <x v="1"/>
    <x v="7"/>
  </r>
  <r>
    <s v="ORD-1591"/>
    <x v="137"/>
    <d v="2024-09-21T00:00:00"/>
    <x v="0"/>
    <x v="1"/>
    <x v="4"/>
    <x v="4"/>
    <n v="2472.65"/>
    <n v="11"/>
    <x v="5"/>
    <n v="271.07"/>
    <x v="55"/>
    <x v="1"/>
    <x v="9"/>
  </r>
  <r>
    <s v="ORD-1592"/>
    <x v="283"/>
    <d v="2024-06-18T00:00:00"/>
    <x v="0"/>
    <x v="2"/>
    <x v="10"/>
    <x v="28"/>
    <n v="1139.19"/>
    <n v="14"/>
    <x v="4"/>
    <n v="185.3"/>
    <x v="183"/>
    <x v="2"/>
    <x v="6"/>
  </r>
  <r>
    <s v="ORD-1593"/>
    <x v="297"/>
    <d v="2024-09-05T00:00:00"/>
    <x v="0"/>
    <x v="2"/>
    <x v="10"/>
    <x v="28"/>
    <n v="3729.58"/>
    <n v="15"/>
    <x v="4"/>
    <n v="-619.85"/>
    <x v="224"/>
    <x v="2"/>
    <x v="4"/>
  </r>
  <r>
    <s v="ORD-1594"/>
    <x v="298"/>
    <d v="2024-04-14T00:00:00"/>
    <x v="3"/>
    <x v="1"/>
    <x v="3"/>
    <x v="32"/>
    <n v="370.35"/>
    <n v="19"/>
    <x v="1"/>
    <n v="-49.69"/>
    <x v="205"/>
    <x v="2"/>
    <x v="3"/>
  </r>
  <r>
    <s v="ORD-1595"/>
    <x v="46"/>
    <d v="2024-09-02T00:00:00"/>
    <x v="2"/>
    <x v="1"/>
    <x v="3"/>
    <x v="32"/>
    <n v="3574.03"/>
    <n v="20"/>
    <x v="4"/>
    <n v="1025.26"/>
    <x v="222"/>
    <x v="1"/>
    <x v="4"/>
  </r>
  <r>
    <s v="ORD-1596"/>
    <x v="126"/>
    <d v="2024-11-11T00:00:00"/>
    <x v="1"/>
    <x v="1"/>
    <x v="3"/>
    <x v="25"/>
    <n v="3483.25"/>
    <n v="7"/>
    <x v="2"/>
    <n v="668.95"/>
    <x v="29"/>
    <x v="2"/>
    <x v="0"/>
  </r>
  <r>
    <s v="ORD-1597"/>
    <x v="74"/>
    <d v="2024-01-14T00:00:00"/>
    <x v="1"/>
    <x v="1"/>
    <x v="3"/>
    <x v="25"/>
    <n v="2423"/>
    <n v="19"/>
    <x v="4"/>
    <n v="785.36"/>
    <x v="138"/>
    <x v="2"/>
    <x v="5"/>
  </r>
  <r>
    <s v="ORD-1598"/>
    <x v="268"/>
    <d v="2024-08-01T00:00:00"/>
    <x v="0"/>
    <x v="2"/>
    <x v="8"/>
    <x v="23"/>
    <n v="2241.71"/>
    <n v="16"/>
    <x v="0"/>
    <n v="664.41"/>
    <x v="109"/>
    <x v="1"/>
    <x v="4"/>
  </r>
  <r>
    <s v="ORD-1599"/>
    <x v="299"/>
    <d v="2024-05-04T00:00:00"/>
    <x v="0"/>
    <x v="0"/>
    <x v="6"/>
    <x v="15"/>
    <n v="747.67"/>
    <n v="10"/>
    <x v="4"/>
    <n v="-182.65"/>
    <x v="111"/>
    <x v="1"/>
    <x v="7"/>
  </r>
  <r>
    <s v="ORD-1600"/>
    <x v="207"/>
    <d v="2024-09-06T00:00:00"/>
    <x v="1"/>
    <x v="0"/>
    <x v="6"/>
    <x v="8"/>
    <n v="3911.58"/>
    <n v="15"/>
    <x v="4"/>
    <n v="1221.43"/>
    <x v="167"/>
    <x v="0"/>
    <x v="9"/>
  </r>
  <r>
    <s v="ORD-1601"/>
    <x v="156"/>
    <d v="2024-07-15T00:00:00"/>
    <x v="0"/>
    <x v="0"/>
    <x v="5"/>
    <x v="19"/>
    <n v="3600.38"/>
    <n v="11"/>
    <x v="2"/>
    <n v="215.35"/>
    <x v="224"/>
    <x v="0"/>
    <x v="10"/>
  </r>
  <r>
    <s v="ORD-1602"/>
    <x v="7"/>
    <d v="2024-05-21T00:00:00"/>
    <x v="0"/>
    <x v="0"/>
    <x v="0"/>
    <x v="9"/>
    <n v="2180.2600000000002"/>
    <n v="12"/>
    <x v="1"/>
    <n v="181.59"/>
    <x v="225"/>
    <x v="0"/>
    <x v="7"/>
  </r>
  <r>
    <s v="ORD-1603"/>
    <x v="239"/>
    <d v="2024-11-12T00:00:00"/>
    <x v="3"/>
    <x v="2"/>
    <x v="10"/>
    <x v="28"/>
    <n v="2352.84"/>
    <n v="7"/>
    <x v="4"/>
    <n v="810.26"/>
    <x v="24"/>
    <x v="1"/>
    <x v="0"/>
  </r>
  <r>
    <s v="ORD-1604"/>
    <x v="98"/>
    <d v="2024-03-06T00:00:00"/>
    <x v="1"/>
    <x v="0"/>
    <x v="7"/>
    <x v="24"/>
    <n v="1572.67"/>
    <n v="9"/>
    <x v="2"/>
    <n v="399.57"/>
    <x v="145"/>
    <x v="2"/>
    <x v="8"/>
  </r>
  <r>
    <s v="ORD-1605"/>
    <x v="113"/>
    <d v="2024-02-07T00:00:00"/>
    <x v="3"/>
    <x v="2"/>
    <x v="9"/>
    <x v="30"/>
    <n v="2225.06"/>
    <n v="4"/>
    <x v="5"/>
    <n v="585.07000000000005"/>
    <x v="66"/>
    <x v="1"/>
    <x v="8"/>
  </r>
  <r>
    <s v="ORD-1606"/>
    <x v="151"/>
    <d v="2024-10-03T00:00:00"/>
    <x v="2"/>
    <x v="0"/>
    <x v="0"/>
    <x v="9"/>
    <n v="956.33"/>
    <n v="15"/>
    <x v="1"/>
    <n v="70.819999999999993"/>
    <x v="134"/>
    <x v="1"/>
    <x v="9"/>
  </r>
  <r>
    <s v="ORD-1607"/>
    <x v="300"/>
    <d v="2024-05-28T00:00:00"/>
    <x v="0"/>
    <x v="1"/>
    <x v="3"/>
    <x v="3"/>
    <n v="2864.06"/>
    <n v="16"/>
    <x v="4"/>
    <n v="895.01"/>
    <x v="186"/>
    <x v="0"/>
    <x v="7"/>
  </r>
  <r>
    <s v="ORD-1608"/>
    <x v="130"/>
    <d v="2024-11-17T00:00:00"/>
    <x v="3"/>
    <x v="2"/>
    <x v="10"/>
    <x v="17"/>
    <n v="1550.13"/>
    <n v="15"/>
    <x v="0"/>
    <n v="377.31"/>
    <x v="226"/>
    <x v="1"/>
    <x v="0"/>
  </r>
  <r>
    <s v="ORD-1609"/>
    <x v="113"/>
    <d v="2024-02-02T00:00:00"/>
    <x v="1"/>
    <x v="0"/>
    <x v="0"/>
    <x v="22"/>
    <n v="2420.14"/>
    <n v="11"/>
    <x v="5"/>
    <n v="551.80999999999995"/>
    <x v="42"/>
    <x v="1"/>
    <x v="8"/>
  </r>
  <r>
    <s v="ORD-1610"/>
    <x v="277"/>
    <d v="2024-10-14T00:00:00"/>
    <x v="2"/>
    <x v="2"/>
    <x v="10"/>
    <x v="17"/>
    <n v="894.01"/>
    <n v="9"/>
    <x v="4"/>
    <n v="174.58"/>
    <x v="100"/>
    <x v="2"/>
    <x v="1"/>
  </r>
  <r>
    <s v="ORD-1611"/>
    <x v="153"/>
    <d v="2024-01-27T00:00:00"/>
    <x v="3"/>
    <x v="2"/>
    <x v="9"/>
    <x v="14"/>
    <n v="2569.86"/>
    <n v="6"/>
    <x v="0"/>
    <n v="541.20000000000005"/>
    <x v="107"/>
    <x v="1"/>
    <x v="5"/>
  </r>
  <r>
    <s v="ORD-1612"/>
    <x v="290"/>
    <d v="2024-04-01T00:00:00"/>
    <x v="1"/>
    <x v="1"/>
    <x v="1"/>
    <x v="1"/>
    <n v="3976.65"/>
    <n v="19"/>
    <x v="4"/>
    <n v="724.81"/>
    <x v="98"/>
    <x v="0"/>
    <x v="11"/>
  </r>
  <r>
    <s v="ORD-1613"/>
    <x v="273"/>
    <d v="2024-04-15T00:00:00"/>
    <x v="3"/>
    <x v="2"/>
    <x v="10"/>
    <x v="17"/>
    <n v="1931.61"/>
    <n v="6"/>
    <x v="2"/>
    <n v="271.33"/>
    <x v="147"/>
    <x v="2"/>
    <x v="3"/>
  </r>
  <r>
    <s v="ORD-1614"/>
    <x v="301"/>
    <d v="2024-08-02T00:00:00"/>
    <x v="1"/>
    <x v="2"/>
    <x v="2"/>
    <x v="2"/>
    <n v="266.10000000000002"/>
    <n v="18"/>
    <x v="2"/>
    <n v="39.75"/>
    <x v="177"/>
    <x v="0"/>
    <x v="10"/>
  </r>
  <r>
    <s v="ORD-1615"/>
    <x v="302"/>
    <d v="2024-09-03T00:00:00"/>
    <x v="1"/>
    <x v="0"/>
    <x v="6"/>
    <x v="7"/>
    <n v="2834.3"/>
    <n v="16"/>
    <x v="1"/>
    <n v="260.27"/>
    <x v="13"/>
    <x v="2"/>
    <x v="4"/>
  </r>
  <r>
    <s v="ORD-1616"/>
    <x v="69"/>
    <d v="2024-06-06T00:00:00"/>
    <x v="2"/>
    <x v="0"/>
    <x v="7"/>
    <x v="24"/>
    <n v="1590.23"/>
    <n v="11"/>
    <x v="1"/>
    <n v="369.64"/>
    <x v="9"/>
    <x v="2"/>
    <x v="6"/>
  </r>
  <r>
    <s v="ORD-1617"/>
    <x v="79"/>
    <d v="2024-09-29T00:00:00"/>
    <x v="3"/>
    <x v="1"/>
    <x v="1"/>
    <x v="1"/>
    <n v="2269.0500000000002"/>
    <n v="15"/>
    <x v="0"/>
    <n v="-570.59"/>
    <x v="56"/>
    <x v="2"/>
    <x v="9"/>
  </r>
  <r>
    <s v="ORD-1618"/>
    <x v="235"/>
    <d v="2024-09-25T00:00:00"/>
    <x v="1"/>
    <x v="2"/>
    <x v="2"/>
    <x v="33"/>
    <n v="2519.04"/>
    <n v="2"/>
    <x v="0"/>
    <n v="-398.81"/>
    <x v="185"/>
    <x v="1"/>
    <x v="9"/>
  </r>
  <r>
    <s v="ORD-1619"/>
    <x v="266"/>
    <d v="2024-08-11T00:00:00"/>
    <x v="2"/>
    <x v="2"/>
    <x v="8"/>
    <x v="23"/>
    <n v="1543.45"/>
    <n v="10"/>
    <x v="5"/>
    <n v="-482"/>
    <x v="23"/>
    <x v="0"/>
    <x v="4"/>
  </r>
  <r>
    <s v="ORD-1620"/>
    <x v="96"/>
    <d v="2024-08-21T00:00:00"/>
    <x v="2"/>
    <x v="2"/>
    <x v="10"/>
    <x v="17"/>
    <n v="2982.27"/>
    <n v="14"/>
    <x v="4"/>
    <n v="896.63"/>
    <x v="118"/>
    <x v="2"/>
    <x v="4"/>
  </r>
  <r>
    <s v="ORD-1621"/>
    <x v="286"/>
    <d v="2024-03-17T00:00:00"/>
    <x v="3"/>
    <x v="2"/>
    <x v="2"/>
    <x v="2"/>
    <n v="3749.32"/>
    <n v="19"/>
    <x v="5"/>
    <n v="286.95"/>
    <x v="227"/>
    <x v="2"/>
    <x v="11"/>
  </r>
  <r>
    <s v="ORD-1622"/>
    <x v="281"/>
    <d v="2024-05-25T00:00:00"/>
    <x v="1"/>
    <x v="0"/>
    <x v="6"/>
    <x v="15"/>
    <n v="997.22"/>
    <n v="13"/>
    <x v="3"/>
    <n v="-215.56"/>
    <x v="112"/>
    <x v="0"/>
    <x v="7"/>
  </r>
  <r>
    <s v="ORD-1623"/>
    <x v="146"/>
    <d v="2024-06-07T00:00:00"/>
    <x v="2"/>
    <x v="0"/>
    <x v="6"/>
    <x v="15"/>
    <n v="350.65"/>
    <n v="1"/>
    <x v="4"/>
    <n v="45.16"/>
    <x v="60"/>
    <x v="1"/>
    <x v="6"/>
  </r>
  <r>
    <s v="ORD-1624"/>
    <x v="303"/>
    <d v="2024-11-28T00:00:00"/>
    <x v="0"/>
    <x v="0"/>
    <x v="0"/>
    <x v="22"/>
    <n v="922.65"/>
    <n v="8"/>
    <x v="1"/>
    <n v="79.17"/>
    <x v="114"/>
    <x v="2"/>
    <x v="0"/>
  </r>
  <r>
    <s v="ORD-1625"/>
    <x v="24"/>
    <d v="2024-02-09T00:00:00"/>
    <x v="2"/>
    <x v="0"/>
    <x v="6"/>
    <x v="7"/>
    <n v="2604.9899999999998"/>
    <n v="16"/>
    <x v="0"/>
    <n v="769.73"/>
    <x v="140"/>
    <x v="2"/>
    <x v="8"/>
  </r>
  <r>
    <s v="ORD-1626"/>
    <x v="47"/>
    <d v="2024-10-21T00:00:00"/>
    <x v="3"/>
    <x v="1"/>
    <x v="4"/>
    <x v="11"/>
    <n v="798.01"/>
    <n v="15"/>
    <x v="0"/>
    <n v="72.34"/>
    <x v="228"/>
    <x v="2"/>
    <x v="1"/>
  </r>
  <r>
    <s v="ORD-1627"/>
    <x v="281"/>
    <d v="2024-05-24T00:00:00"/>
    <x v="2"/>
    <x v="0"/>
    <x v="0"/>
    <x v="9"/>
    <n v="1336.96"/>
    <n v="17"/>
    <x v="0"/>
    <n v="442.39"/>
    <x v="79"/>
    <x v="0"/>
    <x v="7"/>
  </r>
  <r>
    <s v="ORD-1628"/>
    <x v="130"/>
    <d v="2024-11-19T00:00:00"/>
    <x v="0"/>
    <x v="0"/>
    <x v="7"/>
    <x v="12"/>
    <n v="1459.78"/>
    <n v="11"/>
    <x v="0"/>
    <n v="423.28"/>
    <x v="53"/>
    <x v="2"/>
    <x v="0"/>
  </r>
  <r>
    <s v="ORD-1629"/>
    <x v="304"/>
    <d v="2024-12-28T00:00:00"/>
    <x v="0"/>
    <x v="0"/>
    <x v="0"/>
    <x v="0"/>
    <n v="298.37"/>
    <n v="17"/>
    <x v="3"/>
    <n v="48.31"/>
    <x v="206"/>
    <x v="0"/>
    <x v="2"/>
  </r>
  <r>
    <s v="ORD-1630"/>
    <x v="305"/>
    <d v="2024-06-25T00:00:00"/>
    <x v="0"/>
    <x v="1"/>
    <x v="1"/>
    <x v="20"/>
    <n v="1079.18"/>
    <n v="7"/>
    <x v="2"/>
    <n v="252.56"/>
    <x v="47"/>
    <x v="2"/>
    <x v="6"/>
  </r>
  <r>
    <s v="ORD-1631"/>
    <x v="79"/>
    <d v="2024-09-27T00:00:00"/>
    <x v="2"/>
    <x v="2"/>
    <x v="8"/>
    <x v="16"/>
    <n v="3320.67"/>
    <n v="1"/>
    <x v="5"/>
    <n v="512.91999999999996"/>
    <x v="212"/>
    <x v="0"/>
    <x v="9"/>
  </r>
  <r>
    <s v="ORD-1632"/>
    <x v="285"/>
    <d v="2024-03-19T00:00:00"/>
    <x v="3"/>
    <x v="1"/>
    <x v="4"/>
    <x v="4"/>
    <n v="357.85"/>
    <n v="4"/>
    <x v="4"/>
    <n v="31.71"/>
    <x v="223"/>
    <x v="1"/>
    <x v="11"/>
  </r>
  <r>
    <s v="ORD-1633"/>
    <x v="67"/>
    <d v="2024-12-21T00:00:00"/>
    <x v="3"/>
    <x v="1"/>
    <x v="1"/>
    <x v="1"/>
    <n v="3929.16"/>
    <n v="14"/>
    <x v="0"/>
    <n v="-1095.8699999999999"/>
    <x v="32"/>
    <x v="0"/>
    <x v="2"/>
  </r>
  <r>
    <s v="ORD-1634"/>
    <x v="295"/>
    <d v="2024-01-17T00:00:00"/>
    <x v="2"/>
    <x v="1"/>
    <x v="1"/>
    <x v="1"/>
    <n v="372.97"/>
    <n v="17"/>
    <x v="2"/>
    <n v="-25.28"/>
    <x v="64"/>
    <x v="0"/>
    <x v="5"/>
  </r>
  <r>
    <s v="ORD-1635"/>
    <x v="117"/>
    <d v="2024-05-09T00:00:00"/>
    <x v="0"/>
    <x v="2"/>
    <x v="8"/>
    <x v="16"/>
    <n v="3183.89"/>
    <n v="20"/>
    <x v="4"/>
    <n v="720.45"/>
    <x v="42"/>
    <x v="0"/>
    <x v="7"/>
  </r>
  <r>
    <s v="ORD-1636"/>
    <x v="246"/>
    <d v="2024-12-14T00:00:00"/>
    <x v="0"/>
    <x v="1"/>
    <x v="1"/>
    <x v="20"/>
    <n v="3781.92"/>
    <n v="19"/>
    <x v="3"/>
    <n v="588.70000000000005"/>
    <x v="15"/>
    <x v="1"/>
    <x v="2"/>
  </r>
  <r>
    <s v="ORD-1637"/>
    <x v="126"/>
    <d v="2024-11-12T00:00:00"/>
    <x v="0"/>
    <x v="1"/>
    <x v="4"/>
    <x v="11"/>
    <n v="2233.15"/>
    <n v="7"/>
    <x v="3"/>
    <n v="226.74"/>
    <x v="51"/>
    <x v="2"/>
    <x v="0"/>
  </r>
  <r>
    <s v="ORD-1638"/>
    <x v="223"/>
    <d v="2024-01-04T00:00:00"/>
    <x v="1"/>
    <x v="0"/>
    <x v="6"/>
    <x v="7"/>
    <n v="2868"/>
    <n v="6"/>
    <x v="5"/>
    <n v="-722.9"/>
    <x v="11"/>
    <x v="2"/>
    <x v="5"/>
  </r>
  <r>
    <s v="ORD-1639"/>
    <x v="6"/>
    <d v="2024-07-06T00:00:00"/>
    <x v="2"/>
    <x v="1"/>
    <x v="4"/>
    <x v="11"/>
    <n v="1778.42"/>
    <n v="11"/>
    <x v="1"/>
    <n v="337.49"/>
    <x v="134"/>
    <x v="2"/>
    <x v="6"/>
  </r>
  <r>
    <s v="ORD-1640"/>
    <x v="306"/>
    <d v="2024-09-15T00:00:00"/>
    <x v="3"/>
    <x v="0"/>
    <x v="5"/>
    <x v="18"/>
    <n v="1480.43"/>
    <n v="4"/>
    <x v="5"/>
    <n v="199.98"/>
    <x v="9"/>
    <x v="0"/>
    <x v="9"/>
  </r>
  <r>
    <s v="ORD-1641"/>
    <x v="54"/>
    <d v="2024-06-15T00:00:00"/>
    <x v="1"/>
    <x v="0"/>
    <x v="6"/>
    <x v="7"/>
    <n v="3943.61"/>
    <n v="14"/>
    <x v="4"/>
    <n v="1210.81"/>
    <x v="116"/>
    <x v="2"/>
    <x v="6"/>
  </r>
  <r>
    <s v="ORD-1642"/>
    <x v="60"/>
    <d v="2024-09-05T00:00:00"/>
    <x v="1"/>
    <x v="1"/>
    <x v="4"/>
    <x v="4"/>
    <n v="2770.36"/>
    <n v="13"/>
    <x v="5"/>
    <n v="572.91"/>
    <x v="22"/>
    <x v="0"/>
    <x v="4"/>
  </r>
  <r>
    <s v="ORD-1643"/>
    <x v="196"/>
    <d v="2024-03-04T00:00:00"/>
    <x v="2"/>
    <x v="2"/>
    <x v="8"/>
    <x v="13"/>
    <n v="3719.84"/>
    <n v="6"/>
    <x v="1"/>
    <n v="591.87"/>
    <x v="134"/>
    <x v="1"/>
    <x v="11"/>
  </r>
  <r>
    <s v="ORD-1644"/>
    <x v="125"/>
    <d v="2024-04-18T00:00:00"/>
    <x v="0"/>
    <x v="1"/>
    <x v="3"/>
    <x v="25"/>
    <n v="1294.44"/>
    <n v="19"/>
    <x v="2"/>
    <n v="170.73"/>
    <x v="127"/>
    <x v="0"/>
    <x v="3"/>
  </r>
  <r>
    <s v="ORD-1645"/>
    <x v="115"/>
    <d v="2024-12-01T00:00:00"/>
    <x v="3"/>
    <x v="2"/>
    <x v="9"/>
    <x v="27"/>
    <n v="2167.8000000000002"/>
    <n v="5"/>
    <x v="5"/>
    <n v="178.65"/>
    <x v="108"/>
    <x v="0"/>
    <x v="0"/>
  </r>
  <r>
    <s v="ORD-1646"/>
    <x v="206"/>
    <d v="2024-09-14T00:00:00"/>
    <x v="1"/>
    <x v="1"/>
    <x v="1"/>
    <x v="20"/>
    <n v="448.2"/>
    <n v="3"/>
    <x v="5"/>
    <n v="113.59"/>
    <x v="181"/>
    <x v="2"/>
    <x v="9"/>
  </r>
  <r>
    <s v="ORD-1647"/>
    <x v="85"/>
    <d v="2024-07-19T00:00:00"/>
    <x v="1"/>
    <x v="2"/>
    <x v="8"/>
    <x v="16"/>
    <n v="2729.05"/>
    <n v="17"/>
    <x v="5"/>
    <n v="785.47"/>
    <x v="19"/>
    <x v="0"/>
    <x v="10"/>
  </r>
  <r>
    <s v="ORD-1648"/>
    <x v="152"/>
    <d v="2024-12-11T00:00:00"/>
    <x v="2"/>
    <x v="0"/>
    <x v="0"/>
    <x v="31"/>
    <n v="3285.56"/>
    <n v="18"/>
    <x v="2"/>
    <n v="181.7"/>
    <x v="151"/>
    <x v="2"/>
    <x v="2"/>
  </r>
  <r>
    <s v="ORD-1649"/>
    <x v="294"/>
    <d v="2024-08-09T00:00:00"/>
    <x v="2"/>
    <x v="2"/>
    <x v="2"/>
    <x v="21"/>
    <n v="1909.59"/>
    <n v="2"/>
    <x v="1"/>
    <n v="196.8"/>
    <x v="118"/>
    <x v="0"/>
    <x v="4"/>
  </r>
  <r>
    <s v="ORD-1650"/>
    <x v="169"/>
    <d v="2024-06-06T00:00:00"/>
    <x v="2"/>
    <x v="2"/>
    <x v="10"/>
    <x v="17"/>
    <n v="2933.96"/>
    <n v="16"/>
    <x v="1"/>
    <n v="647.4"/>
    <x v="35"/>
    <x v="2"/>
    <x v="6"/>
  </r>
  <r>
    <s v="ORD-1651"/>
    <x v="61"/>
    <d v="2024-10-17T00:00:00"/>
    <x v="2"/>
    <x v="0"/>
    <x v="7"/>
    <x v="12"/>
    <n v="459.01"/>
    <n v="9"/>
    <x v="5"/>
    <n v="104.34"/>
    <x v="197"/>
    <x v="2"/>
    <x v="1"/>
  </r>
  <r>
    <s v="ORD-1652"/>
    <x v="89"/>
    <d v="2024-12-17T00:00:00"/>
    <x v="3"/>
    <x v="2"/>
    <x v="8"/>
    <x v="16"/>
    <n v="2464.2399999999998"/>
    <n v="5"/>
    <x v="3"/>
    <n v="381.13"/>
    <x v="35"/>
    <x v="0"/>
    <x v="2"/>
  </r>
  <r>
    <s v="ORD-1653"/>
    <x v="219"/>
    <d v="2024-01-19T00:00:00"/>
    <x v="2"/>
    <x v="1"/>
    <x v="3"/>
    <x v="26"/>
    <n v="3969.8"/>
    <n v="14"/>
    <x v="3"/>
    <n v="265.72000000000003"/>
    <x v="155"/>
    <x v="0"/>
    <x v="5"/>
  </r>
  <r>
    <s v="ORD-1654"/>
    <x v="284"/>
    <d v="2024-05-04T00:00:00"/>
    <x v="0"/>
    <x v="0"/>
    <x v="5"/>
    <x v="19"/>
    <n v="679.27"/>
    <n v="6"/>
    <x v="1"/>
    <n v="-143.68"/>
    <x v="151"/>
    <x v="0"/>
    <x v="3"/>
  </r>
  <r>
    <s v="ORD-1655"/>
    <x v="265"/>
    <d v="2024-12-08T00:00:00"/>
    <x v="2"/>
    <x v="2"/>
    <x v="8"/>
    <x v="13"/>
    <n v="2011.37"/>
    <n v="1"/>
    <x v="3"/>
    <n v="328.5"/>
    <x v="43"/>
    <x v="0"/>
    <x v="2"/>
  </r>
  <r>
    <s v="ORD-1656"/>
    <x v="205"/>
    <d v="2024-10-21T00:00:00"/>
    <x v="2"/>
    <x v="1"/>
    <x v="4"/>
    <x v="11"/>
    <n v="1509.88"/>
    <n v="17"/>
    <x v="0"/>
    <n v="229.29"/>
    <x v="51"/>
    <x v="0"/>
    <x v="1"/>
  </r>
  <r>
    <s v="ORD-1657"/>
    <x v="307"/>
    <d v="2024-07-11T00:00:00"/>
    <x v="1"/>
    <x v="2"/>
    <x v="8"/>
    <x v="13"/>
    <n v="1052.8"/>
    <n v="9"/>
    <x v="1"/>
    <n v="146.55000000000001"/>
    <x v="11"/>
    <x v="0"/>
    <x v="10"/>
  </r>
  <r>
    <s v="ORD-1658"/>
    <x v="128"/>
    <d v="2024-04-26T00:00:00"/>
    <x v="0"/>
    <x v="0"/>
    <x v="0"/>
    <x v="31"/>
    <n v="502.26"/>
    <n v="17"/>
    <x v="5"/>
    <n v="89.47"/>
    <x v="202"/>
    <x v="1"/>
    <x v="3"/>
  </r>
  <r>
    <s v="ORD-1659"/>
    <x v="107"/>
    <d v="2024-02-13T00:00:00"/>
    <x v="3"/>
    <x v="2"/>
    <x v="2"/>
    <x v="2"/>
    <n v="1803.68"/>
    <n v="9"/>
    <x v="2"/>
    <n v="369.05"/>
    <x v="115"/>
    <x v="1"/>
    <x v="8"/>
  </r>
  <r>
    <s v="ORD-1660"/>
    <x v="277"/>
    <d v="2024-10-09T00:00:00"/>
    <x v="0"/>
    <x v="0"/>
    <x v="7"/>
    <x v="12"/>
    <n v="2122.0100000000002"/>
    <n v="15"/>
    <x v="3"/>
    <n v="702.7"/>
    <x v="98"/>
    <x v="0"/>
    <x v="1"/>
  </r>
  <r>
    <s v="ORD-1661"/>
    <x v="114"/>
    <d v="2024-11-16T00:00:00"/>
    <x v="0"/>
    <x v="0"/>
    <x v="7"/>
    <x v="24"/>
    <n v="1984.33"/>
    <n v="8"/>
    <x v="4"/>
    <n v="543.57000000000005"/>
    <x v="190"/>
    <x v="2"/>
    <x v="0"/>
  </r>
  <r>
    <s v="ORD-1662"/>
    <x v="243"/>
    <d v="2024-08-16T00:00:00"/>
    <x v="3"/>
    <x v="1"/>
    <x v="4"/>
    <x v="11"/>
    <n v="3422.38"/>
    <n v="9"/>
    <x v="3"/>
    <n v="834.42"/>
    <x v="229"/>
    <x v="2"/>
    <x v="4"/>
  </r>
  <r>
    <s v="ORD-1663"/>
    <x v="218"/>
    <d v="2024-11-06T00:00:00"/>
    <x v="2"/>
    <x v="1"/>
    <x v="1"/>
    <x v="1"/>
    <n v="969.69"/>
    <n v="8"/>
    <x v="3"/>
    <n v="183.51"/>
    <x v="175"/>
    <x v="2"/>
    <x v="0"/>
  </r>
  <r>
    <s v="ORD-1664"/>
    <x v="164"/>
    <d v="2024-08-17T00:00:00"/>
    <x v="0"/>
    <x v="1"/>
    <x v="1"/>
    <x v="10"/>
    <n v="761.61"/>
    <n v="9"/>
    <x v="3"/>
    <n v="188.58"/>
    <x v="171"/>
    <x v="2"/>
    <x v="4"/>
  </r>
  <r>
    <s v="ORD-1665"/>
    <x v="254"/>
    <d v="2024-01-29T00:00:00"/>
    <x v="0"/>
    <x v="1"/>
    <x v="1"/>
    <x v="10"/>
    <n v="2506"/>
    <n v="3"/>
    <x v="5"/>
    <n v="799.49"/>
    <x v="65"/>
    <x v="1"/>
    <x v="5"/>
  </r>
  <r>
    <s v="ORD-1666"/>
    <x v="72"/>
    <d v="2024-02-22T00:00:00"/>
    <x v="1"/>
    <x v="1"/>
    <x v="1"/>
    <x v="20"/>
    <n v="3004.3"/>
    <n v="4"/>
    <x v="2"/>
    <n v="748.87"/>
    <x v="113"/>
    <x v="2"/>
    <x v="8"/>
  </r>
  <r>
    <s v="ORD-1667"/>
    <x v="63"/>
    <d v="2024-09-29T00:00:00"/>
    <x v="2"/>
    <x v="1"/>
    <x v="1"/>
    <x v="20"/>
    <n v="708.54"/>
    <n v="11"/>
    <x v="3"/>
    <n v="212.35"/>
    <x v="57"/>
    <x v="1"/>
    <x v="9"/>
  </r>
  <r>
    <s v="ORD-1668"/>
    <x v="284"/>
    <d v="2024-05-06T00:00:00"/>
    <x v="1"/>
    <x v="1"/>
    <x v="1"/>
    <x v="1"/>
    <n v="1052.9100000000001"/>
    <n v="9"/>
    <x v="5"/>
    <n v="181.64"/>
    <x v="32"/>
    <x v="0"/>
    <x v="3"/>
  </r>
  <r>
    <s v="ORD-1669"/>
    <x v="308"/>
    <d v="2024-02-05T00:00:00"/>
    <x v="3"/>
    <x v="0"/>
    <x v="5"/>
    <x v="19"/>
    <n v="2296.54"/>
    <n v="16"/>
    <x v="0"/>
    <n v="284.55"/>
    <x v="22"/>
    <x v="0"/>
    <x v="5"/>
  </r>
  <r>
    <s v="ORD-1670"/>
    <x v="261"/>
    <d v="2024-03-20T00:00:00"/>
    <x v="2"/>
    <x v="0"/>
    <x v="0"/>
    <x v="31"/>
    <n v="329.03"/>
    <n v="20"/>
    <x v="1"/>
    <n v="99.51"/>
    <x v="174"/>
    <x v="0"/>
    <x v="11"/>
  </r>
  <r>
    <s v="ORD-1671"/>
    <x v="19"/>
    <d v="2024-01-31T00:00:00"/>
    <x v="3"/>
    <x v="0"/>
    <x v="6"/>
    <x v="7"/>
    <n v="2646.06"/>
    <n v="12"/>
    <x v="0"/>
    <n v="229.19"/>
    <x v="197"/>
    <x v="1"/>
    <x v="5"/>
  </r>
  <r>
    <s v="ORD-1672"/>
    <x v="39"/>
    <d v="2024-08-20T00:00:00"/>
    <x v="0"/>
    <x v="2"/>
    <x v="2"/>
    <x v="21"/>
    <n v="588.44000000000005"/>
    <n v="8"/>
    <x v="3"/>
    <n v="66.56"/>
    <x v="185"/>
    <x v="0"/>
    <x v="4"/>
  </r>
  <r>
    <s v="ORD-1673"/>
    <x v="309"/>
    <d v="2024-08-17T00:00:00"/>
    <x v="2"/>
    <x v="1"/>
    <x v="3"/>
    <x v="3"/>
    <n v="3336.99"/>
    <n v="16"/>
    <x v="5"/>
    <n v="904.6"/>
    <x v="51"/>
    <x v="1"/>
    <x v="4"/>
  </r>
  <r>
    <s v="ORD-1674"/>
    <x v="310"/>
    <d v="2024-06-25T00:00:00"/>
    <x v="0"/>
    <x v="1"/>
    <x v="4"/>
    <x v="4"/>
    <n v="2148.75"/>
    <n v="12"/>
    <x v="5"/>
    <n v="495.58"/>
    <x v="2"/>
    <x v="0"/>
    <x v="6"/>
  </r>
  <r>
    <s v="ORD-1675"/>
    <x v="311"/>
    <d v="2024-06-23T00:00:00"/>
    <x v="0"/>
    <x v="1"/>
    <x v="4"/>
    <x v="11"/>
    <n v="2613.09"/>
    <n v="5"/>
    <x v="1"/>
    <n v="444.74"/>
    <x v="211"/>
    <x v="0"/>
    <x v="6"/>
  </r>
  <r>
    <s v="ORD-1676"/>
    <x v="23"/>
    <d v="2024-06-10T00:00:00"/>
    <x v="0"/>
    <x v="1"/>
    <x v="1"/>
    <x v="20"/>
    <n v="2925.86"/>
    <n v="5"/>
    <x v="2"/>
    <n v="748.22"/>
    <x v="95"/>
    <x v="0"/>
    <x v="6"/>
  </r>
  <r>
    <s v="ORD-1677"/>
    <x v="124"/>
    <d v="2024-06-19T00:00:00"/>
    <x v="2"/>
    <x v="0"/>
    <x v="7"/>
    <x v="24"/>
    <n v="900.55"/>
    <n v="19"/>
    <x v="3"/>
    <n v="261.02999999999997"/>
    <x v="111"/>
    <x v="1"/>
    <x v="6"/>
  </r>
  <r>
    <s v="ORD-1678"/>
    <x v="92"/>
    <d v="2024-08-05T00:00:00"/>
    <x v="1"/>
    <x v="2"/>
    <x v="9"/>
    <x v="30"/>
    <n v="1091.83"/>
    <n v="1"/>
    <x v="2"/>
    <n v="266.55"/>
    <x v="94"/>
    <x v="0"/>
    <x v="10"/>
  </r>
  <r>
    <s v="ORD-1679"/>
    <x v="263"/>
    <d v="2024-02-22T00:00:00"/>
    <x v="1"/>
    <x v="2"/>
    <x v="10"/>
    <x v="28"/>
    <n v="1753.88"/>
    <n v="14"/>
    <x v="2"/>
    <n v="-224.58"/>
    <x v="168"/>
    <x v="0"/>
    <x v="8"/>
  </r>
  <r>
    <s v="ORD-1680"/>
    <x v="193"/>
    <d v="2024-07-09T00:00:00"/>
    <x v="0"/>
    <x v="1"/>
    <x v="4"/>
    <x v="4"/>
    <n v="3150.1"/>
    <n v="15"/>
    <x v="0"/>
    <n v="624.49"/>
    <x v="77"/>
    <x v="1"/>
    <x v="10"/>
  </r>
  <r>
    <s v="ORD-1681"/>
    <x v="139"/>
    <d v="2024-04-17T00:00:00"/>
    <x v="3"/>
    <x v="2"/>
    <x v="9"/>
    <x v="27"/>
    <n v="738.25"/>
    <n v="7"/>
    <x v="2"/>
    <n v="84.66"/>
    <x v="191"/>
    <x v="0"/>
    <x v="3"/>
  </r>
  <r>
    <s v="ORD-1682"/>
    <x v="89"/>
    <d v="2024-12-15T00:00:00"/>
    <x v="2"/>
    <x v="1"/>
    <x v="3"/>
    <x v="32"/>
    <n v="357.9"/>
    <n v="9"/>
    <x v="4"/>
    <n v="84.22"/>
    <x v="11"/>
    <x v="1"/>
    <x v="2"/>
  </r>
  <r>
    <s v="ORD-1683"/>
    <x v="156"/>
    <d v="2024-07-15T00:00:00"/>
    <x v="0"/>
    <x v="1"/>
    <x v="3"/>
    <x v="32"/>
    <n v="3517.91"/>
    <n v="13"/>
    <x v="0"/>
    <n v="399.86"/>
    <x v="110"/>
    <x v="0"/>
    <x v="10"/>
  </r>
  <r>
    <s v="ORD-1684"/>
    <x v="149"/>
    <d v="2024-08-08T00:00:00"/>
    <x v="0"/>
    <x v="1"/>
    <x v="4"/>
    <x v="11"/>
    <n v="445.42"/>
    <n v="8"/>
    <x v="5"/>
    <n v="143.63"/>
    <x v="85"/>
    <x v="0"/>
    <x v="4"/>
  </r>
  <r>
    <s v="ORD-1685"/>
    <x v="246"/>
    <d v="2024-12-09T00:00:00"/>
    <x v="0"/>
    <x v="2"/>
    <x v="9"/>
    <x v="27"/>
    <n v="3915.71"/>
    <n v="12"/>
    <x v="4"/>
    <n v="1332.98"/>
    <x v="103"/>
    <x v="2"/>
    <x v="2"/>
  </r>
  <r>
    <s v="ORD-1686"/>
    <x v="220"/>
    <d v="2024-10-26T00:00:00"/>
    <x v="3"/>
    <x v="1"/>
    <x v="4"/>
    <x v="4"/>
    <n v="3738.73"/>
    <n v="15"/>
    <x v="4"/>
    <n v="287.49"/>
    <x v="154"/>
    <x v="2"/>
    <x v="1"/>
  </r>
  <r>
    <s v="ORD-1687"/>
    <x v="173"/>
    <d v="2024-08-11T00:00:00"/>
    <x v="3"/>
    <x v="1"/>
    <x v="3"/>
    <x v="3"/>
    <n v="3919.44"/>
    <n v="16"/>
    <x v="3"/>
    <n v="1075.29"/>
    <x v="173"/>
    <x v="2"/>
    <x v="4"/>
  </r>
  <r>
    <s v="ORD-1688"/>
    <x v="312"/>
    <d v="2024-05-28T00:00:00"/>
    <x v="3"/>
    <x v="0"/>
    <x v="0"/>
    <x v="22"/>
    <n v="3597.52"/>
    <n v="11"/>
    <x v="0"/>
    <n v="1253.27"/>
    <x v="162"/>
    <x v="1"/>
    <x v="7"/>
  </r>
  <r>
    <s v="ORD-1689"/>
    <x v="186"/>
    <d v="2024-03-25T00:00:00"/>
    <x v="0"/>
    <x v="1"/>
    <x v="1"/>
    <x v="1"/>
    <n v="1111.98"/>
    <n v="2"/>
    <x v="5"/>
    <n v="142.41"/>
    <x v="43"/>
    <x v="0"/>
    <x v="11"/>
  </r>
  <r>
    <s v="ORD-1690"/>
    <x v="164"/>
    <d v="2024-08-12T00:00:00"/>
    <x v="2"/>
    <x v="1"/>
    <x v="3"/>
    <x v="26"/>
    <n v="3958.07"/>
    <n v="18"/>
    <x v="5"/>
    <n v="-741.46"/>
    <x v="224"/>
    <x v="1"/>
    <x v="4"/>
  </r>
  <r>
    <s v="ORD-1691"/>
    <x v="313"/>
    <d v="2024-03-17T00:00:00"/>
    <x v="3"/>
    <x v="1"/>
    <x v="1"/>
    <x v="10"/>
    <n v="927.46"/>
    <n v="6"/>
    <x v="0"/>
    <n v="187.92"/>
    <x v="49"/>
    <x v="0"/>
    <x v="11"/>
  </r>
  <r>
    <s v="ORD-1692"/>
    <x v="37"/>
    <d v="2024-12-08T00:00:00"/>
    <x v="0"/>
    <x v="0"/>
    <x v="7"/>
    <x v="24"/>
    <n v="3701.55"/>
    <n v="8"/>
    <x v="5"/>
    <n v="936.76"/>
    <x v="203"/>
    <x v="1"/>
    <x v="2"/>
  </r>
  <r>
    <s v="ORD-1693"/>
    <x v="219"/>
    <d v="2024-01-18T00:00:00"/>
    <x v="0"/>
    <x v="2"/>
    <x v="2"/>
    <x v="33"/>
    <n v="3734.31"/>
    <n v="4"/>
    <x v="3"/>
    <n v="-358.99"/>
    <x v="172"/>
    <x v="2"/>
    <x v="5"/>
  </r>
  <r>
    <s v="ORD-1694"/>
    <x v="159"/>
    <d v="2025-01-04T00:00:00"/>
    <x v="2"/>
    <x v="0"/>
    <x v="0"/>
    <x v="9"/>
    <n v="1485.35"/>
    <n v="2"/>
    <x v="0"/>
    <n v="351.6"/>
    <x v="55"/>
    <x v="2"/>
    <x v="2"/>
  </r>
  <r>
    <s v="ORD-1695"/>
    <x v="134"/>
    <d v="2024-10-20T00:00:00"/>
    <x v="1"/>
    <x v="1"/>
    <x v="4"/>
    <x v="4"/>
    <n v="1461.89"/>
    <n v="2"/>
    <x v="0"/>
    <n v="104.11"/>
    <x v="140"/>
    <x v="2"/>
    <x v="1"/>
  </r>
  <r>
    <s v="ORD-1696"/>
    <x v="85"/>
    <d v="2024-07-15T00:00:00"/>
    <x v="2"/>
    <x v="2"/>
    <x v="10"/>
    <x v="28"/>
    <n v="3868.93"/>
    <n v="13"/>
    <x v="1"/>
    <n v="217.25"/>
    <x v="197"/>
    <x v="0"/>
    <x v="10"/>
  </r>
  <r>
    <s v="ORD-1697"/>
    <x v="203"/>
    <d v="2024-07-23T00:00:00"/>
    <x v="3"/>
    <x v="0"/>
    <x v="7"/>
    <x v="29"/>
    <n v="1369.55"/>
    <n v="14"/>
    <x v="0"/>
    <n v="399.78"/>
    <x v="103"/>
    <x v="1"/>
    <x v="10"/>
  </r>
  <r>
    <s v="ORD-1698"/>
    <x v="55"/>
    <d v="2024-12-18T00:00:00"/>
    <x v="3"/>
    <x v="0"/>
    <x v="5"/>
    <x v="19"/>
    <n v="2172.4499999999998"/>
    <n v="16"/>
    <x v="5"/>
    <n v="685.68"/>
    <x v="229"/>
    <x v="0"/>
    <x v="2"/>
  </r>
  <r>
    <s v="ORD-1699"/>
    <x v="314"/>
    <d v="2024-10-21T00:00:00"/>
    <x v="0"/>
    <x v="2"/>
    <x v="2"/>
    <x v="33"/>
    <n v="948.83"/>
    <n v="14"/>
    <x v="1"/>
    <n v="58.95"/>
    <x v="142"/>
    <x v="1"/>
    <x v="1"/>
  </r>
  <r>
    <s v="ORD-1700"/>
    <x v="58"/>
    <d v="2024-08-28T00:00:00"/>
    <x v="1"/>
    <x v="2"/>
    <x v="8"/>
    <x v="23"/>
    <n v="2005.82"/>
    <n v="3"/>
    <x v="5"/>
    <n v="281.05"/>
    <x v="10"/>
    <x v="0"/>
    <x v="4"/>
  </r>
  <r>
    <s v="ORD-1701"/>
    <x v="55"/>
    <d v="2024-12-20T00:00:00"/>
    <x v="1"/>
    <x v="0"/>
    <x v="6"/>
    <x v="7"/>
    <n v="2382.0100000000002"/>
    <n v="18"/>
    <x v="1"/>
    <n v="774.61"/>
    <x v="88"/>
    <x v="0"/>
    <x v="2"/>
  </r>
  <r>
    <s v="ORD-1702"/>
    <x v="255"/>
    <d v="2024-09-24T00:00:00"/>
    <x v="2"/>
    <x v="1"/>
    <x v="3"/>
    <x v="26"/>
    <n v="1582.97"/>
    <n v="19"/>
    <x v="1"/>
    <n v="-444.17"/>
    <x v="119"/>
    <x v="0"/>
    <x v="9"/>
  </r>
  <r>
    <s v="ORD-1703"/>
    <x v="152"/>
    <d v="2024-12-11T00:00:00"/>
    <x v="1"/>
    <x v="1"/>
    <x v="3"/>
    <x v="3"/>
    <n v="562.34"/>
    <n v="10"/>
    <x v="3"/>
    <n v="127.18"/>
    <x v="136"/>
    <x v="1"/>
    <x v="2"/>
  </r>
  <r>
    <s v="ORD-1704"/>
    <x v="246"/>
    <d v="2024-12-16T00:00:00"/>
    <x v="3"/>
    <x v="2"/>
    <x v="10"/>
    <x v="28"/>
    <n v="944.08"/>
    <n v="20"/>
    <x v="3"/>
    <n v="-294.07"/>
    <x v="97"/>
    <x v="2"/>
    <x v="2"/>
  </r>
  <r>
    <s v="ORD-1705"/>
    <x v="129"/>
    <d v="2024-09-30T00:00:00"/>
    <x v="0"/>
    <x v="2"/>
    <x v="8"/>
    <x v="16"/>
    <n v="894.01"/>
    <n v="16"/>
    <x v="5"/>
    <n v="230.25"/>
    <x v="57"/>
    <x v="1"/>
    <x v="9"/>
  </r>
  <r>
    <s v="ORD-1706"/>
    <x v="48"/>
    <d v="2024-11-11T00:00:00"/>
    <x v="3"/>
    <x v="0"/>
    <x v="0"/>
    <x v="22"/>
    <n v="3267.4"/>
    <n v="3"/>
    <x v="4"/>
    <n v="295.81"/>
    <x v="84"/>
    <x v="0"/>
    <x v="0"/>
  </r>
  <r>
    <s v="ORD-1707"/>
    <x v="160"/>
    <d v="2024-01-12T00:00:00"/>
    <x v="0"/>
    <x v="1"/>
    <x v="3"/>
    <x v="32"/>
    <n v="2686.52"/>
    <n v="14"/>
    <x v="0"/>
    <n v="825.99"/>
    <x v="170"/>
    <x v="1"/>
    <x v="5"/>
  </r>
  <r>
    <s v="ORD-1708"/>
    <x v="315"/>
    <d v="2024-02-18T00:00:00"/>
    <x v="2"/>
    <x v="1"/>
    <x v="3"/>
    <x v="25"/>
    <n v="331.81"/>
    <n v="6"/>
    <x v="4"/>
    <n v="90.13"/>
    <x v="66"/>
    <x v="2"/>
    <x v="8"/>
  </r>
  <r>
    <s v="ORD-1709"/>
    <x v="316"/>
    <d v="2024-09-12T00:00:00"/>
    <x v="0"/>
    <x v="2"/>
    <x v="10"/>
    <x v="28"/>
    <n v="1355.62"/>
    <n v="13"/>
    <x v="1"/>
    <n v="-203.55"/>
    <x v="62"/>
    <x v="0"/>
    <x v="9"/>
  </r>
  <r>
    <s v="ORD-1710"/>
    <x v="211"/>
    <d v="2025-01-06T00:00:00"/>
    <x v="2"/>
    <x v="2"/>
    <x v="2"/>
    <x v="2"/>
    <n v="2078.11"/>
    <n v="16"/>
    <x v="2"/>
    <n v="472.38"/>
    <x v="173"/>
    <x v="1"/>
    <x v="2"/>
  </r>
  <r>
    <s v="ORD-1711"/>
    <x v="229"/>
    <d v="2024-12-20T00:00:00"/>
    <x v="1"/>
    <x v="0"/>
    <x v="5"/>
    <x v="5"/>
    <n v="321.32"/>
    <n v="19"/>
    <x v="3"/>
    <n v="69.400000000000006"/>
    <x v="146"/>
    <x v="1"/>
    <x v="2"/>
  </r>
  <r>
    <s v="ORD-1712"/>
    <x v="90"/>
    <d v="2024-12-03T00:00:00"/>
    <x v="2"/>
    <x v="1"/>
    <x v="3"/>
    <x v="26"/>
    <n v="1931.22"/>
    <n v="14"/>
    <x v="1"/>
    <n v="190.03"/>
    <x v="135"/>
    <x v="0"/>
    <x v="0"/>
  </r>
  <r>
    <s v="ORD-1713"/>
    <x v="64"/>
    <d v="2024-09-02T00:00:00"/>
    <x v="2"/>
    <x v="1"/>
    <x v="4"/>
    <x v="11"/>
    <n v="2453.7199999999998"/>
    <n v="11"/>
    <x v="2"/>
    <n v="750.93"/>
    <x v="62"/>
    <x v="0"/>
    <x v="4"/>
  </r>
  <r>
    <s v="ORD-1714"/>
    <x v="317"/>
    <d v="2024-08-29T00:00:00"/>
    <x v="3"/>
    <x v="0"/>
    <x v="6"/>
    <x v="6"/>
    <n v="3374.05"/>
    <n v="12"/>
    <x v="5"/>
    <n v="978.23"/>
    <x v="122"/>
    <x v="2"/>
    <x v="4"/>
  </r>
  <r>
    <s v="ORD-1715"/>
    <x v="318"/>
    <d v="2024-11-17T00:00:00"/>
    <x v="3"/>
    <x v="0"/>
    <x v="5"/>
    <x v="5"/>
    <n v="2060.84"/>
    <n v="6"/>
    <x v="4"/>
    <n v="199.68"/>
    <x v="191"/>
    <x v="1"/>
    <x v="0"/>
  </r>
  <r>
    <s v="ORD-1716"/>
    <x v="92"/>
    <d v="2024-08-07T00:00:00"/>
    <x v="3"/>
    <x v="1"/>
    <x v="1"/>
    <x v="20"/>
    <n v="426.44"/>
    <n v="1"/>
    <x v="3"/>
    <n v="134.02000000000001"/>
    <x v="186"/>
    <x v="1"/>
    <x v="10"/>
  </r>
  <r>
    <s v="ORD-1717"/>
    <x v="227"/>
    <d v="2024-03-24T00:00:00"/>
    <x v="0"/>
    <x v="1"/>
    <x v="3"/>
    <x v="25"/>
    <n v="677.38"/>
    <n v="8"/>
    <x v="1"/>
    <n v="148.07"/>
    <x v="134"/>
    <x v="1"/>
    <x v="11"/>
  </r>
  <r>
    <s v="ORD-1718"/>
    <x v="305"/>
    <d v="2024-06-28T00:00:00"/>
    <x v="0"/>
    <x v="0"/>
    <x v="0"/>
    <x v="0"/>
    <n v="3450.28"/>
    <n v="17"/>
    <x v="2"/>
    <n v="865.49"/>
    <x v="46"/>
    <x v="0"/>
    <x v="6"/>
  </r>
  <r>
    <s v="ORD-1719"/>
    <x v="309"/>
    <d v="2024-08-19T00:00:00"/>
    <x v="0"/>
    <x v="1"/>
    <x v="4"/>
    <x v="11"/>
    <n v="3338.54"/>
    <n v="2"/>
    <x v="2"/>
    <n v="272.5"/>
    <x v="230"/>
    <x v="2"/>
    <x v="4"/>
  </r>
  <r>
    <s v="ORD-1720"/>
    <x v="273"/>
    <d v="2024-04-20T00:00:00"/>
    <x v="1"/>
    <x v="0"/>
    <x v="0"/>
    <x v="22"/>
    <n v="3107.37"/>
    <n v="16"/>
    <x v="0"/>
    <n v="966.85"/>
    <x v="189"/>
    <x v="0"/>
    <x v="3"/>
  </r>
  <r>
    <s v="ORD-1721"/>
    <x v="307"/>
    <d v="2024-07-10T00:00:00"/>
    <x v="1"/>
    <x v="1"/>
    <x v="1"/>
    <x v="10"/>
    <n v="3886.14"/>
    <n v="1"/>
    <x v="4"/>
    <n v="1167.57"/>
    <x v="74"/>
    <x v="0"/>
    <x v="10"/>
  </r>
  <r>
    <s v="ORD-1722"/>
    <x v="105"/>
    <d v="2024-05-28T00:00:00"/>
    <x v="0"/>
    <x v="2"/>
    <x v="2"/>
    <x v="33"/>
    <n v="3080.67"/>
    <n v="12"/>
    <x v="0"/>
    <n v="768.62"/>
    <x v="139"/>
    <x v="1"/>
    <x v="7"/>
  </r>
  <r>
    <s v="ORD-1723"/>
    <x v="198"/>
    <d v="2024-10-04T00:00:00"/>
    <x v="1"/>
    <x v="1"/>
    <x v="3"/>
    <x v="25"/>
    <n v="3692.58"/>
    <n v="15"/>
    <x v="2"/>
    <n v="1064.8699999999999"/>
    <x v="231"/>
    <x v="0"/>
    <x v="9"/>
  </r>
  <r>
    <s v="ORD-1724"/>
    <x v="100"/>
    <d v="2024-01-23T00:00:00"/>
    <x v="1"/>
    <x v="1"/>
    <x v="4"/>
    <x v="11"/>
    <n v="567.91999999999996"/>
    <n v="11"/>
    <x v="5"/>
    <n v="195.7"/>
    <x v="125"/>
    <x v="1"/>
    <x v="5"/>
  </r>
  <r>
    <s v="ORD-1725"/>
    <x v="319"/>
    <d v="2024-02-07T00:00:00"/>
    <x v="0"/>
    <x v="0"/>
    <x v="7"/>
    <x v="12"/>
    <n v="466.79"/>
    <n v="17"/>
    <x v="3"/>
    <n v="82.06"/>
    <x v="131"/>
    <x v="0"/>
    <x v="8"/>
  </r>
  <r>
    <s v="ORD-1726"/>
    <x v="212"/>
    <d v="2024-12-28T00:00:00"/>
    <x v="3"/>
    <x v="2"/>
    <x v="8"/>
    <x v="23"/>
    <n v="3625.78"/>
    <n v="20"/>
    <x v="4"/>
    <n v="943.02"/>
    <x v="213"/>
    <x v="2"/>
    <x v="2"/>
  </r>
  <r>
    <s v="ORD-1727"/>
    <x v="273"/>
    <d v="2024-04-22T00:00:00"/>
    <x v="3"/>
    <x v="0"/>
    <x v="6"/>
    <x v="15"/>
    <n v="3553.66"/>
    <n v="3"/>
    <x v="1"/>
    <n v="750.64"/>
    <x v="73"/>
    <x v="0"/>
    <x v="3"/>
  </r>
  <r>
    <s v="ORD-1728"/>
    <x v="320"/>
    <d v="2024-03-09T00:00:00"/>
    <x v="1"/>
    <x v="1"/>
    <x v="4"/>
    <x v="4"/>
    <n v="2205.0100000000002"/>
    <n v="6"/>
    <x v="1"/>
    <n v="128.69999999999999"/>
    <x v="195"/>
    <x v="0"/>
    <x v="11"/>
  </r>
  <r>
    <s v="ORD-1729"/>
    <x v="183"/>
    <d v="2024-11-03T00:00:00"/>
    <x v="1"/>
    <x v="2"/>
    <x v="9"/>
    <x v="30"/>
    <n v="664.16"/>
    <n v="2"/>
    <x v="3"/>
    <n v="84.96"/>
    <x v="0"/>
    <x v="0"/>
    <x v="1"/>
  </r>
  <r>
    <s v="ORD-1730"/>
    <x v="321"/>
    <d v="2024-03-04T00:00:00"/>
    <x v="0"/>
    <x v="2"/>
    <x v="2"/>
    <x v="33"/>
    <n v="3013.22"/>
    <n v="15"/>
    <x v="3"/>
    <n v="1039.21"/>
    <x v="206"/>
    <x v="2"/>
    <x v="11"/>
  </r>
  <r>
    <s v="ORD-1731"/>
    <x v="220"/>
    <d v="2024-10-27T00:00:00"/>
    <x v="3"/>
    <x v="2"/>
    <x v="2"/>
    <x v="33"/>
    <n v="3192.96"/>
    <n v="19"/>
    <x v="0"/>
    <n v="293.73"/>
    <x v="86"/>
    <x v="2"/>
    <x v="1"/>
  </r>
  <r>
    <s v="ORD-1732"/>
    <x v="16"/>
    <d v="2024-05-07T00:00:00"/>
    <x v="3"/>
    <x v="0"/>
    <x v="7"/>
    <x v="24"/>
    <n v="1953.66"/>
    <n v="5"/>
    <x v="0"/>
    <n v="347.18"/>
    <x v="1"/>
    <x v="0"/>
    <x v="7"/>
  </r>
  <r>
    <s v="ORD-1733"/>
    <x v="40"/>
    <d v="2024-02-17T00:00:00"/>
    <x v="2"/>
    <x v="1"/>
    <x v="3"/>
    <x v="32"/>
    <n v="1923.12"/>
    <n v="12"/>
    <x v="0"/>
    <n v="399.77"/>
    <x v="140"/>
    <x v="2"/>
    <x v="8"/>
  </r>
  <r>
    <s v="ORD-1734"/>
    <x v="251"/>
    <d v="2024-09-28T00:00:00"/>
    <x v="3"/>
    <x v="0"/>
    <x v="6"/>
    <x v="6"/>
    <n v="3986.92"/>
    <n v="16"/>
    <x v="0"/>
    <n v="1363.45"/>
    <x v="189"/>
    <x v="1"/>
    <x v="9"/>
  </r>
  <r>
    <s v="ORD-1735"/>
    <x v="286"/>
    <d v="2024-03-16T00:00:00"/>
    <x v="2"/>
    <x v="0"/>
    <x v="6"/>
    <x v="15"/>
    <n v="3880.12"/>
    <n v="17"/>
    <x v="2"/>
    <n v="331.43"/>
    <x v="186"/>
    <x v="2"/>
    <x v="11"/>
  </r>
  <r>
    <s v="ORD-1736"/>
    <x v="302"/>
    <d v="2024-08-30T00:00:00"/>
    <x v="1"/>
    <x v="0"/>
    <x v="0"/>
    <x v="9"/>
    <n v="2506"/>
    <n v="14"/>
    <x v="1"/>
    <n v="216.17"/>
    <x v="204"/>
    <x v="1"/>
    <x v="4"/>
  </r>
  <r>
    <s v="ORD-1737"/>
    <x v="32"/>
    <d v="2024-01-23T00:00:00"/>
    <x v="0"/>
    <x v="2"/>
    <x v="2"/>
    <x v="21"/>
    <n v="1387.23"/>
    <n v="16"/>
    <x v="1"/>
    <n v="-398.64"/>
    <x v="37"/>
    <x v="1"/>
    <x v="5"/>
  </r>
  <r>
    <s v="ORD-1738"/>
    <x v="233"/>
    <d v="2024-11-03T00:00:00"/>
    <x v="0"/>
    <x v="2"/>
    <x v="2"/>
    <x v="2"/>
    <n v="936.54"/>
    <n v="16"/>
    <x v="1"/>
    <n v="81.2"/>
    <x v="183"/>
    <x v="0"/>
    <x v="1"/>
  </r>
  <r>
    <s v="ORD-1739"/>
    <x v="95"/>
    <d v="2024-01-29T00:00:00"/>
    <x v="2"/>
    <x v="0"/>
    <x v="0"/>
    <x v="22"/>
    <n v="3626.08"/>
    <n v="13"/>
    <x v="5"/>
    <n v="1089.05"/>
    <x v="205"/>
    <x v="2"/>
    <x v="5"/>
  </r>
  <r>
    <s v="ORD-1740"/>
    <x v="275"/>
    <d v="2024-03-10T00:00:00"/>
    <x v="2"/>
    <x v="2"/>
    <x v="9"/>
    <x v="14"/>
    <n v="3498.8"/>
    <n v="11"/>
    <x v="1"/>
    <n v="1014.45"/>
    <x v="184"/>
    <x v="2"/>
    <x v="11"/>
  </r>
  <r>
    <s v="ORD-1741"/>
    <x v="250"/>
    <d v="2024-08-03T00:00:00"/>
    <x v="1"/>
    <x v="2"/>
    <x v="2"/>
    <x v="33"/>
    <n v="421.82"/>
    <n v="15"/>
    <x v="0"/>
    <n v="-56.19"/>
    <x v="201"/>
    <x v="1"/>
    <x v="10"/>
  </r>
  <r>
    <s v="ORD-1742"/>
    <x v="49"/>
    <d v="2024-03-25T00:00:00"/>
    <x v="3"/>
    <x v="0"/>
    <x v="5"/>
    <x v="5"/>
    <n v="2347.5700000000002"/>
    <n v="7"/>
    <x v="2"/>
    <n v="498.98"/>
    <x v="231"/>
    <x v="0"/>
    <x v="11"/>
  </r>
  <r>
    <s v="ORD-1743"/>
    <x v="134"/>
    <d v="2024-10-21T00:00:00"/>
    <x v="2"/>
    <x v="0"/>
    <x v="5"/>
    <x v="18"/>
    <n v="2718.45"/>
    <n v="18"/>
    <x v="4"/>
    <n v="920.77"/>
    <x v="187"/>
    <x v="1"/>
    <x v="1"/>
  </r>
  <r>
    <s v="ORD-1744"/>
    <x v="273"/>
    <d v="2024-04-18T00:00:00"/>
    <x v="2"/>
    <x v="1"/>
    <x v="4"/>
    <x v="4"/>
    <n v="1756.74"/>
    <n v="2"/>
    <x v="5"/>
    <n v="-542.12"/>
    <x v="157"/>
    <x v="2"/>
    <x v="3"/>
  </r>
  <r>
    <s v="ORD-1745"/>
    <x v="164"/>
    <d v="2024-08-13T00:00:00"/>
    <x v="2"/>
    <x v="1"/>
    <x v="4"/>
    <x v="4"/>
    <n v="1682.54"/>
    <n v="3"/>
    <x v="1"/>
    <n v="578.69000000000005"/>
    <x v="79"/>
    <x v="2"/>
    <x v="4"/>
  </r>
  <r>
    <s v="ORD-1746"/>
    <x v="105"/>
    <d v="2024-05-28T00:00:00"/>
    <x v="1"/>
    <x v="2"/>
    <x v="8"/>
    <x v="16"/>
    <n v="1400.48"/>
    <n v="14"/>
    <x v="0"/>
    <n v="141.11000000000001"/>
    <x v="189"/>
    <x v="1"/>
    <x v="7"/>
  </r>
  <r>
    <s v="ORD-1747"/>
    <x v="283"/>
    <d v="2024-06-17T00:00:00"/>
    <x v="0"/>
    <x v="0"/>
    <x v="5"/>
    <x v="19"/>
    <n v="1712.27"/>
    <n v="11"/>
    <x v="4"/>
    <n v="297.67"/>
    <x v="133"/>
    <x v="1"/>
    <x v="6"/>
  </r>
  <r>
    <s v="ORD-1748"/>
    <x v="165"/>
    <d v="2024-07-12T00:00:00"/>
    <x v="0"/>
    <x v="1"/>
    <x v="1"/>
    <x v="20"/>
    <n v="2447.61"/>
    <n v="16"/>
    <x v="2"/>
    <n v="674.85"/>
    <x v="214"/>
    <x v="2"/>
    <x v="10"/>
  </r>
  <r>
    <s v="ORD-1749"/>
    <x v="98"/>
    <d v="2024-03-03T00:00:00"/>
    <x v="0"/>
    <x v="2"/>
    <x v="9"/>
    <x v="30"/>
    <n v="1776.54"/>
    <n v="16"/>
    <x v="1"/>
    <n v="306.01"/>
    <x v="160"/>
    <x v="2"/>
    <x v="8"/>
  </r>
  <r>
    <s v="ORD-1750"/>
    <x v="295"/>
    <d v="2024-01-14T00:00:00"/>
    <x v="0"/>
    <x v="1"/>
    <x v="4"/>
    <x v="11"/>
    <n v="1392.3"/>
    <n v="14"/>
    <x v="5"/>
    <n v="104.66"/>
    <x v="71"/>
    <x v="1"/>
    <x v="5"/>
  </r>
  <r>
    <s v="ORD-1751"/>
    <x v="139"/>
    <d v="2024-04-16T00:00:00"/>
    <x v="3"/>
    <x v="0"/>
    <x v="7"/>
    <x v="29"/>
    <n v="2265.7600000000002"/>
    <n v="14"/>
    <x v="2"/>
    <n v="-420.35"/>
    <x v="146"/>
    <x v="0"/>
    <x v="3"/>
  </r>
  <r>
    <s v="ORD-1752"/>
    <x v="58"/>
    <d v="2024-08-29T00:00:00"/>
    <x v="1"/>
    <x v="1"/>
    <x v="1"/>
    <x v="10"/>
    <n v="1274.8900000000001"/>
    <n v="9"/>
    <x v="0"/>
    <n v="209.14"/>
    <x v="15"/>
    <x v="0"/>
    <x v="4"/>
  </r>
  <r>
    <s v="ORD-1753"/>
    <x v="81"/>
    <d v="2024-11-22T00:00:00"/>
    <x v="3"/>
    <x v="1"/>
    <x v="1"/>
    <x v="20"/>
    <n v="2252.83"/>
    <n v="3"/>
    <x v="3"/>
    <n v="173.28"/>
    <x v="150"/>
    <x v="1"/>
    <x v="0"/>
  </r>
  <r>
    <s v="ORD-1754"/>
    <x v="285"/>
    <d v="2024-03-16T00:00:00"/>
    <x v="2"/>
    <x v="1"/>
    <x v="4"/>
    <x v="4"/>
    <n v="3564.74"/>
    <n v="11"/>
    <x v="0"/>
    <n v="457.74"/>
    <x v="218"/>
    <x v="0"/>
    <x v="11"/>
  </r>
  <r>
    <s v="ORD-1755"/>
    <x v="322"/>
    <d v="2024-08-23T00:00:00"/>
    <x v="1"/>
    <x v="0"/>
    <x v="0"/>
    <x v="31"/>
    <n v="1039.8399999999999"/>
    <n v="20"/>
    <x v="3"/>
    <n v="56.94"/>
    <x v="42"/>
    <x v="1"/>
    <x v="4"/>
  </r>
  <r>
    <s v="ORD-1756"/>
    <x v="258"/>
    <d v="2024-11-26T00:00:00"/>
    <x v="2"/>
    <x v="1"/>
    <x v="1"/>
    <x v="20"/>
    <n v="900.76"/>
    <n v="18"/>
    <x v="0"/>
    <n v="235.09"/>
    <x v="0"/>
    <x v="1"/>
    <x v="0"/>
  </r>
  <r>
    <s v="ORD-1757"/>
    <x v="242"/>
    <d v="2024-10-03T00:00:00"/>
    <x v="0"/>
    <x v="0"/>
    <x v="5"/>
    <x v="5"/>
    <n v="1919.41"/>
    <n v="4"/>
    <x v="3"/>
    <n v="655.69"/>
    <x v="115"/>
    <x v="0"/>
    <x v="1"/>
  </r>
  <r>
    <s v="ORD-1758"/>
    <x v="218"/>
    <d v="2024-11-08T00:00:00"/>
    <x v="2"/>
    <x v="1"/>
    <x v="4"/>
    <x v="11"/>
    <n v="717.86"/>
    <n v="12"/>
    <x v="4"/>
    <n v="131.63999999999999"/>
    <x v="78"/>
    <x v="0"/>
    <x v="0"/>
  </r>
  <r>
    <s v="ORD-1759"/>
    <x v="71"/>
    <d v="2024-01-15T00:00:00"/>
    <x v="3"/>
    <x v="1"/>
    <x v="1"/>
    <x v="20"/>
    <n v="2594.64"/>
    <n v="8"/>
    <x v="4"/>
    <n v="892.65"/>
    <x v="38"/>
    <x v="2"/>
    <x v="5"/>
  </r>
  <r>
    <s v="ORD-1760"/>
    <x v="323"/>
    <d v="2024-01-23T00:00:00"/>
    <x v="2"/>
    <x v="0"/>
    <x v="7"/>
    <x v="29"/>
    <n v="985.33"/>
    <n v="13"/>
    <x v="1"/>
    <n v="306.41000000000003"/>
    <x v="59"/>
    <x v="1"/>
    <x v="5"/>
  </r>
  <r>
    <s v="ORD-1761"/>
    <x v="276"/>
    <d v="2024-09-11T00:00:00"/>
    <x v="1"/>
    <x v="0"/>
    <x v="7"/>
    <x v="29"/>
    <n v="2455.62"/>
    <n v="3"/>
    <x v="4"/>
    <n v="314.04000000000002"/>
    <x v="141"/>
    <x v="2"/>
    <x v="9"/>
  </r>
  <r>
    <s v="ORD-1762"/>
    <x v="324"/>
    <d v="2024-04-30T00:00:00"/>
    <x v="1"/>
    <x v="0"/>
    <x v="5"/>
    <x v="5"/>
    <n v="2791.5"/>
    <n v="20"/>
    <x v="3"/>
    <n v="709.61"/>
    <x v="45"/>
    <x v="2"/>
    <x v="3"/>
  </r>
  <r>
    <s v="ORD-1763"/>
    <x v="225"/>
    <d v="2024-01-08T00:00:00"/>
    <x v="0"/>
    <x v="2"/>
    <x v="9"/>
    <x v="27"/>
    <n v="1277.6300000000001"/>
    <n v="17"/>
    <x v="5"/>
    <n v="253.83"/>
    <x v="111"/>
    <x v="1"/>
    <x v="5"/>
  </r>
  <r>
    <s v="ORD-1764"/>
    <x v="95"/>
    <d v="2024-01-26T00:00:00"/>
    <x v="0"/>
    <x v="2"/>
    <x v="9"/>
    <x v="30"/>
    <n v="1933.23"/>
    <n v="1"/>
    <x v="5"/>
    <n v="-209.53"/>
    <x v="120"/>
    <x v="1"/>
    <x v="5"/>
  </r>
  <r>
    <s v="ORD-1765"/>
    <x v="18"/>
    <d v="2024-10-19T00:00:00"/>
    <x v="1"/>
    <x v="0"/>
    <x v="6"/>
    <x v="8"/>
    <n v="3688.73"/>
    <n v="7"/>
    <x v="4"/>
    <n v="-548.76"/>
    <x v="165"/>
    <x v="1"/>
    <x v="1"/>
  </r>
  <r>
    <s v="ORD-1766"/>
    <x v="68"/>
    <d v="2024-11-17T00:00:00"/>
    <x v="0"/>
    <x v="2"/>
    <x v="9"/>
    <x v="14"/>
    <n v="2471.9899999999998"/>
    <n v="11"/>
    <x v="3"/>
    <n v="306.89"/>
    <x v="207"/>
    <x v="1"/>
    <x v="0"/>
  </r>
  <r>
    <s v="ORD-1767"/>
    <x v="305"/>
    <d v="2024-06-23T00:00:00"/>
    <x v="3"/>
    <x v="0"/>
    <x v="7"/>
    <x v="29"/>
    <n v="3159.06"/>
    <n v="20"/>
    <x v="5"/>
    <n v="882.1"/>
    <x v="94"/>
    <x v="1"/>
    <x v="6"/>
  </r>
  <r>
    <s v="ORD-1768"/>
    <x v="77"/>
    <d v="2024-10-24T00:00:00"/>
    <x v="0"/>
    <x v="1"/>
    <x v="1"/>
    <x v="10"/>
    <n v="1424.8"/>
    <n v="3"/>
    <x v="4"/>
    <n v="97.74"/>
    <x v="201"/>
    <x v="0"/>
    <x v="1"/>
  </r>
  <r>
    <s v="ORD-1769"/>
    <x v="308"/>
    <d v="2024-02-02T00:00:00"/>
    <x v="2"/>
    <x v="1"/>
    <x v="1"/>
    <x v="20"/>
    <n v="459.21"/>
    <n v="2"/>
    <x v="3"/>
    <n v="140.05000000000001"/>
    <x v="28"/>
    <x v="1"/>
    <x v="5"/>
  </r>
  <r>
    <s v="ORD-1770"/>
    <x v="239"/>
    <d v="2024-11-18T00:00:00"/>
    <x v="1"/>
    <x v="0"/>
    <x v="5"/>
    <x v="19"/>
    <n v="1689.7"/>
    <n v="14"/>
    <x v="2"/>
    <n v="398.38"/>
    <x v="185"/>
    <x v="0"/>
    <x v="0"/>
  </r>
  <r>
    <s v="ORD-1771"/>
    <x v="236"/>
    <d v="2024-12-11T00:00:00"/>
    <x v="2"/>
    <x v="0"/>
    <x v="0"/>
    <x v="0"/>
    <n v="655.02"/>
    <n v="1"/>
    <x v="2"/>
    <n v="172.92"/>
    <x v="9"/>
    <x v="0"/>
    <x v="2"/>
  </r>
  <r>
    <s v="ORD-1772"/>
    <x v="298"/>
    <d v="2024-04-11T00:00:00"/>
    <x v="3"/>
    <x v="2"/>
    <x v="9"/>
    <x v="27"/>
    <n v="2967.34"/>
    <n v="15"/>
    <x v="4"/>
    <n v="364.82"/>
    <x v="33"/>
    <x v="1"/>
    <x v="3"/>
  </r>
  <r>
    <s v="ORD-1773"/>
    <x v="17"/>
    <d v="2024-02-02T00:00:00"/>
    <x v="3"/>
    <x v="0"/>
    <x v="6"/>
    <x v="7"/>
    <n v="1416.96"/>
    <n v="18"/>
    <x v="4"/>
    <n v="133.51"/>
    <x v="154"/>
    <x v="0"/>
    <x v="5"/>
  </r>
  <r>
    <s v="ORD-1774"/>
    <x v="260"/>
    <d v="2024-06-28T00:00:00"/>
    <x v="3"/>
    <x v="1"/>
    <x v="4"/>
    <x v="11"/>
    <n v="464.94"/>
    <n v="17"/>
    <x v="2"/>
    <n v="143.02000000000001"/>
    <x v="91"/>
    <x v="2"/>
    <x v="6"/>
  </r>
  <r>
    <s v="ORD-1775"/>
    <x v="325"/>
    <d v="2024-04-13T00:00:00"/>
    <x v="1"/>
    <x v="1"/>
    <x v="3"/>
    <x v="32"/>
    <n v="2754.48"/>
    <n v="15"/>
    <x v="2"/>
    <n v="709.9"/>
    <x v="59"/>
    <x v="1"/>
    <x v="3"/>
  </r>
  <r>
    <s v="ORD-1776"/>
    <x v="25"/>
    <d v="2024-10-21T00:00:00"/>
    <x v="3"/>
    <x v="2"/>
    <x v="2"/>
    <x v="2"/>
    <n v="643.17999999999995"/>
    <n v="2"/>
    <x v="5"/>
    <n v="-74.489999999999995"/>
    <x v="55"/>
    <x v="1"/>
    <x v="1"/>
  </r>
  <r>
    <s v="ORD-1777"/>
    <x v="111"/>
    <d v="2024-04-27T00:00:00"/>
    <x v="2"/>
    <x v="0"/>
    <x v="7"/>
    <x v="29"/>
    <n v="2052.8000000000002"/>
    <n v="11"/>
    <x v="0"/>
    <n v="334.14"/>
    <x v="230"/>
    <x v="0"/>
    <x v="3"/>
  </r>
  <r>
    <s v="ORD-1778"/>
    <x v="326"/>
    <d v="2024-01-09T00:00:00"/>
    <x v="0"/>
    <x v="1"/>
    <x v="3"/>
    <x v="3"/>
    <n v="2330.09"/>
    <n v="5"/>
    <x v="3"/>
    <n v="424.36"/>
    <x v="98"/>
    <x v="2"/>
    <x v="5"/>
  </r>
  <r>
    <s v="ORD-1779"/>
    <x v="190"/>
    <d v="2024-07-03T00:00:00"/>
    <x v="0"/>
    <x v="1"/>
    <x v="1"/>
    <x v="10"/>
    <n v="903.05"/>
    <n v="9"/>
    <x v="0"/>
    <n v="92.37"/>
    <x v="186"/>
    <x v="1"/>
    <x v="10"/>
  </r>
  <r>
    <s v="ORD-1780"/>
    <x v="194"/>
    <d v="2024-05-07T00:00:00"/>
    <x v="1"/>
    <x v="1"/>
    <x v="1"/>
    <x v="10"/>
    <n v="3664.93"/>
    <n v="1"/>
    <x v="0"/>
    <n v="334.14"/>
    <x v="189"/>
    <x v="1"/>
    <x v="7"/>
  </r>
  <r>
    <s v="ORD-1781"/>
    <x v="10"/>
    <d v="2024-03-02T00:00:00"/>
    <x v="1"/>
    <x v="2"/>
    <x v="9"/>
    <x v="14"/>
    <n v="1636.15"/>
    <n v="12"/>
    <x v="0"/>
    <n v="165.92"/>
    <x v="34"/>
    <x v="2"/>
    <x v="8"/>
  </r>
  <r>
    <s v="ORD-1782"/>
    <x v="327"/>
    <d v="2024-11-21T00:00:00"/>
    <x v="0"/>
    <x v="1"/>
    <x v="1"/>
    <x v="1"/>
    <n v="3230.87"/>
    <n v="7"/>
    <x v="2"/>
    <n v="528.11"/>
    <x v="67"/>
    <x v="0"/>
    <x v="0"/>
  </r>
  <r>
    <s v="ORD-1783"/>
    <x v="70"/>
    <d v="2024-11-08T00:00:00"/>
    <x v="1"/>
    <x v="1"/>
    <x v="4"/>
    <x v="11"/>
    <n v="3454.13"/>
    <n v="10"/>
    <x v="4"/>
    <n v="-512.26"/>
    <x v="115"/>
    <x v="2"/>
    <x v="0"/>
  </r>
  <r>
    <s v="ORD-1784"/>
    <x v="328"/>
    <d v="2024-05-25T00:00:00"/>
    <x v="2"/>
    <x v="1"/>
    <x v="4"/>
    <x v="11"/>
    <n v="3192.49"/>
    <n v="20"/>
    <x v="1"/>
    <n v="319.98"/>
    <x v="104"/>
    <x v="0"/>
    <x v="7"/>
  </r>
  <r>
    <s v="ORD-1785"/>
    <x v="258"/>
    <d v="2024-12-01T00:00:00"/>
    <x v="2"/>
    <x v="0"/>
    <x v="6"/>
    <x v="15"/>
    <n v="1456.84"/>
    <n v="12"/>
    <x v="2"/>
    <n v="376.38"/>
    <x v="119"/>
    <x v="2"/>
    <x v="0"/>
  </r>
  <r>
    <s v="ORD-1786"/>
    <x v="306"/>
    <d v="2024-09-17T00:00:00"/>
    <x v="3"/>
    <x v="0"/>
    <x v="6"/>
    <x v="8"/>
    <n v="1027"/>
    <n v="7"/>
    <x v="5"/>
    <n v="317.29000000000002"/>
    <x v="228"/>
    <x v="0"/>
    <x v="9"/>
  </r>
  <r>
    <s v="ORD-1787"/>
    <x v="329"/>
    <d v="2024-06-11T00:00:00"/>
    <x v="2"/>
    <x v="0"/>
    <x v="7"/>
    <x v="24"/>
    <n v="1204.48"/>
    <n v="3"/>
    <x v="4"/>
    <n v="331.82"/>
    <x v="180"/>
    <x v="1"/>
    <x v="6"/>
  </r>
  <r>
    <s v="ORD-1788"/>
    <x v="251"/>
    <d v="2024-09-27T00:00:00"/>
    <x v="1"/>
    <x v="0"/>
    <x v="5"/>
    <x v="19"/>
    <n v="2170.98"/>
    <n v="11"/>
    <x v="5"/>
    <n v="402.38"/>
    <x v="180"/>
    <x v="1"/>
    <x v="9"/>
  </r>
  <r>
    <s v="ORD-1789"/>
    <x v="193"/>
    <d v="2024-07-14T00:00:00"/>
    <x v="3"/>
    <x v="2"/>
    <x v="9"/>
    <x v="14"/>
    <n v="923.37"/>
    <n v="8"/>
    <x v="3"/>
    <n v="224.94"/>
    <x v="35"/>
    <x v="2"/>
    <x v="10"/>
  </r>
  <r>
    <s v="ORD-1790"/>
    <x v="289"/>
    <d v="2024-02-16T00:00:00"/>
    <x v="0"/>
    <x v="2"/>
    <x v="10"/>
    <x v="28"/>
    <n v="694.7"/>
    <n v="12"/>
    <x v="1"/>
    <n v="148.53"/>
    <x v="189"/>
    <x v="2"/>
    <x v="8"/>
  </r>
  <r>
    <s v="ORD-1791"/>
    <x v="236"/>
    <d v="2024-12-16T00:00:00"/>
    <x v="3"/>
    <x v="2"/>
    <x v="2"/>
    <x v="2"/>
    <n v="2896.16"/>
    <n v="5"/>
    <x v="0"/>
    <n v="787.6"/>
    <x v="148"/>
    <x v="1"/>
    <x v="2"/>
  </r>
  <r>
    <s v="ORD-1792"/>
    <x v="270"/>
    <d v="2024-01-09T00:00:00"/>
    <x v="3"/>
    <x v="2"/>
    <x v="9"/>
    <x v="27"/>
    <n v="3331.98"/>
    <n v="1"/>
    <x v="5"/>
    <n v="820.42"/>
    <x v="99"/>
    <x v="2"/>
    <x v="5"/>
  </r>
  <r>
    <s v="ORD-1793"/>
    <x v="155"/>
    <d v="2024-03-23T00:00:00"/>
    <x v="1"/>
    <x v="1"/>
    <x v="4"/>
    <x v="11"/>
    <n v="2029.14"/>
    <n v="17"/>
    <x v="2"/>
    <n v="579.91"/>
    <x v="125"/>
    <x v="0"/>
    <x v="11"/>
  </r>
  <r>
    <s v="ORD-1794"/>
    <x v="50"/>
    <d v="2024-08-29T00:00:00"/>
    <x v="0"/>
    <x v="2"/>
    <x v="10"/>
    <x v="17"/>
    <n v="3137.99"/>
    <n v="14"/>
    <x v="4"/>
    <n v="569.87"/>
    <x v="1"/>
    <x v="0"/>
    <x v="4"/>
  </r>
  <r>
    <s v="ORD-1795"/>
    <x v="100"/>
    <d v="2024-01-21T00:00:00"/>
    <x v="1"/>
    <x v="0"/>
    <x v="7"/>
    <x v="24"/>
    <n v="3787.58"/>
    <n v="1"/>
    <x v="5"/>
    <n v="1110.22"/>
    <x v="81"/>
    <x v="1"/>
    <x v="5"/>
  </r>
  <r>
    <s v="ORD-1796"/>
    <x v="80"/>
    <d v="2024-06-25T00:00:00"/>
    <x v="2"/>
    <x v="2"/>
    <x v="9"/>
    <x v="30"/>
    <n v="2266.02"/>
    <n v="11"/>
    <x v="2"/>
    <n v="129.1"/>
    <x v="140"/>
    <x v="0"/>
    <x v="6"/>
  </r>
  <r>
    <s v="ORD-1797"/>
    <x v="285"/>
    <d v="2024-03-14T00:00:00"/>
    <x v="3"/>
    <x v="0"/>
    <x v="6"/>
    <x v="6"/>
    <n v="1015.77"/>
    <n v="13"/>
    <x v="1"/>
    <n v="213.66"/>
    <x v="104"/>
    <x v="0"/>
    <x v="11"/>
  </r>
  <r>
    <s v="ORD-1798"/>
    <x v="330"/>
    <d v="2024-03-01T00:00:00"/>
    <x v="2"/>
    <x v="0"/>
    <x v="0"/>
    <x v="9"/>
    <n v="892.84"/>
    <n v="18"/>
    <x v="4"/>
    <n v="53.23"/>
    <x v="179"/>
    <x v="0"/>
    <x v="8"/>
  </r>
  <r>
    <s v="ORD-1799"/>
    <x v="56"/>
    <d v="2024-09-07T00:00:00"/>
    <x v="1"/>
    <x v="1"/>
    <x v="1"/>
    <x v="10"/>
    <n v="1314.32"/>
    <n v="8"/>
    <x v="3"/>
    <n v="-325.77999999999997"/>
    <x v="230"/>
    <x v="1"/>
    <x v="9"/>
  </r>
  <r>
    <s v="ORD-1800"/>
    <x v="121"/>
    <d v="2024-02-04T00:00:00"/>
    <x v="0"/>
    <x v="1"/>
    <x v="3"/>
    <x v="25"/>
    <n v="1716.64"/>
    <n v="4"/>
    <x v="4"/>
    <n v="362.1"/>
    <x v="109"/>
    <x v="2"/>
    <x v="5"/>
  </r>
  <r>
    <s v="ORD-1801"/>
    <x v="27"/>
    <d v="2024-02-11T00:00:00"/>
    <x v="1"/>
    <x v="1"/>
    <x v="1"/>
    <x v="10"/>
    <n v="1870.75"/>
    <n v="16"/>
    <x v="4"/>
    <n v="432.35"/>
    <x v="80"/>
    <x v="0"/>
    <x v="8"/>
  </r>
  <r>
    <s v="ORD-1802"/>
    <x v="84"/>
    <d v="2024-10-30T00:00:00"/>
    <x v="2"/>
    <x v="2"/>
    <x v="10"/>
    <x v="28"/>
    <n v="3966.57"/>
    <n v="15"/>
    <x v="1"/>
    <n v="1179.56"/>
    <x v="46"/>
    <x v="0"/>
    <x v="1"/>
  </r>
  <r>
    <s v="ORD-1803"/>
    <x v="16"/>
    <d v="2024-05-11T00:00:00"/>
    <x v="2"/>
    <x v="2"/>
    <x v="9"/>
    <x v="30"/>
    <n v="396.57"/>
    <n v="3"/>
    <x v="3"/>
    <n v="96.72"/>
    <x v="118"/>
    <x v="1"/>
    <x v="7"/>
  </r>
  <r>
    <s v="ORD-1804"/>
    <x v="192"/>
    <d v="2024-06-30T00:00:00"/>
    <x v="2"/>
    <x v="0"/>
    <x v="7"/>
    <x v="24"/>
    <n v="1184.26"/>
    <n v="20"/>
    <x v="0"/>
    <n v="212.72"/>
    <x v="139"/>
    <x v="0"/>
    <x v="6"/>
  </r>
  <r>
    <s v="ORD-1805"/>
    <x v="87"/>
    <d v="2024-12-05T00:00:00"/>
    <x v="0"/>
    <x v="2"/>
    <x v="8"/>
    <x v="16"/>
    <n v="3570.78"/>
    <n v="6"/>
    <x v="3"/>
    <n v="1123.96"/>
    <x v="179"/>
    <x v="2"/>
    <x v="2"/>
  </r>
  <r>
    <s v="ORD-1806"/>
    <x v="43"/>
    <d v="2024-12-08T00:00:00"/>
    <x v="1"/>
    <x v="2"/>
    <x v="9"/>
    <x v="30"/>
    <n v="704.61"/>
    <n v="12"/>
    <x v="1"/>
    <n v="194.91"/>
    <x v="232"/>
    <x v="0"/>
    <x v="2"/>
  </r>
  <r>
    <s v="ORD-1807"/>
    <x v="283"/>
    <d v="2024-06-21T00:00:00"/>
    <x v="2"/>
    <x v="1"/>
    <x v="3"/>
    <x v="32"/>
    <n v="2147.7399999999998"/>
    <n v="15"/>
    <x v="1"/>
    <n v="154.55000000000001"/>
    <x v="7"/>
    <x v="1"/>
    <x v="6"/>
  </r>
  <r>
    <s v="ORD-1808"/>
    <x v="50"/>
    <d v="2024-08-30T00:00:00"/>
    <x v="3"/>
    <x v="0"/>
    <x v="6"/>
    <x v="15"/>
    <n v="1737.53"/>
    <n v="1"/>
    <x v="3"/>
    <n v="146.66"/>
    <x v="232"/>
    <x v="2"/>
    <x v="4"/>
  </r>
  <r>
    <s v="ORD-1809"/>
    <x v="311"/>
    <d v="2024-06-23T00:00:00"/>
    <x v="2"/>
    <x v="2"/>
    <x v="8"/>
    <x v="16"/>
    <n v="2306.61"/>
    <n v="8"/>
    <x v="0"/>
    <n v="-772.73"/>
    <x v="68"/>
    <x v="1"/>
    <x v="6"/>
  </r>
  <r>
    <s v="ORD-1810"/>
    <x v="20"/>
    <d v="2024-05-24T00:00:00"/>
    <x v="1"/>
    <x v="1"/>
    <x v="4"/>
    <x v="11"/>
    <n v="914.64"/>
    <n v="4"/>
    <x v="2"/>
    <n v="249.18"/>
    <x v="202"/>
    <x v="0"/>
    <x v="7"/>
  </r>
  <r>
    <s v="ORD-1811"/>
    <x v="246"/>
    <d v="2024-12-09T00:00:00"/>
    <x v="3"/>
    <x v="1"/>
    <x v="3"/>
    <x v="26"/>
    <n v="917.28"/>
    <n v="2"/>
    <x v="0"/>
    <n v="192.34"/>
    <x v="214"/>
    <x v="2"/>
    <x v="2"/>
  </r>
  <r>
    <s v="ORD-1812"/>
    <x v="153"/>
    <d v="2024-01-26T00:00:00"/>
    <x v="2"/>
    <x v="0"/>
    <x v="0"/>
    <x v="22"/>
    <n v="446.56"/>
    <n v="1"/>
    <x v="1"/>
    <n v="125.81"/>
    <x v="63"/>
    <x v="0"/>
    <x v="5"/>
  </r>
  <r>
    <s v="ORD-1813"/>
    <x v="33"/>
    <d v="2024-05-12T00:00:00"/>
    <x v="1"/>
    <x v="1"/>
    <x v="1"/>
    <x v="1"/>
    <n v="1831.31"/>
    <n v="1"/>
    <x v="3"/>
    <n v="542.36"/>
    <x v="67"/>
    <x v="0"/>
    <x v="7"/>
  </r>
  <r>
    <s v="ORD-1814"/>
    <x v="113"/>
    <d v="2024-02-05T00:00:00"/>
    <x v="0"/>
    <x v="0"/>
    <x v="7"/>
    <x v="12"/>
    <n v="876.43"/>
    <n v="14"/>
    <x v="2"/>
    <n v="72.13"/>
    <x v="194"/>
    <x v="0"/>
    <x v="8"/>
  </r>
  <r>
    <s v="ORD-1815"/>
    <x v="9"/>
    <d v="2024-10-17T00:00:00"/>
    <x v="1"/>
    <x v="0"/>
    <x v="6"/>
    <x v="6"/>
    <n v="703.01"/>
    <n v="7"/>
    <x v="1"/>
    <n v="110.35"/>
    <x v="188"/>
    <x v="1"/>
    <x v="1"/>
  </r>
  <r>
    <s v="ORD-1816"/>
    <x v="331"/>
    <d v="2024-07-29T00:00:00"/>
    <x v="0"/>
    <x v="2"/>
    <x v="10"/>
    <x v="17"/>
    <n v="1075.3599999999999"/>
    <n v="9"/>
    <x v="0"/>
    <n v="-255.05"/>
    <x v="127"/>
    <x v="2"/>
    <x v="10"/>
  </r>
  <r>
    <s v="ORD-1817"/>
    <x v="53"/>
    <d v="2024-04-27T00:00:00"/>
    <x v="3"/>
    <x v="0"/>
    <x v="6"/>
    <x v="8"/>
    <n v="2921.99"/>
    <n v="19"/>
    <x v="4"/>
    <n v="-366.95"/>
    <x v="121"/>
    <x v="2"/>
    <x v="3"/>
  </r>
  <r>
    <s v="ORD-1818"/>
    <x v="283"/>
    <d v="2024-06-21T00:00:00"/>
    <x v="1"/>
    <x v="2"/>
    <x v="10"/>
    <x v="17"/>
    <n v="3917.58"/>
    <n v="16"/>
    <x v="1"/>
    <n v="589.72"/>
    <x v="13"/>
    <x v="1"/>
    <x v="6"/>
  </r>
  <r>
    <s v="ORD-1819"/>
    <x v="158"/>
    <d v="2024-11-02T00:00:00"/>
    <x v="2"/>
    <x v="0"/>
    <x v="7"/>
    <x v="12"/>
    <n v="2453.0100000000002"/>
    <n v="1"/>
    <x v="4"/>
    <n v="138.26"/>
    <x v="222"/>
    <x v="0"/>
    <x v="1"/>
  </r>
  <r>
    <s v="ORD-1820"/>
    <x v="321"/>
    <d v="2024-03-08T00:00:00"/>
    <x v="1"/>
    <x v="0"/>
    <x v="6"/>
    <x v="15"/>
    <n v="2574.12"/>
    <n v="2"/>
    <x v="4"/>
    <n v="417.93"/>
    <x v="72"/>
    <x v="0"/>
    <x v="11"/>
  </r>
  <r>
    <s v="ORD-1821"/>
    <x v="186"/>
    <d v="2024-03-24T00:00:00"/>
    <x v="1"/>
    <x v="0"/>
    <x v="5"/>
    <x v="18"/>
    <n v="3712.78"/>
    <n v="20"/>
    <x v="5"/>
    <n v="1009.05"/>
    <x v="79"/>
    <x v="2"/>
    <x v="11"/>
  </r>
  <r>
    <s v="ORD-1822"/>
    <x v="20"/>
    <d v="2024-05-27T00:00:00"/>
    <x v="0"/>
    <x v="0"/>
    <x v="6"/>
    <x v="7"/>
    <n v="3064.57"/>
    <n v="8"/>
    <x v="0"/>
    <n v="457.79"/>
    <x v="0"/>
    <x v="2"/>
    <x v="7"/>
  </r>
  <r>
    <s v="ORD-1823"/>
    <x v="45"/>
    <d v="2024-10-03T00:00:00"/>
    <x v="1"/>
    <x v="0"/>
    <x v="7"/>
    <x v="12"/>
    <n v="3522.65"/>
    <n v="17"/>
    <x v="3"/>
    <n v="370.1"/>
    <x v="90"/>
    <x v="2"/>
    <x v="1"/>
  </r>
  <r>
    <s v="ORD-1824"/>
    <x v="332"/>
    <d v="2024-02-10T00:00:00"/>
    <x v="0"/>
    <x v="1"/>
    <x v="1"/>
    <x v="20"/>
    <n v="3970.05"/>
    <n v="7"/>
    <x v="4"/>
    <n v="307.79000000000002"/>
    <x v="195"/>
    <x v="0"/>
    <x v="8"/>
  </r>
  <r>
    <s v="ORD-1825"/>
    <x v="139"/>
    <d v="2024-04-17T00:00:00"/>
    <x v="0"/>
    <x v="2"/>
    <x v="9"/>
    <x v="27"/>
    <n v="865.6"/>
    <n v="7"/>
    <x v="4"/>
    <n v="153.38999999999999"/>
    <x v="226"/>
    <x v="2"/>
    <x v="3"/>
  </r>
  <r>
    <s v="ORD-1826"/>
    <x v="169"/>
    <d v="2024-06-08T00:00:00"/>
    <x v="2"/>
    <x v="0"/>
    <x v="7"/>
    <x v="24"/>
    <n v="3484.1"/>
    <n v="16"/>
    <x v="1"/>
    <n v="1168.23"/>
    <x v="216"/>
    <x v="2"/>
    <x v="6"/>
  </r>
  <r>
    <s v="ORD-1827"/>
    <x v="249"/>
    <d v="2024-07-14T00:00:00"/>
    <x v="2"/>
    <x v="2"/>
    <x v="9"/>
    <x v="30"/>
    <n v="2535.23"/>
    <n v="14"/>
    <x v="4"/>
    <n v="750.13"/>
    <x v="118"/>
    <x v="0"/>
    <x v="10"/>
  </r>
  <r>
    <s v="ORD-1828"/>
    <x v="71"/>
    <d v="2024-01-17T00:00:00"/>
    <x v="2"/>
    <x v="1"/>
    <x v="3"/>
    <x v="32"/>
    <n v="2323.1999999999998"/>
    <n v="6"/>
    <x v="3"/>
    <n v="381.32"/>
    <x v="101"/>
    <x v="2"/>
    <x v="5"/>
  </r>
  <r>
    <s v="ORD-1829"/>
    <x v="180"/>
    <d v="2024-05-31T00:00:00"/>
    <x v="2"/>
    <x v="1"/>
    <x v="3"/>
    <x v="32"/>
    <n v="2930.74"/>
    <n v="7"/>
    <x v="4"/>
    <n v="-952.02"/>
    <x v="222"/>
    <x v="2"/>
    <x v="7"/>
  </r>
  <r>
    <s v="ORD-1830"/>
    <x v="171"/>
    <d v="2024-09-18T00:00:00"/>
    <x v="2"/>
    <x v="2"/>
    <x v="9"/>
    <x v="27"/>
    <n v="3889.35"/>
    <n v="12"/>
    <x v="5"/>
    <n v="765.68"/>
    <x v="21"/>
    <x v="1"/>
    <x v="9"/>
  </r>
  <r>
    <s v="ORD-1831"/>
    <x v="233"/>
    <d v="2024-10-29T00:00:00"/>
    <x v="2"/>
    <x v="1"/>
    <x v="1"/>
    <x v="10"/>
    <n v="3745.49"/>
    <n v="6"/>
    <x v="4"/>
    <n v="1044.56"/>
    <x v="23"/>
    <x v="1"/>
    <x v="1"/>
  </r>
  <r>
    <s v="ORD-1832"/>
    <x v="172"/>
    <d v="2024-07-04T00:00:00"/>
    <x v="3"/>
    <x v="0"/>
    <x v="5"/>
    <x v="5"/>
    <n v="1695"/>
    <n v="14"/>
    <x v="0"/>
    <n v="210.24"/>
    <x v="113"/>
    <x v="2"/>
    <x v="6"/>
  </r>
  <r>
    <s v="ORD-1833"/>
    <x v="93"/>
    <d v="2024-07-04T00:00:00"/>
    <x v="1"/>
    <x v="2"/>
    <x v="9"/>
    <x v="30"/>
    <n v="802.63"/>
    <n v="8"/>
    <x v="2"/>
    <n v="179.39"/>
    <x v="168"/>
    <x v="2"/>
    <x v="10"/>
  </r>
  <r>
    <s v="ORD-1834"/>
    <x v="237"/>
    <d v="2024-03-23T00:00:00"/>
    <x v="0"/>
    <x v="1"/>
    <x v="4"/>
    <x v="4"/>
    <n v="1741.25"/>
    <n v="19"/>
    <x v="1"/>
    <n v="357.93"/>
    <x v="167"/>
    <x v="1"/>
    <x v="11"/>
  </r>
  <r>
    <s v="ORD-1835"/>
    <x v="149"/>
    <d v="2024-08-06T00:00:00"/>
    <x v="2"/>
    <x v="2"/>
    <x v="2"/>
    <x v="33"/>
    <n v="3878.81"/>
    <n v="13"/>
    <x v="2"/>
    <n v="552.32000000000005"/>
    <x v="223"/>
    <x v="0"/>
    <x v="4"/>
  </r>
  <r>
    <s v="ORD-1836"/>
    <x v="263"/>
    <d v="2024-02-16T00:00:00"/>
    <x v="3"/>
    <x v="1"/>
    <x v="3"/>
    <x v="32"/>
    <n v="3737.56"/>
    <n v="13"/>
    <x v="0"/>
    <n v="532.34"/>
    <x v="12"/>
    <x v="2"/>
    <x v="8"/>
  </r>
  <r>
    <s v="ORD-1837"/>
    <x v="123"/>
    <d v="2024-09-08T00:00:00"/>
    <x v="0"/>
    <x v="1"/>
    <x v="4"/>
    <x v="4"/>
    <n v="2218.61"/>
    <n v="10"/>
    <x v="0"/>
    <n v="397.76"/>
    <x v="128"/>
    <x v="1"/>
    <x v="9"/>
  </r>
  <r>
    <s v="ORD-1838"/>
    <x v="122"/>
    <d v="2024-04-07T00:00:00"/>
    <x v="1"/>
    <x v="2"/>
    <x v="10"/>
    <x v="28"/>
    <n v="1939.98"/>
    <n v="7"/>
    <x v="4"/>
    <n v="213.95"/>
    <x v="62"/>
    <x v="2"/>
    <x v="3"/>
  </r>
  <r>
    <s v="ORD-1839"/>
    <x v="62"/>
    <d v="2024-04-12T00:00:00"/>
    <x v="2"/>
    <x v="2"/>
    <x v="8"/>
    <x v="13"/>
    <n v="872.97"/>
    <n v="10"/>
    <x v="1"/>
    <n v="142.57"/>
    <x v="52"/>
    <x v="0"/>
    <x v="3"/>
  </r>
  <r>
    <s v="ORD-1840"/>
    <x v="260"/>
    <d v="2024-06-24T00:00:00"/>
    <x v="1"/>
    <x v="2"/>
    <x v="9"/>
    <x v="30"/>
    <n v="3102"/>
    <n v="1"/>
    <x v="1"/>
    <n v="402.71"/>
    <x v="144"/>
    <x v="1"/>
    <x v="6"/>
  </r>
  <r>
    <s v="ORD-1841"/>
    <x v="333"/>
    <d v="2024-12-06T00:00:00"/>
    <x v="0"/>
    <x v="1"/>
    <x v="4"/>
    <x v="11"/>
    <n v="1658.75"/>
    <n v="17"/>
    <x v="3"/>
    <n v="546.79"/>
    <x v="158"/>
    <x v="1"/>
    <x v="2"/>
  </r>
  <r>
    <s v="ORD-1842"/>
    <x v="144"/>
    <d v="2024-06-27T00:00:00"/>
    <x v="3"/>
    <x v="2"/>
    <x v="2"/>
    <x v="21"/>
    <n v="3313.18"/>
    <n v="12"/>
    <x v="0"/>
    <n v="561.72"/>
    <x v="124"/>
    <x v="0"/>
    <x v="6"/>
  </r>
  <r>
    <s v="ORD-1843"/>
    <x v="201"/>
    <d v="2024-07-06T00:00:00"/>
    <x v="0"/>
    <x v="1"/>
    <x v="3"/>
    <x v="25"/>
    <n v="2969.58"/>
    <n v="5"/>
    <x v="1"/>
    <n v="684.7"/>
    <x v="184"/>
    <x v="2"/>
    <x v="10"/>
  </r>
  <r>
    <s v="ORD-1844"/>
    <x v="328"/>
    <d v="2024-05-26T00:00:00"/>
    <x v="3"/>
    <x v="2"/>
    <x v="9"/>
    <x v="30"/>
    <n v="1799.22"/>
    <n v="7"/>
    <x v="1"/>
    <n v="622.27"/>
    <x v="139"/>
    <x v="0"/>
    <x v="7"/>
  </r>
  <r>
    <s v="ORD-1845"/>
    <x v="240"/>
    <d v="2024-06-13T00:00:00"/>
    <x v="3"/>
    <x v="1"/>
    <x v="4"/>
    <x v="4"/>
    <n v="2792.24"/>
    <n v="8"/>
    <x v="2"/>
    <n v="545.49"/>
    <x v="38"/>
    <x v="0"/>
    <x v="6"/>
  </r>
  <r>
    <s v="ORD-1846"/>
    <x v="221"/>
    <d v="2024-02-16T00:00:00"/>
    <x v="2"/>
    <x v="2"/>
    <x v="8"/>
    <x v="13"/>
    <n v="1693.22"/>
    <n v="20"/>
    <x v="4"/>
    <n v="446.3"/>
    <x v="53"/>
    <x v="1"/>
    <x v="8"/>
  </r>
  <r>
    <s v="ORD-1847"/>
    <x v="18"/>
    <d v="2024-10-19T00:00:00"/>
    <x v="1"/>
    <x v="2"/>
    <x v="8"/>
    <x v="23"/>
    <n v="3371.33"/>
    <n v="18"/>
    <x v="5"/>
    <n v="338.53"/>
    <x v="119"/>
    <x v="1"/>
    <x v="1"/>
  </r>
  <r>
    <s v="ORD-1848"/>
    <x v="148"/>
    <d v="2024-03-07T00:00:00"/>
    <x v="1"/>
    <x v="1"/>
    <x v="1"/>
    <x v="1"/>
    <n v="3074.7"/>
    <n v="3"/>
    <x v="1"/>
    <n v="554.89"/>
    <x v="83"/>
    <x v="2"/>
    <x v="8"/>
  </r>
  <r>
    <s v="ORD-1849"/>
    <x v="237"/>
    <d v="2024-03-28T00:00:00"/>
    <x v="2"/>
    <x v="2"/>
    <x v="10"/>
    <x v="17"/>
    <n v="2747.25"/>
    <n v="4"/>
    <x v="0"/>
    <n v="249.25"/>
    <x v="123"/>
    <x v="0"/>
    <x v="11"/>
  </r>
  <r>
    <s v="ORD-1850"/>
    <x v="123"/>
    <d v="2024-09-09T00:00:00"/>
    <x v="3"/>
    <x v="1"/>
    <x v="4"/>
    <x v="11"/>
    <n v="2664.95"/>
    <n v="13"/>
    <x v="0"/>
    <n v="727.24"/>
    <x v="42"/>
    <x v="2"/>
    <x v="9"/>
  </r>
  <r>
    <s v="ORD-1851"/>
    <x v="161"/>
    <d v="2024-12-06T00:00:00"/>
    <x v="1"/>
    <x v="1"/>
    <x v="3"/>
    <x v="3"/>
    <n v="1341.16"/>
    <n v="4"/>
    <x v="1"/>
    <n v="203.95"/>
    <x v="188"/>
    <x v="1"/>
    <x v="0"/>
  </r>
  <r>
    <s v="ORD-1852"/>
    <x v="78"/>
    <d v="2024-04-07T00:00:00"/>
    <x v="3"/>
    <x v="1"/>
    <x v="3"/>
    <x v="25"/>
    <n v="2413.44"/>
    <n v="1"/>
    <x v="3"/>
    <n v="165.48"/>
    <x v="64"/>
    <x v="1"/>
    <x v="3"/>
  </r>
  <r>
    <s v="ORD-1853"/>
    <x v="203"/>
    <d v="2024-07-23T00:00:00"/>
    <x v="3"/>
    <x v="2"/>
    <x v="10"/>
    <x v="28"/>
    <n v="649.70000000000005"/>
    <n v="1"/>
    <x v="2"/>
    <n v="198.62"/>
    <x v="30"/>
    <x v="2"/>
    <x v="10"/>
  </r>
  <r>
    <s v="ORD-1854"/>
    <x v="88"/>
    <d v="2024-06-03T00:00:00"/>
    <x v="2"/>
    <x v="0"/>
    <x v="6"/>
    <x v="15"/>
    <n v="2505.5"/>
    <n v="5"/>
    <x v="0"/>
    <n v="625.39"/>
    <x v="233"/>
    <x v="2"/>
    <x v="7"/>
  </r>
  <r>
    <s v="ORD-1855"/>
    <x v="2"/>
    <d v="2024-12-25T00:00:00"/>
    <x v="3"/>
    <x v="2"/>
    <x v="8"/>
    <x v="23"/>
    <n v="3988.18"/>
    <n v="19"/>
    <x v="5"/>
    <n v="954.46"/>
    <x v="195"/>
    <x v="1"/>
    <x v="2"/>
  </r>
  <r>
    <s v="ORD-1856"/>
    <x v="232"/>
    <d v="2024-06-04T00:00:00"/>
    <x v="0"/>
    <x v="2"/>
    <x v="10"/>
    <x v="28"/>
    <n v="3430.26"/>
    <n v="8"/>
    <x v="0"/>
    <n v="928.63"/>
    <x v="107"/>
    <x v="2"/>
    <x v="7"/>
  </r>
  <r>
    <s v="ORD-1857"/>
    <x v="150"/>
    <d v="2024-04-08T00:00:00"/>
    <x v="2"/>
    <x v="2"/>
    <x v="10"/>
    <x v="28"/>
    <n v="2304.79"/>
    <n v="11"/>
    <x v="5"/>
    <n v="583.96"/>
    <x v="131"/>
    <x v="0"/>
    <x v="3"/>
  </r>
  <r>
    <s v="ORD-1858"/>
    <x v="245"/>
    <d v="2024-07-25T00:00:00"/>
    <x v="0"/>
    <x v="0"/>
    <x v="0"/>
    <x v="31"/>
    <n v="2861.41"/>
    <n v="7"/>
    <x v="0"/>
    <n v="878.1"/>
    <x v="112"/>
    <x v="2"/>
    <x v="10"/>
  </r>
  <r>
    <s v="ORD-1859"/>
    <x v="275"/>
    <d v="2024-03-13T00:00:00"/>
    <x v="0"/>
    <x v="0"/>
    <x v="0"/>
    <x v="22"/>
    <n v="2704.88"/>
    <n v="19"/>
    <x v="4"/>
    <n v="493.82"/>
    <x v="117"/>
    <x v="1"/>
    <x v="11"/>
  </r>
  <r>
    <s v="ORD-1860"/>
    <x v="261"/>
    <d v="2024-03-18T00:00:00"/>
    <x v="1"/>
    <x v="0"/>
    <x v="7"/>
    <x v="12"/>
    <n v="2692.14"/>
    <n v="12"/>
    <x v="0"/>
    <n v="-826.06"/>
    <x v="139"/>
    <x v="0"/>
    <x v="11"/>
  </r>
  <r>
    <s v="ORD-1861"/>
    <x v="313"/>
    <d v="2024-03-22T00:00:00"/>
    <x v="2"/>
    <x v="0"/>
    <x v="7"/>
    <x v="29"/>
    <n v="610.17999999999995"/>
    <n v="16"/>
    <x v="4"/>
    <n v="-203.51"/>
    <x v="203"/>
    <x v="1"/>
    <x v="11"/>
  </r>
  <r>
    <s v="ORD-1862"/>
    <x v="137"/>
    <d v="2024-09-25T00:00:00"/>
    <x v="2"/>
    <x v="1"/>
    <x v="4"/>
    <x v="4"/>
    <n v="1168.75"/>
    <n v="4"/>
    <x v="4"/>
    <n v="197.51"/>
    <x v="202"/>
    <x v="0"/>
    <x v="9"/>
  </r>
  <r>
    <s v="ORD-1863"/>
    <x v="59"/>
    <d v="2024-11-03T00:00:00"/>
    <x v="2"/>
    <x v="0"/>
    <x v="5"/>
    <x v="19"/>
    <n v="3493.36"/>
    <n v="13"/>
    <x v="3"/>
    <n v="837.36"/>
    <x v="27"/>
    <x v="0"/>
    <x v="0"/>
  </r>
  <r>
    <s v="ORD-1864"/>
    <x v="11"/>
    <d v="2024-01-07T00:00:00"/>
    <x v="0"/>
    <x v="1"/>
    <x v="1"/>
    <x v="10"/>
    <n v="2655.28"/>
    <n v="17"/>
    <x v="4"/>
    <n v="151.11000000000001"/>
    <x v="151"/>
    <x v="2"/>
    <x v="5"/>
  </r>
  <r>
    <s v="ORD-1865"/>
    <x v="205"/>
    <d v="2024-10-27T00:00:00"/>
    <x v="3"/>
    <x v="0"/>
    <x v="5"/>
    <x v="5"/>
    <n v="929.11"/>
    <n v="16"/>
    <x v="0"/>
    <n v="242.33"/>
    <x v="221"/>
    <x v="0"/>
    <x v="1"/>
  </r>
  <r>
    <s v="ORD-1866"/>
    <x v="320"/>
    <d v="2024-03-06T00:00:00"/>
    <x v="3"/>
    <x v="1"/>
    <x v="4"/>
    <x v="11"/>
    <n v="1769.99"/>
    <n v="1"/>
    <x v="5"/>
    <n v="383.77"/>
    <x v="90"/>
    <x v="1"/>
    <x v="11"/>
  </r>
  <r>
    <s v="ORD-1867"/>
    <x v="198"/>
    <d v="2024-10-05T00:00:00"/>
    <x v="0"/>
    <x v="0"/>
    <x v="5"/>
    <x v="18"/>
    <n v="3871.3"/>
    <n v="4"/>
    <x v="4"/>
    <n v="1194.69"/>
    <x v="61"/>
    <x v="0"/>
    <x v="9"/>
  </r>
  <r>
    <s v="ORD-1868"/>
    <x v="223"/>
    <d v="2024-01-10T00:00:00"/>
    <x v="3"/>
    <x v="1"/>
    <x v="1"/>
    <x v="1"/>
    <n v="2406.5500000000002"/>
    <n v="6"/>
    <x v="1"/>
    <n v="526.42999999999995"/>
    <x v="87"/>
    <x v="1"/>
    <x v="5"/>
  </r>
  <r>
    <s v="ORD-1869"/>
    <x v="334"/>
    <d v="2024-01-19T00:00:00"/>
    <x v="0"/>
    <x v="0"/>
    <x v="0"/>
    <x v="31"/>
    <n v="3873.54"/>
    <n v="6"/>
    <x v="5"/>
    <n v="1329.13"/>
    <x v="224"/>
    <x v="0"/>
    <x v="5"/>
  </r>
  <r>
    <s v="ORD-1870"/>
    <x v="33"/>
    <d v="2024-05-11T00:00:00"/>
    <x v="0"/>
    <x v="0"/>
    <x v="0"/>
    <x v="22"/>
    <n v="774.46"/>
    <n v="16"/>
    <x v="0"/>
    <n v="111.43"/>
    <x v="62"/>
    <x v="1"/>
    <x v="7"/>
  </r>
  <r>
    <s v="ORD-1871"/>
    <x v="267"/>
    <d v="2024-07-02T00:00:00"/>
    <x v="0"/>
    <x v="0"/>
    <x v="5"/>
    <x v="18"/>
    <n v="387.75"/>
    <n v="5"/>
    <x v="3"/>
    <n v="118.97"/>
    <x v="149"/>
    <x v="2"/>
    <x v="6"/>
  </r>
  <r>
    <s v="ORD-1872"/>
    <x v="185"/>
    <d v="2024-03-12T00:00:00"/>
    <x v="3"/>
    <x v="2"/>
    <x v="10"/>
    <x v="17"/>
    <n v="528.85"/>
    <n v="9"/>
    <x v="3"/>
    <n v="87.01"/>
    <x v="234"/>
    <x v="0"/>
    <x v="11"/>
  </r>
  <r>
    <s v="ORD-1873"/>
    <x v="118"/>
    <d v="2024-07-30T00:00:00"/>
    <x v="0"/>
    <x v="2"/>
    <x v="9"/>
    <x v="30"/>
    <n v="787.16"/>
    <n v="7"/>
    <x v="1"/>
    <n v="188.03"/>
    <x v="151"/>
    <x v="1"/>
    <x v="10"/>
  </r>
  <r>
    <s v="ORD-1874"/>
    <x v="335"/>
    <d v="2024-11-23T00:00:00"/>
    <x v="3"/>
    <x v="0"/>
    <x v="7"/>
    <x v="24"/>
    <n v="3330.88"/>
    <n v="11"/>
    <x v="5"/>
    <n v="545.21"/>
    <x v="70"/>
    <x v="2"/>
    <x v="0"/>
  </r>
  <r>
    <s v="ORD-1875"/>
    <x v="16"/>
    <d v="2024-05-07T00:00:00"/>
    <x v="3"/>
    <x v="1"/>
    <x v="4"/>
    <x v="11"/>
    <n v="2814.92"/>
    <n v="14"/>
    <x v="1"/>
    <n v="-418.88"/>
    <x v="206"/>
    <x v="2"/>
    <x v="7"/>
  </r>
  <r>
    <s v="ORD-1876"/>
    <x v="310"/>
    <d v="2024-06-23T00:00:00"/>
    <x v="1"/>
    <x v="1"/>
    <x v="3"/>
    <x v="3"/>
    <n v="617.29999999999995"/>
    <n v="8"/>
    <x v="5"/>
    <n v="207.13"/>
    <x v="223"/>
    <x v="2"/>
    <x v="6"/>
  </r>
  <r>
    <s v="ORD-1877"/>
    <x v="321"/>
    <d v="2024-03-06T00:00:00"/>
    <x v="3"/>
    <x v="0"/>
    <x v="6"/>
    <x v="8"/>
    <n v="2233.6"/>
    <n v="19"/>
    <x v="3"/>
    <n v="481.26"/>
    <x v="93"/>
    <x v="2"/>
    <x v="11"/>
  </r>
  <r>
    <s v="ORD-1878"/>
    <x v="153"/>
    <d v="2024-01-27T00:00:00"/>
    <x v="3"/>
    <x v="2"/>
    <x v="10"/>
    <x v="17"/>
    <n v="3272.82"/>
    <n v="18"/>
    <x v="2"/>
    <n v="747.46"/>
    <x v="132"/>
    <x v="2"/>
    <x v="5"/>
  </r>
  <r>
    <s v="ORD-1879"/>
    <x v="336"/>
    <d v="2024-09-03T00:00:00"/>
    <x v="3"/>
    <x v="1"/>
    <x v="4"/>
    <x v="11"/>
    <n v="2715.86"/>
    <n v="5"/>
    <x v="5"/>
    <n v="598.22"/>
    <x v="77"/>
    <x v="1"/>
    <x v="9"/>
  </r>
  <r>
    <s v="ORD-1880"/>
    <x v="0"/>
    <d v="2024-11-28T00:00:00"/>
    <x v="1"/>
    <x v="0"/>
    <x v="6"/>
    <x v="6"/>
    <n v="936.64"/>
    <n v="12"/>
    <x v="5"/>
    <n v="187.95"/>
    <x v="59"/>
    <x v="0"/>
    <x v="0"/>
  </r>
  <r>
    <s v="ORD-1881"/>
    <x v="187"/>
    <d v="2024-08-10T00:00:00"/>
    <x v="3"/>
    <x v="0"/>
    <x v="5"/>
    <x v="19"/>
    <n v="1774.43"/>
    <n v="11"/>
    <x v="1"/>
    <n v="-426.58"/>
    <x v="188"/>
    <x v="0"/>
    <x v="4"/>
  </r>
  <r>
    <s v="ORD-1882"/>
    <x v="189"/>
    <d v="2024-05-03T00:00:00"/>
    <x v="1"/>
    <x v="0"/>
    <x v="5"/>
    <x v="18"/>
    <n v="3037.79"/>
    <n v="18"/>
    <x v="5"/>
    <n v="-888.57"/>
    <x v="111"/>
    <x v="1"/>
    <x v="7"/>
  </r>
  <r>
    <s v="ORD-1883"/>
    <x v="119"/>
    <d v="2024-08-07T00:00:00"/>
    <x v="2"/>
    <x v="2"/>
    <x v="8"/>
    <x v="23"/>
    <n v="302.13"/>
    <n v="7"/>
    <x v="0"/>
    <n v="15.77"/>
    <x v="165"/>
    <x v="2"/>
    <x v="4"/>
  </r>
  <r>
    <s v="ORD-1884"/>
    <x v="129"/>
    <d v="2024-10-05T00:00:00"/>
    <x v="1"/>
    <x v="0"/>
    <x v="5"/>
    <x v="5"/>
    <n v="1932.45"/>
    <n v="6"/>
    <x v="0"/>
    <n v="635.88"/>
    <x v="16"/>
    <x v="0"/>
    <x v="9"/>
  </r>
  <r>
    <s v="ORD-1885"/>
    <x v="128"/>
    <d v="2024-04-27T00:00:00"/>
    <x v="0"/>
    <x v="2"/>
    <x v="10"/>
    <x v="17"/>
    <n v="3821.81"/>
    <n v="14"/>
    <x v="5"/>
    <n v="625.74"/>
    <x v="15"/>
    <x v="1"/>
    <x v="3"/>
  </r>
  <r>
    <s v="ORD-1886"/>
    <x v="31"/>
    <d v="2024-03-03T00:00:00"/>
    <x v="1"/>
    <x v="0"/>
    <x v="5"/>
    <x v="19"/>
    <n v="1371.92"/>
    <n v="10"/>
    <x v="3"/>
    <n v="156.29"/>
    <x v="206"/>
    <x v="1"/>
    <x v="8"/>
  </r>
  <r>
    <s v="ORD-1887"/>
    <x v="134"/>
    <d v="2024-10-24T00:00:00"/>
    <x v="1"/>
    <x v="2"/>
    <x v="8"/>
    <x v="23"/>
    <n v="3596.85"/>
    <n v="16"/>
    <x v="1"/>
    <n v="563.71"/>
    <x v="175"/>
    <x v="0"/>
    <x v="1"/>
  </r>
  <r>
    <s v="ORD-1888"/>
    <x v="337"/>
    <d v="2024-06-21T00:00:00"/>
    <x v="3"/>
    <x v="1"/>
    <x v="1"/>
    <x v="10"/>
    <n v="3588.24"/>
    <n v="6"/>
    <x v="5"/>
    <n v="-561.05999999999995"/>
    <x v="36"/>
    <x v="0"/>
    <x v="6"/>
  </r>
  <r>
    <s v="ORD-1889"/>
    <x v="123"/>
    <d v="2024-09-11T00:00:00"/>
    <x v="0"/>
    <x v="0"/>
    <x v="7"/>
    <x v="24"/>
    <n v="714.41"/>
    <n v="16"/>
    <x v="1"/>
    <n v="69.08"/>
    <x v="100"/>
    <x v="0"/>
    <x v="9"/>
  </r>
  <r>
    <s v="ORD-1890"/>
    <x v="128"/>
    <d v="2024-05-02T00:00:00"/>
    <x v="2"/>
    <x v="2"/>
    <x v="2"/>
    <x v="21"/>
    <n v="1856.28"/>
    <n v="6"/>
    <x v="2"/>
    <n v="-544.75"/>
    <x v="85"/>
    <x v="1"/>
    <x v="3"/>
  </r>
  <r>
    <s v="ORD-1891"/>
    <x v="309"/>
    <d v="2024-08-19T00:00:00"/>
    <x v="1"/>
    <x v="1"/>
    <x v="3"/>
    <x v="25"/>
    <n v="271.79000000000002"/>
    <n v="7"/>
    <x v="1"/>
    <n v="-29.05"/>
    <x v="130"/>
    <x v="2"/>
    <x v="4"/>
  </r>
  <r>
    <s v="ORD-1892"/>
    <x v="338"/>
    <d v="2024-07-27T00:00:00"/>
    <x v="3"/>
    <x v="1"/>
    <x v="1"/>
    <x v="20"/>
    <n v="996.22"/>
    <n v="16"/>
    <x v="0"/>
    <n v="-343.57"/>
    <x v="158"/>
    <x v="1"/>
    <x v="10"/>
  </r>
  <r>
    <s v="ORD-1893"/>
    <x v="56"/>
    <d v="2024-09-14T00:00:00"/>
    <x v="1"/>
    <x v="2"/>
    <x v="9"/>
    <x v="30"/>
    <n v="2972.48"/>
    <n v="13"/>
    <x v="4"/>
    <n v="-246.48"/>
    <x v="148"/>
    <x v="0"/>
    <x v="9"/>
  </r>
  <r>
    <s v="ORD-1894"/>
    <x v="71"/>
    <d v="2024-01-13T00:00:00"/>
    <x v="1"/>
    <x v="2"/>
    <x v="8"/>
    <x v="13"/>
    <n v="1136.8900000000001"/>
    <n v="11"/>
    <x v="5"/>
    <n v="389.88"/>
    <x v="224"/>
    <x v="1"/>
    <x v="5"/>
  </r>
  <r>
    <s v="ORD-1895"/>
    <x v="243"/>
    <d v="2024-08-17T00:00:00"/>
    <x v="3"/>
    <x v="2"/>
    <x v="9"/>
    <x v="14"/>
    <n v="3103.37"/>
    <n v="8"/>
    <x v="2"/>
    <n v="297.14"/>
    <x v="5"/>
    <x v="2"/>
    <x v="4"/>
  </r>
  <r>
    <s v="ORD-1896"/>
    <x v="33"/>
    <d v="2024-05-11T00:00:00"/>
    <x v="0"/>
    <x v="2"/>
    <x v="10"/>
    <x v="17"/>
    <n v="994.05"/>
    <n v="4"/>
    <x v="0"/>
    <n v="267.54000000000002"/>
    <x v="148"/>
    <x v="0"/>
    <x v="7"/>
  </r>
  <r>
    <s v="ORD-1897"/>
    <x v="78"/>
    <d v="2024-04-08T00:00:00"/>
    <x v="1"/>
    <x v="1"/>
    <x v="1"/>
    <x v="10"/>
    <n v="393.87"/>
    <n v="7"/>
    <x v="4"/>
    <n v="70.069999999999993"/>
    <x v="50"/>
    <x v="0"/>
    <x v="3"/>
  </r>
  <r>
    <s v="ORD-1898"/>
    <x v="72"/>
    <d v="2024-02-16T00:00:00"/>
    <x v="2"/>
    <x v="2"/>
    <x v="2"/>
    <x v="33"/>
    <n v="2624.91"/>
    <n v="8"/>
    <x v="4"/>
    <n v="395.98"/>
    <x v="196"/>
    <x v="0"/>
    <x v="8"/>
  </r>
  <r>
    <s v="ORD-1899"/>
    <x v="255"/>
    <d v="2024-09-24T00:00:00"/>
    <x v="0"/>
    <x v="2"/>
    <x v="8"/>
    <x v="23"/>
    <n v="1613.41"/>
    <n v="12"/>
    <x v="0"/>
    <n v="283.02999999999997"/>
    <x v="179"/>
    <x v="1"/>
    <x v="9"/>
  </r>
  <r>
    <s v="ORD-1900"/>
    <x v="153"/>
    <d v="2024-01-27T00:00:00"/>
    <x v="0"/>
    <x v="1"/>
    <x v="1"/>
    <x v="20"/>
    <n v="3042.83"/>
    <n v="7"/>
    <x v="3"/>
    <n v="583.05999999999995"/>
    <x v="213"/>
    <x v="0"/>
    <x v="5"/>
  </r>
  <r>
    <s v="ORD-1901"/>
    <x v="213"/>
    <d v="2024-02-27T00:00:00"/>
    <x v="1"/>
    <x v="2"/>
    <x v="9"/>
    <x v="27"/>
    <n v="1503.56"/>
    <n v="4"/>
    <x v="1"/>
    <n v="376.92"/>
    <x v="149"/>
    <x v="0"/>
    <x v="8"/>
  </r>
  <r>
    <s v="ORD-1902"/>
    <x v="228"/>
    <d v="2024-03-12T00:00:00"/>
    <x v="3"/>
    <x v="0"/>
    <x v="0"/>
    <x v="31"/>
    <n v="1143.45"/>
    <n v="9"/>
    <x v="4"/>
    <n v="-257.62"/>
    <x v="108"/>
    <x v="1"/>
    <x v="11"/>
  </r>
  <r>
    <s v="ORD-1903"/>
    <x v="42"/>
    <d v="2024-02-26T00:00:00"/>
    <x v="0"/>
    <x v="1"/>
    <x v="4"/>
    <x v="11"/>
    <n v="973.48"/>
    <n v="15"/>
    <x v="1"/>
    <n v="70.540000000000006"/>
    <x v="117"/>
    <x v="0"/>
    <x v="8"/>
  </r>
  <r>
    <s v="ORD-1904"/>
    <x v="260"/>
    <d v="2024-06-28T00:00:00"/>
    <x v="2"/>
    <x v="1"/>
    <x v="4"/>
    <x v="11"/>
    <n v="414.29"/>
    <n v="7"/>
    <x v="5"/>
    <n v="89.13"/>
    <x v="29"/>
    <x v="1"/>
    <x v="6"/>
  </r>
  <r>
    <s v="ORD-1905"/>
    <x v="339"/>
    <d v="2024-10-18T00:00:00"/>
    <x v="3"/>
    <x v="2"/>
    <x v="8"/>
    <x v="23"/>
    <n v="503.91"/>
    <n v="14"/>
    <x v="2"/>
    <n v="165.99"/>
    <x v="31"/>
    <x v="0"/>
    <x v="1"/>
  </r>
  <r>
    <s v="ORD-1906"/>
    <x v="340"/>
    <d v="2024-01-14T00:00:00"/>
    <x v="3"/>
    <x v="0"/>
    <x v="7"/>
    <x v="24"/>
    <n v="420.42"/>
    <n v="19"/>
    <x v="1"/>
    <n v="121.21"/>
    <x v="218"/>
    <x v="2"/>
    <x v="5"/>
  </r>
  <r>
    <s v="ORD-1907"/>
    <x v="216"/>
    <d v="2024-07-29T00:00:00"/>
    <x v="0"/>
    <x v="1"/>
    <x v="3"/>
    <x v="25"/>
    <n v="2359.37"/>
    <n v="13"/>
    <x v="5"/>
    <n v="547.76"/>
    <x v="94"/>
    <x v="1"/>
    <x v="10"/>
  </r>
  <r>
    <s v="ORD-1908"/>
    <x v="225"/>
    <d v="2024-01-04T00:00:00"/>
    <x v="1"/>
    <x v="0"/>
    <x v="5"/>
    <x v="5"/>
    <n v="1957.9"/>
    <n v="17"/>
    <x v="3"/>
    <n v="276.11"/>
    <x v="125"/>
    <x v="2"/>
    <x v="5"/>
  </r>
  <r>
    <s v="ORD-1909"/>
    <x v="159"/>
    <d v="2025-01-01T00:00:00"/>
    <x v="0"/>
    <x v="1"/>
    <x v="1"/>
    <x v="1"/>
    <n v="2250.87"/>
    <n v="10"/>
    <x v="1"/>
    <n v="544.45000000000005"/>
    <x v="34"/>
    <x v="2"/>
    <x v="2"/>
  </r>
  <r>
    <s v="ORD-1910"/>
    <x v="20"/>
    <d v="2024-05-24T00:00:00"/>
    <x v="3"/>
    <x v="1"/>
    <x v="4"/>
    <x v="11"/>
    <n v="3960.76"/>
    <n v="7"/>
    <x v="2"/>
    <n v="336.09"/>
    <x v="122"/>
    <x v="1"/>
    <x v="7"/>
  </r>
  <r>
    <s v="ORD-1911"/>
    <x v="81"/>
    <d v="2024-11-24T00:00:00"/>
    <x v="3"/>
    <x v="1"/>
    <x v="4"/>
    <x v="4"/>
    <n v="2957.8"/>
    <n v="14"/>
    <x v="2"/>
    <n v="409.56"/>
    <x v="195"/>
    <x v="2"/>
    <x v="0"/>
  </r>
  <r>
    <s v="ORD-1912"/>
    <x v="68"/>
    <d v="2024-11-16T00:00:00"/>
    <x v="3"/>
    <x v="1"/>
    <x v="4"/>
    <x v="4"/>
    <n v="912.76"/>
    <n v="1"/>
    <x v="2"/>
    <n v="225.63"/>
    <x v="172"/>
    <x v="2"/>
    <x v="0"/>
  </r>
  <r>
    <s v="ORD-1913"/>
    <x v="170"/>
    <d v="2024-10-26T00:00:00"/>
    <x v="2"/>
    <x v="0"/>
    <x v="0"/>
    <x v="0"/>
    <n v="3313.18"/>
    <n v="8"/>
    <x v="3"/>
    <n v="432.83"/>
    <x v="131"/>
    <x v="2"/>
    <x v="1"/>
  </r>
  <r>
    <s v="ORD-1914"/>
    <x v="338"/>
    <d v="2024-07-23T00:00:00"/>
    <x v="2"/>
    <x v="1"/>
    <x v="4"/>
    <x v="4"/>
    <n v="1632.4"/>
    <n v="16"/>
    <x v="1"/>
    <n v="324.5"/>
    <x v="65"/>
    <x v="2"/>
    <x v="10"/>
  </r>
  <r>
    <s v="ORD-1915"/>
    <x v="104"/>
    <d v="2024-04-03T00:00:00"/>
    <x v="2"/>
    <x v="0"/>
    <x v="7"/>
    <x v="12"/>
    <n v="1307.67"/>
    <n v="10"/>
    <x v="4"/>
    <n v="412.67"/>
    <x v="223"/>
    <x v="0"/>
    <x v="11"/>
  </r>
  <r>
    <s v="ORD-1916"/>
    <x v="341"/>
    <d v="2024-12-20T00:00:00"/>
    <x v="0"/>
    <x v="1"/>
    <x v="1"/>
    <x v="10"/>
    <n v="1169.7"/>
    <n v="13"/>
    <x v="1"/>
    <n v="-312.64999999999998"/>
    <x v="62"/>
    <x v="0"/>
    <x v="2"/>
  </r>
  <r>
    <s v="ORD-1917"/>
    <x v="342"/>
    <d v="2024-01-08T00:00:00"/>
    <x v="2"/>
    <x v="2"/>
    <x v="8"/>
    <x v="16"/>
    <n v="3349.61"/>
    <n v="2"/>
    <x v="4"/>
    <n v="-417.04"/>
    <x v="129"/>
    <x v="0"/>
    <x v="5"/>
  </r>
  <r>
    <s v="ORD-1918"/>
    <x v="286"/>
    <d v="2024-03-14T00:00:00"/>
    <x v="0"/>
    <x v="1"/>
    <x v="4"/>
    <x v="4"/>
    <n v="3447.7"/>
    <n v="3"/>
    <x v="4"/>
    <n v="316.39"/>
    <x v="221"/>
    <x v="2"/>
    <x v="11"/>
  </r>
  <r>
    <s v="ORD-1919"/>
    <x v="96"/>
    <d v="2024-08-17T00:00:00"/>
    <x v="3"/>
    <x v="2"/>
    <x v="9"/>
    <x v="14"/>
    <n v="1164.28"/>
    <n v="18"/>
    <x v="0"/>
    <n v="151.63"/>
    <x v="92"/>
    <x v="1"/>
    <x v="4"/>
  </r>
  <r>
    <s v="ORD-1920"/>
    <x v="71"/>
    <d v="2024-01-11T00:00:00"/>
    <x v="0"/>
    <x v="0"/>
    <x v="0"/>
    <x v="9"/>
    <n v="2168.2800000000002"/>
    <n v="14"/>
    <x v="4"/>
    <n v="109.2"/>
    <x v="33"/>
    <x v="1"/>
    <x v="5"/>
  </r>
  <r>
    <s v="ORD-1921"/>
    <x v="324"/>
    <d v="2024-05-02T00:00:00"/>
    <x v="2"/>
    <x v="1"/>
    <x v="3"/>
    <x v="26"/>
    <n v="1097.07"/>
    <n v="13"/>
    <x v="0"/>
    <n v="345.87"/>
    <x v="203"/>
    <x v="2"/>
    <x v="3"/>
  </r>
  <r>
    <s v="ORD-1922"/>
    <x v="31"/>
    <d v="2024-03-05T00:00:00"/>
    <x v="1"/>
    <x v="1"/>
    <x v="1"/>
    <x v="1"/>
    <n v="3836.75"/>
    <n v="10"/>
    <x v="3"/>
    <n v="279.64999999999998"/>
    <x v="122"/>
    <x v="1"/>
    <x v="8"/>
  </r>
  <r>
    <s v="ORD-1923"/>
    <x v="190"/>
    <d v="2024-07-04T00:00:00"/>
    <x v="0"/>
    <x v="0"/>
    <x v="7"/>
    <x v="29"/>
    <n v="1857.36"/>
    <n v="11"/>
    <x v="2"/>
    <n v="193.93"/>
    <x v="194"/>
    <x v="1"/>
    <x v="10"/>
  </r>
  <r>
    <s v="ORD-1924"/>
    <x v="43"/>
    <d v="2024-12-11T00:00:00"/>
    <x v="3"/>
    <x v="2"/>
    <x v="8"/>
    <x v="23"/>
    <n v="3685.88"/>
    <n v="12"/>
    <x v="3"/>
    <n v="1080.76"/>
    <x v="163"/>
    <x v="1"/>
    <x v="2"/>
  </r>
  <r>
    <s v="ORD-1925"/>
    <x v="107"/>
    <d v="2024-02-09T00:00:00"/>
    <x v="1"/>
    <x v="0"/>
    <x v="7"/>
    <x v="24"/>
    <n v="804.18"/>
    <n v="15"/>
    <x v="0"/>
    <n v="232.45"/>
    <x v="44"/>
    <x v="2"/>
    <x v="8"/>
  </r>
  <r>
    <s v="ORD-1926"/>
    <x v="24"/>
    <d v="2024-02-05T00:00:00"/>
    <x v="2"/>
    <x v="0"/>
    <x v="0"/>
    <x v="0"/>
    <n v="589.17999999999995"/>
    <n v="5"/>
    <x v="4"/>
    <n v="165.12"/>
    <x v="228"/>
    <x v="2"/>
    <x v="8"/>
  </r>
  <r>
    <s v="ORD-1927"/>
    <x v="306"/>
    <d v="2024-09-16T00:00:00"/>
    <x v="2"/>
    <x v="0"/>
    <x v="6"/>
    <x v="7"/>
    <n v="768.33"/>
    <n v="8"/>
    <x v="5"/>
    <n v="134.91999999999999"/>
    <x v="99"/>
    <x v="2"/>
    <x v="9"/>
  </r>
  <r>
    <s v="ORD-1928"/>
    <x v="129"/>
    <d v="2024-10-07T00:00:00"/>
    <x v="1"/>
    <x v="2"/>
    <x v="8"/>
    <x v="13"/>
    <n v="2930.95"/>
    <n v="17"/>
    <x v="2"/>
    <n v="829.39"/>
    <x v="139"/>
    <x v="0"/>
    <x v="9"/>
  </r>
  <r>
    <s v="ORD-1929"/>
    <x v="177"/>
    <d v="2024-04-23T00:00:00"/>
    <x v="1"/>
    <x v="2"/>
    <x v="8"/>
    <x v="16"/>
    <n v="3977.14"/>
    <n v="1"/>
    <x v="3"/>
    <n v="865.08"/>
    <x v="194"/>
    <x v="1"/>
    <x v="3"/>
  </r>
  <r>
    <s v="ORD-1930"/>
    <x v="10"/>
    <d v="2024-02-26T00:00:00"/>
    <x v="3"/>
    <x v="2"/>
    <x v="10"/>
    <x v="17"/>
    <n v="1976.46"/>
    <n v="18"/>
    <x v="5"/>
    <n v="242.61"/>
    <x v="53"/>
    <x v="2"/>
    <x v="8"/>
  </r>
  <r>
    <s v="ORD-1931"/>
    <x v="308"/>
    <d v="2024-01-31T00:00:00"/>
    <x v="0"/>
    <x v="0"/>
    <x v="7"/>
    <x v="24"/>
    <n v="2999.06"/>
    <n v="14"/>
    <x v="3"/>
    <n v="-198.61"/>
    <x v="126"/>
    <x v="0"/>
    <x v="5"/>
  </r>
  <r>
    <s v="ORD-1932"/>
    <x v="220"/>
    <d v="2024-10-25T00:00:00"/>
    <x v="2"/>
    <x v="0"/>
    <x v="7"/>
    <x v="29"/>
    <n v="800.83"/>
    <n v="5"/>
    <x v="1"/>
    <n v="-98.91"/>
    <x v="47"/>
    <x v="2"/>
    <x v="1"/>
  </r>
  <r>
    <s v="ORD-1933"/>
    <x v="268"/>
    <d v="2024-08-03T00:00:00"/>
    <x v="1"/>
    <x v="2"/>
    <x v="10"/>
    <x v="17"/>
    <n v="2013.19"/>
    <n v="11"/>
    <x v="5"/>
    <n v="572.59"/>
    <x v="126"/>
    <x v="0"/>
    <x v="4"/>
  </r>
  <r>
    <s v="ORD-1934"/>
    <x v="105"/>
    <d v="2024-05-27T00:00:00"/>
    <x v="1"/>
    <x v="1"/>
    <x v="4"/>
    <x v="11"/>
    <n v="2515.65"/>
    <n v="6"/>
    <x v="2"/>
    <n v="246.8"/>
    <x v="208"/>
    <x v="1"/>
    <x v="7"/>
  </r>
  <r>
    <s v="ORD-1935"/>
    <x v="149"/>
    <d v="2024-08-11T00:00:00"/>
    <x v="3"/>
    <x v="0"/>
    <x v="0"/>
    <x v="0"/>
    <n v="1838.76"/>
    <n v="6"/>
    <x v="3"/>
    <n v="628.74"/>
    <x v="124"/>
    <x v="0"/>
    <x v="4"/>
  </r>
  <r>
    <s v="ORD-1936"/>
    <x v="320"/>
    <d v="2024-03-08T00:00:00"/>
    <x v="2"/>
    <x v="0"/>
    <x v="5"/>
    <x v="18"/>
    <n v="1721.09"/>
    <n v="18"/>
    <x v="2"/>
    <n v="520.65"/>
    <x v="141"/>
    <x v="1"/>
    <x v="11"/>
  </r>
  <r>
    <s v="ORD-1937"/>
    <x v="317"/>
    <d v="2024-09-03T00:00:00"/>
    <x v="3"/>
    <x v="0"/>
    <x v="6"/>
    <x v="6"/>
    <n v="868.09"/>
    <n v="12"/>
    <x v="0"/>
    <n v="153.88"/>
    <x v="134"/>
    <x v="1"/>
    <x v="4"/>
  </r>
  <r>
    <s v="ORD-1938"/>
    <x v="293"/>
    <d v="2024-02-24T00:00:00"/>
    <x v="3"/>
    <x v="0"/>
    <x v="0"/>
    <x v="9"/>
    <n v="1148.24"/>
    <n v="6"/>
    <x v="2"/>
    <n v="94.09"/>
    <x v="63"/>
    <x v="1"/>
    <x v="8"/>
  </r>
  <r>
    <s v="ORD-1939"/>
    <x v="11"/>
    <d v="2024-01-10T00:00:00"/>
    <x v="1"/>
    <x v="0"/>
    <x v="7"/>
    <x v="12"/>
    <n v="3734.51"/>
    <n v="8"/>
    <x v="3"/>
    <n v="282"/>
    <x v="43"/>
    <x v="1"/>
    <x v="5"/>
  </r>
  <r>
    <s v="ORD-1940"/>
    <x v="95"/>
    <d v="2024-01-30T00:00:00"/>
    <x v="0"/>
    <x v="1"/>
    <x v="3"/>
    <x v="3"/>
    <n v="3788.16"/>
    <n v="1"/>
    <x v="3"/>
    <n v="1043.6500000000001"/>
    <x v="218"/>
    <x v="2"/>
    <x v="5"/>
  </r>
  <r>
    <s v="ORD-1941"/>
    <x v="171"/>
    <d v="2024-09-16T00:00:00"/>
    <x v="3"/>
    <x v="2"/>
    <x v="2"/>
    <x v="2"/>
    <n v="2884.96"/>
    <n v="4"/>
    <x v="3"/>
    <n v="496.75"/>
    <x v="3"/>
    <x v="1"/>
    <x v="9"/>
  </r>
  <r>
    <s v="ORD-1942"/>
    <x v="213"/>
    <d v="2024-02-23T00:00:00"/>
    <x v="0"/>
    <x v="0"/>
    <x v="6"/>
    <x v="6"/>
    <n v="2448.84"/>
    <n v="2"/>
    <x v="3"/>
    <n v="240.88"/>
    <x v="109"/>
    <x v="0"/>
    <x v="8"/>
  </r>
  <r>
    <s v="ORD-1943"/>
    <x v="14"/>
    <d v="2024-02-11T00:00:00"/>
    <x v="1"/>
    <x v="1"/>
    <x v="4"/>
    <x v="11"/>
    <n v="3133.1"/>
    <n v="6"/>
    <x v="2"/>
    <n v="641.94000000000005"/>
    <x v="73"/>
    <x v="2"/>
    <x v="8"/>
  </r>
  <r>
    <s v="ORD-1944"/>
    <x v="52"/>
    <d v="2024-12-04T00:00:00"/>
    <x v="2"/>
    <x v="1"/>
    <x v="3"/>
    <x v="26"/>
    <n v="1601.19"/>
    <n v="14"/>
    <x v="1"/>
    <n v="507.9"/>
    <x v="162"/>
    <x v="0"/>
    <x v="0"/>
  </r>
  <r>
    <s v="ORD-1945"/>
    <x v="203"/>
    <d v="2024-07-20T00:00:00"/>
    <x v="1"/>
    <x v="0"/>
    <x v="5"/>
    <x v="18"/>
    <n v="2375.88"/>
    <n v="16"/>
    <x v="1"/>
    <n v="-692.37"/>
    <x v="45"/>
    <x v="1"/>
    <x v="10"/>
  </r>
  <r>
    <s v="ORD-1946"/>
    <x v="99"/>
    <d v="2024-06-08T00:00:00"/>
    <x v="2"/>
    <x v="1"/>
    <x v="3"/>
    <x v="26"/>
    <n v="886.44"/>
    <n v="10"/>
    <x v="4"/>
    <n v="62.45"/>
    <x v="200"/>
    <x v="0"/>
    <x v="6"/>
  </r>
  <r>
    <s v="ORD-1947"/>
    <x v="267"/>
    <d v="2024-06-30T00:00:00"/>
    <x v="0"/>
    <x v="1"/>
    <x v="4"/>
    <x v="4"/>
    <n v="1217.29"/>
    <n v="16"/>
    <x v="3"/>
    <n v="339.56"/>
    <x v="78"/>
    <x v="2"/>
    <x v="6"/>
  </r>
  <r>
    <s v="ORD-1948"/>
    <x v="285"/>
    <d v="2024-03-13T00:00:00"/>
    <x v="2"/>
    <x v="1"/>
    <x v="3"/>
    <x v="26"/>
    <n v="1753.52"/>
    <n v="20"/>
    <x v="0"/>
    <n v="155.53"/>
    <x v="25"/>
    <x v="0"/>
    <x v="11"/>
  </r>
  <r>
    <s v="ORD-1949"/>
    <x v="327"/>
    <d v="2024-11-20T00:00:00"/>
    <x v="3"/>
    <x v="1"/>
    <x v="4"/>
    <x v="4"/>
    <n v="2147.2800000000002"/>
    <n v="9"/>
    <x v="0"/>
    <n v="134.85"/>
    <x v="16"/>
    <x v="2"/>
    <x v="0"/>
  </r>
  <r>
    <s v="ORD-1950"/>
    <x v="121"/>
    <d v="2024-02-02T00:00:00"/>
    <x v="0"/>
    <x v="1"/>
    <x v="1"/>
    <x v="10"/>
    <n v="1659.33"/>
    <n v="19"/>
    <x v="5"/>
    <n v="508"/>
    <x v="59"/>
    <x v="1"/>
    <x v="5"/>
  </r>
  <r>
    <s v="ORD-1951"/>
    <x v="50"/>
    <d v="2024-08-25T00:00:00"/>
    <x v="3"/>
    <x v="2"/>
    <x v="9"/>
    <x v="30"/>
    <n v="2256.6799999999998"/>
    <n v="15"/>
    <x v="1"/>
    <n v="170.94"/>
    <x v="131"/>
    <x v="2"/>
    <x v="4"/>
  </r>
  <r>
    <s v="ORD-1952"/>
    <x v="216"/>
    <d v="2024-07-28T00:00:00"/>
    <x v="1"/>
    <x v="2"/>
    <x v="2"/>
    <x v="2"/>
    <n v="1439.82"/>
    <n v="20"/>
    <x v="5"/>
    <n v="163.84"/>
    <x v="150"/>
    <x v="1"/>
    <x v="10"/>
  </r>
  <r>
    <s v="ORD-1953"/>
    <x v="98"/>
    <d v="2024-03-03T00:00:00"/>
    <x v="2"/>
    <x v="1"/>
    <x v="4"/>
    <x v="11"/>
    <n v="3807"/>
    <n v="5"/>
    <x v="0"/>
    <n v="434.15"/>
    <x v="49"/>
    <x v="1"/>
    <x v="8"/>
  </r>
  <r>
    <s v="ORD-1954"/>
    <x v="218"/>
    <d v="2024-11-09T00:00:00"/>
    <x v="0"/>
    <x v="2"/>
    <x v="9"/>
    <x v="27"/>
    <n v="1050.33"/>
    <n v="7"/>
    <x v="1"/>
    <n v="352.69"/>
    <x v="11"/>
    <x v="1"/>
    <x v="0"/>
  </r>
  <r>
    <s v="ORD-1955"/>
    <x v="7"/>
    <d v="2024-05-22T00:00:00"/>
    <x v="1"/>
    <x v="1"/>
    <x v="1"/>
    <x v="1"/>
    <n v="1277.1400000000001"/>
    <n v="3"/>
    <x v="3"/>
    <n v="398.64"/>
    <x v="196"/>
    <x v="0"/>
    <x v="7"/>
  </r>
  <r>
    <s v="ORD-1956"/>
    <x v="176"/>
    <d v="2024-08-05T00:00:00"/>
    <x v="3"/>
    <x v="1"/>
    <x v="1"/>
    <x v="1"/>
    <n v="3606.09"/>
    <n v="14"/>
    <x v="3"/>
    <n v="1222.5"/>
    <x v="74"/>
    <x v="0"/>
    <x v="4"/>
  </r>
  <r>
    <s v="ORD-1957"/>
    <x v="136"/>
    <d v="2024-04-16T00:00:00"/>
    <x v="2"/>
    <x v="2"/>
    <x v="9"/>
    <x v="30"/>
    <n v="2833.11"/>
    <n v="6"/>
    <x v="0"/>
    <n v="512.89"/>
    <x v="111"/>
    <x v="1"/>
    <x v="3"/>
  </r>
  <r>
    <s v="ORD-1958"/>
    <x v="18"/>
    <d v="2024-10-25T00:00:00"/>
    <x v="0"/>
    <x v="0"/>
    <x v="7"/>
    <x v="29"/>
    <n v="2960.21"/>
    <n v="19"/>
    <x v="2"/>
    <n v="276.44"/>
    <x v="139"/>
    <x v="2"/>
    <x v="1"/>
  </r>
  <r>
    <s v="ORD-1959"/>
    <x v="200"/>
    <d v="2024-06-11T00:00:00"/>
    <x v="1"/>
    <x v="2"/>
    <x v="10"/>
    <x v="17"/>
    <n v="3491.13"/>
    <n v="4"/>
    <x v="0"/>
    <n v="600.17999999999995"/>
    <x v="215"/>
    <x v="1"/>
    <x v="6"/>
  </r>
  <r>
    <s v="ORD-1960"/>
    <x v="225"/>
    <d v="2024-01-09T00:00:00"/>
    <x v="1"/>
    <x v="0"/>
    <x v="6"/>
    <x v="8"/>
    <n v="386.82"/>
    <n v="7"/>
    <x v="5"/>
    <n v="100.16"/>
    <x v="148"/>
    <x v="0"/>
    <x v="5"/>
  </r>
  <r>
    <s v="ORD-1961"/>
    <x v="218"/>
    <d v="2024-11-09T00:00:00"/>
    <x v="1"/>
    <x v="2"/>
    <x v="10"/>
    <x v="28"/>
    <n v="3894.04"/>
    <n v="19"/>
    <x v="1"/>
    <n v="627.24"/>
    <x v="96"/>
    <x v="2"/>
    <x v="0"/>
  </r>
  <r>
    <s v="ORD-1962"/>
    <x v="146"/>
    <d v="2024-06-07T00:00:00"/>
    <x v="0"/>
    <x v="0"/>
    <x v="6"/>
    <x v="6"/>
    <n v="1802.7"/>
    <n v="12"/>
    <x v="3"/>
    <n v="538.03"/>
    <x v="120"/>
    <x v="0"/>
    <x v="6"/>
  </r>
  <r>
    <s v="ORD-1963"/>
    <x v="343"/>
    <d v="2024-06-21T00:00:00"/>
    <x v="1"/>
    <x v="2"/>
    <x v="9"/>
    <x v="27"/>
    <n v="913.36"/>
    <n v="20"/>
    <x v="4"/>
    <n v="194.39"/>
    <x v="117"/>
    <x v="0"/>
    <x v="6"/>
  </r>
  <r>
    <s v="ORD-1964"/>
    <x v="87"/>
    <d v="2024-12-09T00:00:00"/>
    <x v="3"/>
    <x v="0"/>
    <x v="5"/>
    <x v="18"/>
    <n v="3272.27"/>
    <n v="4"/>
    <x v="1"/>
    <n v="801.34"/>
    <x v="63"/>
    <x v="0"/>
    <x v="2"/>
  </r>
  <r>
    <s v="ORD-1965"/>
    <x v="179"/>
    <d v="2024-07-30T00:00:00"/>
    <x v="2"/>
    <x v="0"/>
    <x v="5"/>
    <x v="5"/>
    <n v="1915.39"/>
    <n v="19"/>
    <x v="1"/>
    <n v="479.45"/>
    <x v="22"/>
    <x v="0"/>
    <x v="10"/>
  </r>
  <r>
    <s v="ORD-1966"/>
    <x v="344"/>
    <d v="2024-04-21T00:00:00"/>
    <x v="2"/>
    <x v="0"/>
    <x v="6"/>
    <x v="8"/>
    <n v="983.35"/>
    <n v="16"/>
    <x v="1"/>
    <n v="152.6"/>
    <x v="154"/>
    <x v="2"/>
    <x v="3"/>
  </r>
  <r>
    <s v="ORD-1967"/>
    <x v="58"/>
    <d v="2024-08-31T00:00:00"/>
    <x v="2"/>
    <x v="1"/>
    <x v="3"/>
    <x v="32"/>
    <n v="2153.35"/>
    <n v="9"/>
    <x v="0"/>
    <n v="278.54000000000002"/>
    <x v="118"/>
    <x v="2"/>
    <x v="4"/>
  </r>
  <r>
    <s v="ORD-1968"/>
    <x v="92"/>
    <d v="2024-08-03T00:00:00"/>
    <x v="0"/>
    <x v="2"/>
    <x v="8"/>
    <x v="16"/>
    <n v="348.43"/>
    <n v="12"/>
    <x v="2"/>
    <n v="103.14"/>
    <x v="52"/>
    <x v="1"/>
    <x v="10"/>
  </r>
  <r>
    <s v="ORD-1969"/>
    <x v="343"/>
    <d v="2024-06-22T00:00:00"/>
    <x v="2"/>
    <x v="1"/>
    <x v="4"/>
    <x v="4"/>
    <n v="972.48"/>
    <n v="13"/>
    <x v="1"/>
    <n v="282.41000000000003"/>
    <x v="135"/>
    <x v="1"/>
    <x v="6"/>
  </r>
  <r>
    <s v="ORD-1970"/>
    <x v="345"/>
    <d v="2024-03-12T00:00:00"/>
    <x v="1"/>
    <x v="2"/>
    <x v="2"/>
    <x v="33"/>
    <n v="844.16"/>
    <n v="8"/>
    <x v="1"/>
    <n v="-222.02"/>
    <x v="225"/>
    <x v="0"/>
    <x v="11"/>
  </r>
  <r>
    <s v="ORD-1971"/>
    <x v="157"/>
    <d v="2024-03-07T00:00:00"/>
    <x v="3"/>
    <x v="0"/>
    <x v="7"/>
    <x v="24"/>
    <n v="1014.11"/>
    <n v="3"/>
    <x v="1"/>
    <n v="183.78"/>
    <x v="93"/>
    <x v="1"/>
    <x v="11"/>
  </r>
  <r>
    <s v="ORD-1972"/>
    <x v="183"/>
    <d v="2024-11-01T00:00:00"/>
    <x v="0"/>
    <x v="0"/>
    <x v="5"/>
    <x v="5"/>
    <n v="1684.02"/>
    <n v="5"/>
    <x v="5"/>
    <n v="404.74"/>
    <x v="94"/>
    <x v="1"/>
    <x v="1"/>
  </r>
  <r>
    <s v="ORD-1973"/>
    <x v="122"/>
    <d v="2024-04-08T00:00:00"/>
    <x v="1"/>
    <x v="2"/>
    <x v="10"/>
    <x v="28"/>
    <n v="2973.67"/>
    <n v="13"/>
    <x v="3"/>
    <n v="736.81"/>
    <x v="226"/>
    <x v="0"/>
    <x v="3"/>
  </r>
  <r>
    <s v="ORD-1974"/>
    <x v="286"/>
    <d v="2024-03-14T00:00:00"/>
    <x v="0"/>
    <x v="1"/>
    <x v="3"/>
    <x v="3"/>
    <n v="651.54"/>
    <n v="10"/>
    <x v="3"/>
    <n v="-207.44"/>
    <x v="230"/>
    <x v="0"/>
    <x v="11"/>
  </r>
  <r>
    <s v="ORD-1975"/>
    <x v="306"/>
    <d v="2024-09-15T00:00:00"/>
    <x v="1"/>
    <x v="2"/>
    <x v="8"/>
    <x v="23"/>
    <n v="3232.91"/>
    <n v="14"/>
    <x v="1"/>
    <n v="633.51"/>
    <x v="156"/>
    <x v="2"/>
    <x v="9"/>
  </r>
  <r>
    <s v="ORD-1976"/>
    <x v="269"/>
    <d v="2024-04-23T00:00:00"/>
    <x v="2"/>
    <x v="2"/>
    <x v="9"/>
    <x v="14"/>
    <n v="924.27"/>
    <n v="1"/>
    <x v="4"/>
    <n v="229.13"/>
    <x v="45"/>
    <x v="0"/>
    <x v="3"/>
  </r>
  <r>
    <s v="ORD-1977"/>
    <x v="291"/>
    <d v="2024-01-18T00:00:00"/>
    <x v="3"/>
    <x v="2"/>
    <x v="9"/>
    <x v="30"/>
    <n v="2499.9699999999998"/>
    <n v="1"/>
    <x v="4"/>
    <n v="516.30999999999995"/>
    <x v="221"/>
    <x v="1"/>
    <x v="5"/>
  </r>
  <r>
    <s v="ORD-1978"/>
    <x v="262"/>
    <d v="2024-03-06T00:00:00"/>
    <x v="0"/>
    <x v="0"/>
    <x v="5"/>
    <x v="5"/>
    <n v="2169.04"/>
    <n v="5"/>
    <x v="4"/>
    <n v="-672.54"/>
    <x v="3"/>
    <x v="0"/>
    <x v="11"/>
  </r>
  <r>
    <s v="ORD-1979"/>
    <x v="53"/>
    <d v="2024-04-21T00:00:00"/>
    <x v="3"/>
    <x v="1"/>
    <x v="1"/>
    <x v="1"/>
    <n v="2979.04"/>
    <n v="5"/>
    <x v="3"/>
    <n v="393.53"/>
    <x v="26"/>
    <x v="1"/>
    <x v="3"/>
  </r>
  <r>
    <s v="ORD-1980"/>
    <x v="40"/>
    <d v="2024-02-22T00:00:00"/>
    <x v="3"/>
    <x v="2"/>
    <x v="9"/>
    <x v="27"/>
    <n v="2172.46"/>
    <n v="13"/>
    <x v="4"/>
    <n v="271.62"/>
    <x v="233"/>
    <x v="0"/>
    <x v="8"/>
  </r>
  <r>
    <s v="ORD-1981"/>
    <x v="328"/>
    <d v="2024-05-29T00:00:00"/>
    <x v="0"/>
    <x v="0"/>
    <x v="0"/>
    <x v="0"/>
    <n v="3227.87"/>
    <n v="16"/>
    <x v="5"/>
    <n v="1016.32"/>
    <x v="50"/>
    <x v="2"/>
    <x v="7"/>
  </r>
  <r>
    <s v="ORD-1982"/>
    <x v="281"/>
    <d v="2024-05-24T00:00:00"/>
    <x v="0"/>
    <x v="0"/>
    <x v="6"/>
    <x v="6"/>
    <n v="998.95"/>
    <n v="12"/>
    <x v="3"/>
    <n v="319.02999999999997"/>
    <x v="114"/>
    <x v="0"/>
    <x v="7"/>
  </r>
  <r>
    <s v="ORD-1983"/>
    <x v="257"/>
    <d v="2024-08-20T00:00:00"/>
    <x v="0"/>
    <x v="0"/>
    <x v="0"/>
    <x v="22"/>
    <n v="1350.53"/>
    <n v="17"/>
    <x v="3"/>
    <n v="-228.9"/>
    <x v="44"/>
    <x v="1"/>
    <x v="4"/>
  </r>
  <r>
    <s v="ORD-1984"/>
    <x v="346"/>
    <d v="2024-06-20T00:00:00"/>
    <x v="1"/>
    <x v="2"/>
    <x v="10"/>
    <x v="28"/>
    <n v="1056.94"/>
    <n v="12"/>
    <x v="3"/>
    <n v="98.84"/>
    <x v="223"/>
    <x v="2"/>
    <x v="6"/>
  </r>
  <r>
    <s v="ORD-1985"/>
    <x v="270"/>
    <d v="2024-01-10T00:00:00"/>
    <x v="0"/>
    <x v="0"/>
    <x v="0"/>
    <x v="0"/>
    <n v="1995.16"/>
    <n v="11"/>
    <x v="4"/>
    <n v="435.93"/>
    <x v="203"/>
    <x v="0"/>
    <x v="5"/>
  </r>
  <r>
    <s v="ORD-1986"/>
    <x v="48"/>
    <d v="2024-11-07T00:00:00"/>
    <x v="1"/>
    <x v="1"/>
    <x v="4"/>
    <x v="4"/>
    <n v="2936"/>
    <n v="3"/>
    <x v="2"/>
    <n v="933.06"/>
    <x v="41"/>
    <x v="0"/>
    <x v="0"/>
  </r>
  <r>
    <s v="ORD-1987"/>
    <x v="243"/>
    <d v="2024-08-15T00:00:00"/>
    <x v="3"/>
    <x v="1"/>
    <x v="1"/>
    <x v="1"/>
    <n v="3260.22"/>
    <n v="16"/>
    <x v="1"/>
    <n v="1131.55"/>
    <x v="137"/>
    <x v="0"/>
    <x v="4"/>
  </r>
  <r>
    <s v="ORD-1988"/>
    <x v="321"/>
    <d v="2024-03-11T00:00:00"/>
    <x v="1"/>
    <x v="0"/>
    <x v="0"/>
    <x v="22"/>
    <n v="1136.58"/>
    <n v="1"/>
    <x v="3"/>
    <n v="62.91"/>
    <x v="221"/>
    <x v="1"/>
    <x v="11"/>
  </r>
  <r>
    <s v="ORD-1989"/>
    <x v="47"/>
    <d v="2024-10-21T00:00:00"/>
    <x v="2"/>
    <x v="2"/>
    <x v="10"/>
    <x v="17"/>
    <n v="388.78"/>
    <n v="18"/>
    <x v="2"/>
    <n v="24"/>
    <x v="60"/>
    <x v="0"/>
    <x v="1"/>
  </r>
  <r>
    <s v="ORD-1990"/>
    <x v="27"/>
    <d v="2024-02-12T00:00:00"/>
    <x v="0"/>
    <x v="2"/>
    <x v="2"/>
    <x v="21"/>
    <n v="1439.46"/>
    <n v="12"/>
    <x v="5"/>
    <n v="106.42"/>
    <x v="28"/>
    <x v="2"/>
    <x v="8"/>
  </r>
  <r>
    <s v="ORD-1991"/>
    <x v="276"/>
    <d v="2024-09-09T00:00:00"/>
    <x v="2"/>
    <x v="2"/>
    <x v="9"/>
    <x v="27"/>
    <n v="3432.52"/>
    <n v="4"/>
    <x v="3"/>
    <n v="-1137.23"/>
    <x v="204"/>
    <x v="1"/>
    <x v="9"/>
  </r>
  <r>
    <s v="ORD-1992"/>
    <x v="111"/>
    <d v="2024-04-24T00:00:00"/>
    <x v="0"/>
    <x v="1"/>
    <x v="1"/>
    <x v="10"/>
    <n v="3480.21"/>
    <n v="14"/>
    <x v="4"/>
    <n v="351.7"/>
    <x v="235"/>
    <x v="1"/>
    <x v="3"/>
  </r>
  <r>
    <s v="ORD-1993"/>
    <x v="193"/>
    <d v="2024-07-07T00:00:00"/>
    <x v="0"/>
    <x v="2"/>
    <x v="8"/>
    <x v="16"/>
    <n v="430.01"/>
    <n v="10"/>
    <x v="1"/>
    <n v="55.52"/>
    <x v="122"/>
    <x v="1"/>
    <x v="10"/>
  </r>
  <r>
    <s v="ORD-1994"/>
    <x v="38"/>
    <d v="2024-07-17T00:00:00"/>
    <x v="1"/>
    <x v="1"/>
    <x v="4"/>
    <x v="4"/>
    <n v="699.63"/>
    <n v="11"/>
    <x v="4"/>
    <n v="193.04"/>
    <x v="176"/>
    <x v="2"/>
    <x v="10"/>
  </r>
  <r>
    <s v="ORD-1995"/>
    <x v="253"/>
    <d v="2024-08-06T00:00:00"/>
    <x v="0"/>
    <x v="0"/>
    <x v="7"/>
    <x v="12"/>
    <n v="2042.23"/>
    <n v="16"/>
    <x v="3"/>
    <n v="299.33999999999997"/>
    <x v="67"/>
    <x v="1"/>
    <x v="10"/>
  </r>
  <r>
    <s v="ORD-1996"/>
    <x v="128"/>
    <d v="2024-04-26T00:00:00"/>
    <x v="3"/>
    <x v="2"/>
    <x v="8"/>
    <x v="23"/>
    <n v="2344.4299999999998"/>
    <n v="8"/>
    <x v="0"/>
    <n v="572.37"/>
    <x v="102"/>
    <x v="2"/>
    <x v="3"/>
  </r>
  <r>
    <s v="ORD-1997"/>
    <x v="259"/>
    <d v="2024-12-22T00:00:00"/>
    <x v="0"/>
    <x v="2"/>
    <x v="8"/>
    <x v="16"/>
    <n v="299.23"/>
    <n v="7"/>
    <x v="5"/>
    <n v="88.44"/>
    <x v="28"/>
    <x v="1"/>
    <x v="2"/>
  </r>
  <r>
    <s v="ORD-1998"/>
    <x v="293"/>
    <d v="2024-02-28T00:00:00"/>
    <x v="1"/>
    <x v="0"/>
    <x v="0"/>
    <x v="31"/>
    <n v="2906.92"/>
    <n v="5"/>
    <x v="2"/>
    <n v="-237.49"/>
    <x v="53"/>
    <x v="2"/>
    <x v="8"/>
  </r>
  <r>
    <s v="ORD-1999"/>
    <x v="307"/>
    <d v="2024-07-11T00:00:00"/>
    <x v="2"/>
    <x v="0"/>
    <x v="7"/>
    <x v="24"/>
    <n v="954.83"/>
    <n v="9"/>
    <x v="5"/>
    <n v="94.78"/>
    <x v="215"/>
    <x v="0"/>
    <x v="10"/>
  </r>
  <r>
    <s v="ORD-2000"/>
    <x v="278"/>
    <d v="2024-10-23T00:00:00"/>
    <x v="1"/>
    <x v="2"/>
    <x v="8"/>
    <x v="13"/>
    <n v="663.25"/>
    <n v="1"/>
    <x v="5"/>
    <n v="-70.38"/>
    <x v="34"/>
    <x v="2"/>
    <x v="1"/>
  </r>
  <r>
    <s v="ORD-2001"/>
    <x v="152"/>
    <d v="2024-12-11T00:00:00"/>
    <x v="3"/>
    <x v="2"/>
    <x v="8"/>
    <x v="13"/>
    <n v="565.25"/>
    <n v="14"/>
    <x v="4"/>
    <n v="53.8"/>
    <x v="23"/>
    <x v="1"/>
    <x v="2"/>
  </r>
  <r>
    <s v="ORD-2002"/>
    <x v="241"/>
    <d v="2024-09-22T00:00:00"/>
    <x v="0"/>
    <x v="2"/>
    <x v="2"/>
    <x v="21"/>
    <n v="616.79999999999995"/>
    <n v="13"/>
    <x v="0"/>
    <n v="202.56"/>
    <x v="168"/>
    <x v="2"/>
    <x v="9"/>
  </r>
  <r>
    <s v="ORD-2003"/>
    <x v="78"/>
    <d v="2024-04-12T00:00:00"/>
    <x v="1"/>
    <x v="0"/>
    <x v="0"/>
    <x v="22"/>
    <n v="2194.8200000000002"/>
    <n v="4"/>
    <x v="0"/>
    <n v="142.58000000000001"/>
    <x v="189"/>
    <x v="1"/>
    <x v="3"/>
  </r>
  <r>
    <s v="ORD-2004"/>
    <x v="10"/>
    <d v="2024-02-29T00:00:00"/>
    <x v="0"/>
    <x v="1"/>
    <x v="1"/>
    <x v="20"/>
    <n v="1248.17"/>
    <n v="3"/>
    <x v="2"/>
    <n v="100.24"/>
    <x v="40"/>
    <x v="0"/>
    <x v="8"/>
  </r>
  <r>
    <s v="ORD-2005"/>
    <x v="231"/>
    <d v="2024-11-19T00:00:00"/>
    <x v="2"/>
    <x v="2"/>
    <x v="8"/>
    <x v="16"/>
    <n v="3002.22"/>
    <n v="9"/>
    <x v="5"/>
    <n v="335.38"/>
    <x v="101"/>
    <x v="2"/>
    <x v="0"/>
  </r>
  <r>
    <s v="ORD-2006"/>
    <x v="192"/>
    <d v="2024-06-30T00:00:00"/>
    <x v="3"/>
    <x v="0"/>
    <x v="5"/>
    <x v="18"/>
    <n v="944.05"/>
    <n v="20"/>
    <x v="5"/>
    <n v="256.52"/>
    <x v="102"/>
    <x v="2"/>
    <x v="6"/>
  </r>
  <r>
    <s v="ORD-2007"/>
    <x v="67"/>
    <d v="2024-12-21T00:00:00"/>
    <x v="1"/>
    <x v="2"/>
    <x v="8"/>
    <x v="16"/>
    <n v="952.54"/>
    <n v="15"/>
    <x v="4"/>
    <n v="322.60000000000002"/>
    <x v="216"/>
    <x v="0"/>
    <x v="2"/>
  </r>
  <r>
    <s v="ORD-2008"/>
    <x v="187"/>
    <d v="2024-08-12T00:00:00"/>
    <x v="0"/>
    <x v="1"/>
    <x v="3"/>
    <x v="3"/>
    <n v="890.22"/>
    <n v="1"/>
    <x v="2"/>
    <n v="138.56"/>
    <x v="107"/>
    <x v="2"/>
    <x v="4"/>
  </r>
  <r>
    <s v="ORD-2009"/>
    <x v="13"/>
    <d v="2024-01-08T00:00:00"/>
    <x v="1"/>
    <x v="2"/>
    <x v="8"/>
    <x v="16"/>
    <n v="3320.97"/>
    <n v="19"/>
    <x v="0"/>
    <n v="1152.79"/>
    <x v="158"/>
    <x v="1"/>
    <x v="5"/>
  </r>
  <r>
    <s v="ORD-2010"/>
    <x v="63"/>
    <d v="2024-09-27T00:00:00"/>
    <x v="1"/>
    <x v="1"/>
    <x v="1"/>
    <x v="10"/>
    <n v="3264.6"/>
    <n v="11"/>
    <x v="5"/>
    <n v="643.77"/>
    <x v="113"/>
    <x v="0"/>
    <x v="9"/>
  </r>
  <r>
    <s v="ORD-2011"/>
    <x v="347"/>
    <d v="2024-10-10T00:00:00"/>
    <x v="2"/>
    <x v="2"/>
    <x v="2"/>
    <x v="21"/>
    <n v="300.85000000000002"/>
    <n v="12"/>
    <x v="3"/>
    <n v="79.14"/>
    <x v="179"/>
    <x v="0"/>
    <x v="1"/>
  </r>
  <r>
    <s v="ORD-2012"/>
    <x v="37"/>
    <d v="2024-12-12T00:00:00"/>
    <x v="0"/>
    <x v="2"/>
    <x v="8"/>
    <x v="16"/>
    <n v="3919.89"/>
    <n v="8"/>
    <x v="0"/>
    <n v="1365.01"/>
    <x v="123"/>
    <x v="2"/>
    <x v="2"/>
  </r>
  <r>
    <s v="ORD-2013"/>
    <x v="100"/>
    <d v="2024-01-19T00:00:00"/>
    <x v="2"/>
    <x v="2"/>
    <x v="10"/>
    <x v="28"/>
    <n v="976.91"/>
    <n v="13"/>
    <x v="0"/>
    <n v="80.48"/>
    <x v="44"/>
    <x v="2"/>
    <x v="5"/>
  </r>
  <r>
    <s v="ORD-2014"/>
    <x v="68"/>
    <d v="2024-11-23T00:00:00"/>
    <x v="1"/>
    <x v="2"/>
    <x v="2"/>
    <x v="21"/>
    <n v="1716.35"/>
    <n v="14"/>
    <x v="3"/>
    <n v="-245.09"/>
    <x v="31"/>
    <x v="0"/>
    <x v="0"/>
  </r>
  <r>
    <s v="ORD-2015"/>
    <x v="199"/>
    <d v="2024-09-28T00:00:00"/>
    <x v="0"/>
    <x v="2"/>
    <x v="9"/>
    <x v="30"/>
    <n v="3880.57"/>
    <n v="12"/>
    <x v="3"/>
    <n v="-322.31"/>
    <x v="78"/>
    <x v="0"/>
    <x v="9"/>
  </r>
  <r>
    <s v="ORD-2016"/>
    <x v="55"/>
    <d v="2024-12-18T00:00:00"/>
    <x v="2"/>
    <x v="0"/>
    <x v="7"/>
    <x v="12"/>
    <n v="3875.02"/>
    <n v="20"/>
    <x v="2"/>
    <n v="966.03"/>
    <x v="97"/>
    <x v="1"/>
    <x v="2"/>
  </r>
  <r>
    <s v="ORD-2017"/>
    <x v="300"/>
    <d v="2024-05-28T00:00:00"/>
    <x v="3"/>
    <x v="1"/>
    <x v="3"/>
    <x v="3"/>
    <n v="1064.97"/>
    <n v="19"/>
    <x v="1"/>
    <n v="70.239999999999995"/>
    <x v="217"/>
    <x v="1"/>
    <x v="7"/>
  </r>
  <r>
    <s v="ORD-2018"/>
    <x v="294"/>
    <d v="2024-08-13T00:00:00"/>
    <x v="0"/>
    <x v="1"/>
    <x v="3"/>
    <x v="32"/>
    <n v="1563.32"/>
    <n v="10"/>
    <x v="2"/>
    <n v="390.2"/>
    <x v="195"/>
    <x v="1"/>
    <x v="4"/>
  </r>
  <r>
    <s v="ORD-2019"/>
    <x v="191"/>
    <d v="2024-03-21T00:00:00"/>
    <x v="3"/>
    <x v="1"/>
    <x v="4"/>
    <x v="11"/>
    <n v="1870.19"/>
    <n v="3"/>
    <x v="3"/>
    <n v="216.3"/>
    <x v="39"/>
    <x v="1"/>
    <x v="11"/>
  </r>
  <r>
    <s v="ORD-2020"/>
    <x v="6"/>
    <d v="2024-07-03T00:00:00"/>
    <x v="2"/>
    <x v="2"/>
    <x v="9"/>
    <x v="14"/>
    <n v="3598.88"/>
    <n v="10"/>
    <x v="2"/>
    <n v="515.42999999999995"/>
    <x v="82"/>
    <x v="2"/>
    <x v="6"/>
  </r>
  <r>
    <s v="ORD-2021"/>
    <x v="229"/>
    <d v="2024-12-18T00:00:00"/>
    <x v="1"/>
    <x v="0"/>
    <x v="7"/>
    <x v="24"/>
    <n v="758.84"/>
    <n v="18"/>
    <x v="4"/>
    <n v="-106.48"/>
    <x v="76"/>
    <x v="1"/>
    <x v="2"/>
  </r>
  <r>
    <s v="ORD-2022"/>
    <x v="8"/>
    <d v="2024-10-24T00:00:00"/>
    <x v="1"/>
    <x v="2"/>
    <x v="9"/>
    <x v="14"/>
    <n v="769.79"/>
    <n v="15"/>
    <x v="0"/>
    <n v="110.83"/>
    <x v="229"/>
    <x v="1"/>
    <x v="1"/>
  </r>
  <r>
    <s v="ORD-2023"/>
    <x v="272"/>
    <d v="2025-01-04T00:00:00"/>
    <x v="2"/>
    <x v="2"/>
    <x v="9"/>
    <x v="27"/>
    <n v="1826.9"/>
    <n v="14"/>
    <x v="5"/>
    <n v="106.51"/>
    <x v="72"/>
    <x v="0"/>
    <x v="2"/>
  </r>
  <r>
    <s v="ORD-2024"/>
    <x v="51"/>
    <d v="2024-08-04T00:00:00"/>
    <x v="1"/>
    <x v="0"/>
    <x v="0"/>
    <x v="0"/>
    <n v="2426.21"/>
    <n v="12"/>
    <x v="4"/>
    <n v="573.23"/>
    <x v="225"/>
    <x v="0"/>
    <x v="4"/>
  </r>
  <r>
    <s v="ORD-2025"/>
    <x v="116"/>
    <d v="2024-05-30T00:00:00"/>
    <x v="2"/>
    <x v="1"/>
    <x v="3"/>
    <x v="3"/>
    <n v="1985.53"/>
    <n v="17"/>
    <x v="5"/>
    <n v="-599.15"/>
    <x v="9"/>
    <x v="1"/>
    <x v="7"/>
  </r>
  <r>
    <s v="ORD-2026"/>
    <x v="7"/>
    <d v="2024-05-19T00:00:00"/>
    <x v="3"/>
    <x v="0"/>
    <x v="5"/>
    <x v="19"/>
    <n v="2370.41"/>
    <n v="11"/>
    <x v="1"/>
    <n v="204.88"/>
    <x v="17"/>
    <x v="0"/>
    <x v="7"/>
  </r>
  <r>
    <s v="ORD-2027"/>
    <x v="255"/>
    <d v="2024-09-18T00:00:00"/>
    <x v="1"/>
    <x v="0"/>
    <x v="7"/>
    <x v="12"/>
    <n v="3026.59"/>
    <n v="16"/>
    <x v="4"/>
    <n v="354.3"/>
    <x v="204"/>
    <x v="0"/>
    <x v="9"/>
  </r>
  <r>
    <s v="ORD-2028"/>
    <x v="191"/>
    <d v="2024-03-24T00:00:00"/>
    <x v="3"/>
    <x v="0"/>
    <x v="5"/>
    <x v="19"/>
    <n v="2588.7399999999998"/>
    <n v="7"/>
    <x v="1"/>
    <n v="181.58"/>
    <x v="129"/>
    <x v="1"/>
    <x v="11"/>
  </r>
  <r>
    <s v="ORD-2029"/>
    <x v="196"/>
    <d v="2024-03-03T00:00:00"/>
    <x v="1"/>
    <x v="1"/>
    <x v="1"/>
    <x v="10"/>
    <n v="342.46"/>
    <n v="17"/>
    <x v="5"/>
    <n v="57.26"/>
    <x v="193"/>
    <x v="0"/>
    <x v="11"/>
  </r>
  <r>
    <s v="ORD-2030"/>
    <x v="256"/>
    <d v="2024-06-08T00:00:00"/>
    <x v="2"/>
    <x v="1"/>
    <x v="1"/>
    <x v="20"/>
    <n v="1226.02"/>
    <n v="20"/>
    <x v="0"/>
    <n v="222.82"/>
    <x v="146"/>
    <x v="1"/>
    <x v="6"/>
  </r>
  <r>
    <s v="ORD-2031"/>
    <x v="321"/>
    <d v="2024-03-10T00:00:00"/>
    <x v="1"/>
    <x v="0"/>
    <x v="5"/>
    <x v="18"/>
    <n v="781.32"/>
    <n v="8"/>
    <x v="4"/>
    <n v="158.96"/>
    <x v="117"/>
    <x v="2"/>
    <x v="11"/>
  </r>
  <r>
    <s v="ORD-2032"/>
    <x v="125"/>
    <d v="2024-04-19T00:00:00"/>
    <x v="2"/>
    <x v="2"/>
    <x v="2"/>
    <x v="33"/>
    <n v="625.07000000000005"/>
    <n v="19"/>
    <x v="5"/>
    <n v="100.14"/>
    <x v="147"/>
    <x v="1"/>
    <x v="3"/>
  </r>
  <r>
    <s v="ORD-2033"/>
    <x v="230"/>
    <d v="2024-07-17T00:00:00"/>
    <x v="2"/>
    <x v="2"/>
    <x v="9"/>
    <x v="14"/>
    <n v="354.89"/>
    <n v="15"/>
    <x v="1"/>
    <n v="-77.81"/>
    <x v="203"/>
    <x v="2"/>
    <x v="10"/>
  </r>
  <r>
    <s v="ORD-2034"/>
    <x v="169"/>
    <d v="2024-06-04T00:00:00"/>
    <x v="2"/>
    <x v="1"/>
    <x v="3"/>
    <x v="32"/>
    <n v="2004.65"/>
    <n v="15"/>
    <x v="3"/>
    <n v="105.72"/>
    <x v="82"/>
    <x v="1"/>
    <x v="6"/>
  </r>
  <r>
    <s v="ORD-2035"/>
    <x v="171"/>
    <d v="2024-09-16T00:00:00"/>
    <x v="3"/>
    <x v="0"/>
    <x v="6"/>
    <x v="8"/>
    <n v="904.36"/>
    <n v="5"/>
    <x v="3"/>
    <n v="223.18"/>
    <x v="178"/>
    <x v="0"/>
    <x v="9"/>
  </r>
  <r>
    <s v="ORD-2036"/>
    <x v="4"/>
    <d v="2024-08-25T00:00:00"/>
    <x v="3"/>
    <x v="0"/>
    <x v="0"/>
    <x v="22"/>
    <n v="505.79"/>
    <n v="16"/>
    <x v="5"/>
    <n v="171.34"/>
    <x v="3"/>
    <x v="2"/>
    <x v="4"/>
  </r>
  <r>
    <s v="ORD-2037"/>
    <x v="83"/>
    <d v="2024-04-06T00:00:00"/>
    <x v="1"/>
    <x v="0"/>
    <x v="0"/>
    <x v="31"/>
    <n v="2441.85"/>
    <n v="13"/>
    <x v="1"/>
    <n v="155.01"/>
    <x v="29"/>
    <x v="0"/>
    <x v="3"/>
  </r>
  <r>
    <s v="ORD-2038"/>
    <x v="227"/>
    <d v="2024-03-25T00:00:00"/>
    <x v="0"/>
    <x v="0"/>
    <x v="5"/>
    <x v="19"/>
    <n v="3753.38"/>
    <n v="16"/>
    <x v="3"/>
    <n v="1043.3399999999999"/>
    <x v="51"/>
    <x v="1"/>
    <x v="11"/>
  </r>
  <r>
    <s v="ORD-2039"/>
    <x v="21"/>
    <d v="2024-05-02T00:00:00"/>
    <x v="1"/>
    <x v="0"/>
    <x v="6"/>
    <x v="6"/>
    <n v="3708.91"/>
    <n v="2"/>
    <x v="2"/>
    <n v="-464.15"/>
    <x v="158"/>
    <x v="1"/>
    <x v="7"/>
  </r>
  <r>
    <s v="ORD-2040"/>
    <x v="65"/>
    <d v="2024-02-14T00:00:00"/>
    <x v="3"/>
    <x v="0"/>
    <x v="5"/>
    <x v="18"/>
    <n v="1454.35"/>
    <n v="15"/>
    <x v="5"/>
    <n v="130.84"/>
    <x v="236"/>
    <x v="1"/>
    <x v="8"/>
  </r>
  <r>
    <s v="ORD-2041"/>
    <x v="202"/>
    <d v="2024-10-14T00:00:00"/>
    <x v="1"/>
    <x v="2"/>
    <x v="9"/>
    <x v="27"/>
    <n v="2795.68"/>
    <n v="8"/>
    <x v="4"/>
    <n v="762.23"/>
    <x v="130"/>
    <x v="2"/>
    <x v="1"/>
  </r>
  <r>
    <s v="ORD-2042"/>
    <x v="28"/>
    <d v="2024-09-30T00:00:00"/>
    <x v="0"/>
    <x v="0"/>
    <x v="5"/>
    <x v="5"/>
    <n v="3849.37"/>
    <n v="4"/>
    <x v="4"/>
    <n v="-230.85"/>
    <x v="45"/>
    <x v="2"/>
    <x v="9"/>
  </r>
  <r>
    <s v="ORD-2043"/>
    <x v="223"/>
    <d v="2024-01-08T00:00:00"/>
    <x v="2"/>
    <x v="0"/>
    <x v="5"/>
    <x v="19"/>
    <n v="944.89"/>
    <n v="17"/>
    <x v="5"/>
    <n v="101.14"/>
    <x v="104"/>
    <x v="1"/>
    <x v="5"/>
  </r>
  <r>
    <s v="ORD-2044"/>
    <x v="302"/>
    <d v="2024-09-04T00:00:00"/>
    <x v="3"/>
    <x v="0"/>
    <x v="7"/>
    <x v="29"/>
    <n v="1895.79"/>
    <n v="13"/>
    <x v="1"/>
    <n v="-418.49"/>
    <x v="30"/>
    <x v="0"/>
    <x v="4"/>
  </r>
  <r>
    <s v="ORD-2045"/>
    <x v="248"/>
    <d v="2024-09-25T00:00:00"/>
    <x v="0"/>
    <x v="1"/>
    <x v="3"/>
    <x v="32"/>
    <n v="443.05"/>
    <n v="18"/>
    <x v="3"/>
    <n v="25.15"/>
    <x v="3"/>
    <x v="2"/>
    <x v="9"/>
  </r>
  <r>
    <s v="ORD-2046"/>
    <x v="101"/>
    <d v="2024-06-01T00:00:00"/>
    <x v="2"/>
    <x v="0"/>
    <x v="0"/>
    <x v="9"/>
    <n v="3521.66"/>
    <n v="6"/>
    <x v="3"/>
    <n v="255.08"/>
    <x v="217"/>
    <x v="2"/>
    <x v="7"/>
  </r>
  <r>
    <s v="ORD-2047"/>
    <x v="251"/>
    <d v="2024-09-26T00:00:00"/>
    <x v="2"/>
    <x v="0"/>
    <x v="5"/>
    <x v="5"/>
    <n v="2865.69"/>
    <n v="4"/>
    <x v="2"/>
    <n v="548.19000000000005"/>
    <x v="115"/>
    <x v="0"/>
    <x v="9"/>
  </r>
  <r>
    <s v="ORD-2048"/>
    <x v="12"/>
    <d v="2024-05-14T00:00:00"/>
    <x v="0"/>
    <x v="2"/>
    <x v="9"/>
    <x v="27"/>
    <n v="1001.92"/>
    <n v="2"/>
    <x v="4"/>
    <n v="111.48"/>
    <x v="34"/>
    <x v="0"/>
    <x v="7"/>
  </r>
  <r>
    <s v="ORD-2049"/>
    <x v="337"/>
    <d v="2024-06-17T00:00:00"/>
    <x v="1"/>
    <x v="2"/>
    <x v="8"/>
    <x v="13"/>
    <n v="3641.21"/>
    <n v="2"/>
    <x v="3"/>
    <n v="1253.73"/>
    <x v="235"/>
    <x v="2"/>
    <x v="6"/>
  </r>
  <r>
    <s v="ORD-2050"/>
    <x v="70"/>
    <d v="2024-11-03T00:00:00"/>
    <x v="2"/>
    <x v="1"/>
    <x v="3"/>
    <x v="3"/>
    <n v="640.23"/>
    <n v="16"/>
    <x v="2"/>
    <n v="75.27"/>
    <x v="183"/>
    <x v="1"/>
    <x v="0"/>
  </r>
  <r>
    <s v="ORD-2051"/>
    <x v="336"/>
    <d v="2024-09-05T00:00:00"/>
    <x v="1"/>
    <x v="1"/>
    <x v="1"/>
    <x v="1"/>
    <n v="3151.05"/>
    <n v="7"/>
    <x v="2"/>
    <n v="732.44"/>
    <x v="37"/>
    <x v="2"/>
    <x v="9"/>
  </r>
  <r>
    <s v="ORD-2052"/>
    <x v="55"/>
    <d v="2024-12-16T00:00:00"/>
    <x v="2"/>
    <x v="1"/>
    <x v="3"/>
    <x v="25"/>
    <n v="2857.9"/>
    <n v="14"/>
    <x v="0"/>
    <n v="-508.85"/>
    <x v="143"/>
    <x v="1"/>
    <x v="2"/>
  </r>
  <r>
    <s v="ORD-2053"/>
    <x v="309"/>
    <d v="2024-08-13T00:00:00"/>
    <x v="3"/>
    <x v="2"/>
    <x v="10"/>
    <x v="17"/>
    <n v="1886.97"/>
    <n v="2"/>
    <x v="4"/>
    <n v="225.7"/>
    <x v="85"/>
    <x v="0"/>
    <x v="4"/>
  </r>
  <r>
    <s v="ORD-2054"/>
    <x v="324"/>
    <d v="2024-05-02T00:00:00"/>
    <x v="0"/>
    <x v="1"/>
    <x v="4"/>
    <x v="11"/>
    <n v="3297.33"/>
    <n v="3"/>
    <x v="1"/>
    <n v="290.20999999999998"/>
    <x v="162"/>
    <x v="1"/>
    <x v="3"/>
  </r>
  <r>
    <s v="ORD-2055"/>
    <x v="95"/>
    <d v="2024-01-28T00:00:00"/>
    <x v="3"/>
    <x v="0"/>
    <x v="7"/>
    <x v="24"/>
    <n v="736.44"/>
    <n v="13"/>
    <x v="5"/>
    <n v="182.1"/>
    <x v="5"/>
    <x v="0"/>
    <x v="5"/>
  </r>
  <r>
    <s v="ORD-2056"/>
    <x v="107"/>
    <d v="2024-02-13T00:00:00"/>
    <x v="1"/>
    <x v="2"/>
    <x v="2"/>
    <x v="2"/>
    <n v="1913.28"/>
    <n v="10"/>
    <x v="3"/>
    <n v="543.49"/>
    <x v="38"/>
    <x v="0"/>
    <x v="8"/>
  </r>
  <r>
    <s v="ORD-2057"/>
    <x v="161"/>
    <d v="2024-12-03T00:00:00"/>
    <x v="3"/>
    <x v="2"/>
    <x v="8"/>
    <x v="16"/>
    <n v="1549.88"/>
    <n v="14"/>
    <x v="0"/>
    <n v="519.47"/>
    <x v="100"/>
    <x v="0"/>
    <x v="0"/>
  </r>
  <r>
    <s v="ORD-2058"/>
    <x v="14"/>
    <d v="2024-02-13T00:00:00"/>
    <x v="1"/>
    <x v="0"/>
    <x v="7"/>
    <x v="24"/>
    <n v="3032.16"/>
    <n v="7"/>
    <x v="1"/>
    <n v="490.35"/>
    <x v="152"/>
    <x v="0"/>
    <x v="8"/>
  </r>
  <r>
    <s v="ORD-2059"/>
    <x v="348"/>
    <d v="2024-03-13T00:00:00"/>
    <x v="1"/>
    <x v="0"/>
    <x v="6"/>
    <x v="6"/>
    <n v="3823.92"/>
    <n v="1"/>
    <x v="5"/>
    <n v="1150.6099999999999"/>
    <x v="151"/>
    <x v="0"/>
    <x v="11"/>
  </r>
  <r>
    <s v="ORD-2060"/>
    <x v="233"/>
    <d v="2024-11-03T00:00:00"/>
    <x v="3"/>
    <x v="1"/>
    <x v="1"/>
    <x v="10"/>
    <n v="3454.65"/>
    <n v="13"/>
    <x v="5"/>
    <n v="192.27"/>
    <x v="173"/>
    <x v="1"/>
    <x v="1"/>
  </r>
  <r>
    <s v="ORD-2061"/>
    <x v="96"/>
    <d v="2024-08-15T00:00:00"/>
    <x v="1"/>
    <x v="1"/>
    <x v="3"/>
    <x v="32"/>
    <n v="2724.72"/>
    <n v="18"/>
    <x v="1"/>
    <n v="-676.06"/>
    <x v="182"/>
    <x v="0"/>
    <x v="4"/>
  </r>
  <r>
    <s v="ORD-2062"/>
    <x v="172"/>
    <d v="2024-06-27T00:00:00"/>
    <x v="3"/>
    <x v="2"/>
    <x v="10"/>
    <x v="28"/>
    <n v="1528.54"/>
    <n v="20"/>
    <x v="5"/>
    <n v="473.42"/>
    <x v="68"/>
    <x v="0"/>
    <x v="6"/>
  </r>
  <r>
    <s v="ORD-2063"/>
    <x v="121"/>
    <d v="2024-01-31T00:00:00"/>
    <x v="2"/>
    <x v="0"/>
    <x v="0"/>
    <x v="22"/>
    <n v="1839.38"/>
    <n v="19"/>
    <x v="2"/>
    <n v="235.5"/>
    <x v="17"/>
    <x v="1"/>
    <x v="5"/>
  </r>
  <r>
    <s v="ORD-2064"/>
    <x v="317"/>
    <d v="2024-08-30T00:00:00"/>
    <x v="1"/>
    <x v="1"/>
    <x v="3"/>
    <x v="26"/>
    <n v="570.76"/>
    <n v="8"/>
    <x v="2"/>
    <n v="79.19"/>
    <x v="61"/>
    <x v="1"/>
    <x v="4"/>
  </r>
  <r>
    <s v="ORD-2065"/>
    <x v="35"/>
    <d v="2024-01-24T00:00:00"/>
    <x v="3"/>
    <x v="2"/>
    <x v="2"/>
    <x v="33"/>
    <n v="3288.47"/>
    <n v="20"/>
    <x v="1"/>
    <n v="287.06"/>
    <x v="58"/>
    <x v="1"/>
    <x v="5"/>
  </r>
  <r>
    <s v="ORD-2066"/>
    <x v="240"/>
    <d v="2024-06-17T00:00:00"/>
    <x v="1"/>
    <x v="2"/>
    <x v="9"/>
    <x v="14"/>
    <n v="1899.66"/>
    <n v="15"/>
    <x v="1"/>
    <n v="645.44000000000005"/>
    <x v="77"/>
    <x v="2"/>
    <x v="6"/>
  </r>
  <r>
    <s v="ORD-2067"/>
    <x v="202"/>
    <d v="2024-10-14T00:00:00"/>
    <x v="2"/>
    <x v="1"/>
    <x v="4"/>
    <x v="11"/>
    <n v="1286.67"/>
    <n v="20"/>
    <x v="2"/>
    <n v="-185.55"/>
    <x v="200"/>
    <x v="0"/>
    <x v="1"/>
  </r>
  <r>
    <s v="ORD-2068"/>
    <x v="83"/>
    <d v="2024-04-06T00:00:00"/>
    <x v="3"/>
    <x v="2"/>
    <x v="9"/>
    <x v="14"/>
    <n v="1102.82"/>
    <n v="6"/>
    <x v="4"/>
    <n v="343.39"/>
    <x v="67"/>
    <x v="2"/>
    <x v="3"/>
  </r>
  <r>
    <s v="ORD-2069"/>
    <x v="280"/>
    <d v="2024-04-30T00:00:00"/>
    <x v="0"/>
    <x v="1"/>
    <x v="4"/>
    <x v="4"/>
    <n v="2424.59"/>
    <n v="2"/>
    <x v="2"/>
    <n v="-643.02"/>
    <x v="91"/>
    <x v="1"/>
    <x v="3"/>
  </r>
  <r>
    <s v="ORD-2070"/>
    <x v="211"/>
    <d v="2025-01-04T00:00:00"/>
    <x v="3"/>
    <x v="1"/>
    <x v="4"/>
    <x v="4"/>
    <n v="2276.66"/>
    <n v="2"/>
    <x v="2"/>
    <n v="-274.13"/>
    <x v="56"/>
    <x v="0"/>
    <x v="2"/>
  </r>
  <r>
    <s v="ORD-2071"/>
    <x v="138"/>
    <d v="2024-09-23T00:00:00"/>
    <x v="0"/>
    <x v="0"/>
    <x v="5"/>
    <x v="18"/>
    <n v="1015.16"/>
    <n v="19"/>
    <x v="3"/>
    <n v="303.27"/>
    <x v="149"/>
    <x v="1"/>
    <x v="9"/>
  </r>
  <r>
    <s v="ORD-2072"/>
    <x v="244"/>
    <d v="2024-02-12T00:00:00"/>
    <x v="3"/>
    <x v="1"/>
    <x v="1"/>
    <x v="10"/>
    <n v="2526.13"/>
    <n v="12"/>
    <x v="3"/>
    <n v="865.27"/>
    <x v="194"/>
    <x v="0"/>
    <x v="8"/>
  </r>
  <r>
    <s v="ORD-2073"/>
    <x v="215"/>
    <d v="2024-07-17T00:00:00"/>
    <x v="3"/>
    <x v="0"/>
    <x v="5"/>
    <x v="18"/>
    <n v="1631.13"/>
    <n v="10"/>
    <x v="4"/>
    <n v="-527.77"/>
    <x v="117"/>
    <x v="0"/>
    <x v="10"/>
  </r>
  <r>
    <s v="ORD-2074"/>
    <x v="349"/>
    <d v="2024-11-10T00:00:00"/>
    <x v="3"/>
    <x v="0"/>
    <x v="0"/>
    <x v="0"/>
    <n v="1670.65"/>
    <n v="19"/>
    <x v="1"/>
    <n v="412.85"/>
    <x v="235"/>
    <x v="0"/>
    <x v="0"/>
  </r>
  <r>
    <s v="ORD-2075"/>
    <x v="181"/>
    <d v="2024-11-29T00:00:00"/>
    <x v="0"/>
    <x v="1"/>
    <x v="4"/>
    <x v="4"/>
    <n v="2271.13"/>
    <n v="4"/>
    <x v="2"/>
    <n v="657.41"/>
    <x v="29"/>
    <x v="0"/>
    <x v="0"/>
  </r>
  <r>
    <s v="ORD-2076"/>
    <x v="87"/>
    <d v="2024-12-10T00:00:00"/>
    <x v="3"/>
    <x v="2"/>
    <x v="10"/>
    <x v="17"/>
    <n v="3666.51"/>
    <n v="11"/>
    <x v="4"/>
    <n v="1062.19"/>
    <x v="223"/>
    <x v="0"/>
    <x v="2"/>
  </r>
  <r>
    <s v="ORD-2077"/>
    <x v="271"/>
    <d v="2024-05-05T00:00:00"/>
    <x v="3"/>
    <x v="0"/>
    <x v="5"/>
    <x v="5"/>
    <n v="1153.92"/>
    <n v="14"/>
    <x v="3"/>
    <n v="85.28"/>
    <x v="113"/>
    <x v="0"/>
    <x v="3"/>
  </r>
  <r>
    <s v="ORD-2078"/>
    <x v="107"/>
    <d v="2024-02-14T00:00:00"/>
    <x v="2"/>
    <x v="0"/>
    <x v="7"/>
    <x v="24"/>
    <n v="3198.64"/>
    <n v="8"/>
    <x v="2"/>
    <n v="954.3"/>
    <x v="233"/>
    <x v="0"/>
    <x v="8"/>
  </r>
  <r>
    <s v="ORD-2079"/>
    <x v="242"/>
    <d v="2024-10-05T00:00:00"/>
    <x v="2"/>
    <x v="0"/>
    <x v="7"/>
    <x v="12"/>
    <n v="1226.05"/>
    <n v="10"/>
    <x v="3"/>
    <n v="-176.74"/>
    <x v="213"/>
    <x v="2"/>
    <x v="1"/>
  </r>
  <r>
    <s v="ORD-2080"/>
    <x v="51"/>
    <d v="2024-08-05T00:00:00"/>
    <x v="2"/>
    <x v="0"/>
    <x v="7"/>
    <x v="29"/>
    <n v="3536.52"/>
    <n v="1"/>
    <x v="4"/>
    <n v="304.98"/>
    <x v="122"/>
    <x v="2"/>
    <x v="4"/>
  </r>
  <r>
    <s v="ORD-2081"/>
    <x v="61"/>
    <d v="2024-10-17T00:00:00"/>
    <x v="0"/>
    <x v="1"/>
    <x v="1"/>
    <x v="10"/>
    <n v="339.74"/>
    <n v="6"/>
    <x v="1"/>
    <n v="30.48"/>
    <x v="112"/>
    <x v="0"/>
    <x v="1"/>
  </r>
  <r>
    <s v="ORD-2082"/>
    <x v="203"/>
    <d v="2024-07-23T00:00:00"/>
    <x v="3"/>
    <x v="1"/>
    <x v="3"/>
    <x v="32"/>
    <n v="2919.94"/>
    <n v="4"/>
    <x v="3"/>
    <n v="932.13"/>
    <x v="72"/>
    <x v="0"/>
    <x v="10"/>
  </r>
  <r>
    <s v="ORD-2083"/>
    <x v="1"/>
    <d v="2024-10-30T00:00:00"/>
    <x v="0"/>
    <x v="1"/>
    <x v="4"/>
    <x v="4"/>
    <n v="3812.2"/>
    <n v="14"/>
    <x v="0"/>
    <n v="704.98"/>
    <x v="65"/>
    <x v="1"/>
    <x v="1"/>
  </r>
  <r>
    <s v="ORD-2084"/>
    <x v="101"/>
    <d v="2024-06-04T00:00:00"/>
    <x v="1"/>
    <x v="0"/>
    <x v="7"/>
    <x v="12"/>
    <n v="3122.33"/>
    <n v="17"/>
    <x v="1"/>
    <n v="-298.73"/>
    <x v="119"/>
    <x v="1"/>
    <x v="7"/>
  </r>
  <r>
    <s v="ORD-2085"/>
    <x v="183"/>
    <d v="2024-11-04T00:00:00"/>
    <x v="2"/>
    <x v="2"/>
    <x v="2"/>
    <x v="21"/>
    <n v="912.71"/>
    <n v="19"/>
    <x v="3"/>
    <n v="-304.33"/>
    <x v="234"/>
    <x v="0"/>
    <x v="1"/>
  </r>
  <r>
    <s v="ORD-2086"/>
    <x v="175"/>
    <d v="2024-06-08T00:00:00"/>
    <x v="3"/>
    <x v="1"/>
    <x v="4"/>
    <x v="4"/>
    <n v="1319.71"/>
    <n v="13"/>
    <x v="3"/>
    <n v="365.81"/>
    <x v="50"/>
    <x v="1"/>
    <x v="6"/>
  </r>
  <r>
    <s v="ORD-2087"/>
    <x v="254"/>
    <d v="2024-01-25T00:00:00"/>
    <x v="2"/>
    <x v="0"/>
    <x v="0"/>
    <x v="31"/>
    <n v="623"/>
    <n v="10"/>
    <x v="4"/>
    <n v="53.31"/>
    <x v="8"/>
    <x v="0"/>
    <x v="5"/>
  </r>
  <r>
    <s v="ORD-2088"/>
    <x v="309"/>
    <d v="2024-08-15T00:00:00"/>
    <x v="1"/>
    <x v="2"/>
    <x v="2"/>
    <x v="33"/>
    <n v="3075.51"/>
    <n v="8"/>
    <x v="0"/>
    <n v="-410.85"/>
    <x v="70"/>
    <x v="1"/>
    <x v="4"/>
  </r>
  <r>
    <s v="ORD-2089"/>
    <x v="127"/>
    <d v="2024-10-11T00:00:00"/>
    <x v="0"/>
    <x v="0"/>
    <x v="5"/>
    <x v="5"/>
    <n v="2267.1799999999998"/>
    <n v="7"/>
    <x v="1"/>
    <n v="445.52"/>
    <x v="67"/>
    <x v="0"/>
    <x v="1"/>
  </r>
  <r>
    <s v="ORD-2090"/>
    <x v="156"/>
    <d v="2024-07-11T00:00:00"/>
    <x v="3"/>
    <x v="0"/>
    <x v="6"/>
    <x v="6"/>
    <n v="2203.35"/>
    <n v="15"/>
    <x v="3"/>
    <n v="716.97"/>
    <x v="130"/>
    <x v="0"/>
    <x v="10"/>
  </r>
  <r>
    <s v="ORD-2091"/>
    <x v="196"/>
    <d v="2024-03-09T00:00:00"/>
    <x v="2"/>
    <x v="2"/>
    <x v="2"/>
    <x v="2"/>
    <n v="3491.89"/>
    <n v="9"/>
    <x v="0"/>
    <n v="875.12"/>
    <x v="17"/>
    <x v="1"/>
    <x v="11"/>
  </r>
  <r>
    <s v="ORD-2092"/>
    <x v="14"/>
    <d v="2024-02-13T00:00:00"/>
    <x v="0"/>
    <x v="2"/>
    <x v="10"/>
    <x v="17"/>
    <n v="1285.4100000000001"/>
    <n v="17"/>
    <x v="0"/>
    <n v="363.92"/>
    <x v="201"/>
    <x v="2"/>
    <x v="8"/>
  </r>
  <r>
    <s v="ORD-2093"/>
    <x v="26"/>
    <d v="2024-06-10T00:00:00"/>
    <x v="2"/>
    <x v="1"/>
    <x v="4"/>
    <x v="4"/>
    <n v="964"/>
    <n v="18"/>
    <x v="0"/>
    <n v="290.44"/>
    <x v="176"/>
    <x v="2"/>
    <x v="6"/>
  </r>
  <r>
    <s v="ORD-2094"/>
    <x v="335"/>
    <d v="2024-11-20T00:00:00"/>
    <x v="1"/>
    <x v="1"/>
    <x v="4"/>
    <x v="4"/>
    <n v="3520.43"/>
    <n v="8"/>
    <x v="0"/>
    <n v="382.68"/>
    <x v="222"/>
    <x v="0"/>
    <x v="0"/>
  </r>
  <r>
    <s v="ORD-2095"/>
    <x v="316"/>
    <d v="2024-09-07T00:00:00"/>
    <x v="2"/>
    <x v="2"/>
    <x v="10"/>
    <x v="28"/>
    <n v="2630.4"/>
    <n v="3"/>
    <x v="2"/>
    <n v="807.92"/>
    <x v="202"/>
    <x v="0"/>
    <x v="9"/>
  </r>
  <r>
    <s v="ORD-2096"/>
    <x v="225"/>
    <d v="2024-01-08T00:00:00"/>
    <x v="0"/>
    <x v="2"/>
    <x v="10"/>
    <x v="28"/>
    <n v="395.55"/>
    <n v="9"/>
    <x v="2"/>
    <n v="64.900000000000006"/>
    <x v="58"/>
    <x v="1"/>
    <x v="5"/>
  </r>
  <r>
    <s v="ORD-2097"/>
    <x v="44"/>
    <d v="2024-11-27T00:00:00"/>
    <x v="2"/>
    <x v="0"/>
    <x v="7"/>
    <x v="24"/>
    <n v="3402.59"/>
    <n v="10"/>
    <x v="0"/>
    <n v="665.27"/>
    <x v="14"/>
    <x v="0"/>
    <x v="0"/>
  </r>
  <r>
    <s v="ORD-2098"/>
    <x v="245"/>
    <d v="2024-07-24T00:00:00"/>
    <x v="2"/>
    <x v="2"/>
    <x v="8"/>
    <x v="16"/>
    <n v="671.38"/>
    <n v="10"/>
    <x v="5"/>
    <n v="228.81"/>
    <x v="132"/>
    <x v="2"/>
    <x v="10"/>
  </r>
  <r>
    <s v="ORD-2099"/>
    <x v="37"/>
    <d v="2024-12-11T00:00:00"/>
    <x v="0"/>
    <x v="1"/>
    <x v="3"/>
    <x v="26"/>
    <n v="2727.3"/>
    <n v="12"/>
    <x v="0"/>
    <n v="-462.08"/>
    <x v="147"/>
    <x v="2"/>
    <x v="2"/>
  </r>
  <r>
    <s v="ORD-2100"/>
    <x v="131"/>
    <d v="2024-09-11T00:00:00"/>
    <x v="2"/>
    <x v="0"/>
    <x v="7"/>
    <x v="29"/>
    <n v="1340.99"/>
    <n v="17"/>
    <x v="4"/>
    <n v="425.02"/>
    <x v="109"/>
    <x v="1"/>
    <x v="9"/>
  </r>
  <r>
    <s v="ORD-2101"/>
    <x v="319"/>
    <d v="2024-02-06T00:00:00"/>
    <x v="3"/>
    <x v="0"/>
    <x v="0"/>
    <x v="22"/>
    <n v="1717.67"/>
    <n v="15"/>
    <x v="5"/>
    <n v="291.32"/>
    <x v="145"/>
    <x v="2"/>
    <x v="8"/>
  </r>
  <r>
    <s v="ORD-2102"/>
    <x v="210"/>
    <d v="2024-05-24T00:00:00"/>
    <x v="1"/>
    <x v="2"/>
    <x v="8"/>
    <x v="23"/>
    <n v="1928.64"/>
    <n v="8"/>
    <x v="2"/>
    <n v="603.05999999999995"/>
    <x v="149"/>
    <x v="0"/>
    <x v="7"/>
  </r>
  <r>
    <s v="ORD-2103"/>
    <x v="68"/>
    <d v="2024-11-17T00:00:00"/>
    <x v="3"/>
    <x v="1"/>
    <x v="4"/>
    <x v="11"/>
    <n v="3813.54"/>
    <n v="1"/>
    <x v="5"/>
    <n v="293.93"/>
    <x v="147"/>
    <x v="0"/>
    <x v="0"/>
  </r>
  <r>
    <s v="ORD-2104"/>
    <x v="267"/>
    <d v="2024-06-30T00:00:00"/>
    <x v="0"/>
    <x v="0"/>
    <x v="7"/>
    <x v="24"/>
    <n v="2258.02"/>
    <n v="6"/>
    <x v="2"/>
    <n v="380.83"/>
    <x v="177"/>
    <x v="0"/>
    <x v="6"/>
  </r>
  <r>
    <s v="ORD-2105"/>
    <x v="101"/>
    <d v="2024-05-30T00:00:00"/>
    <x v="3"/>
    <x v="2"/>
    <x v="9"/>
    <x v="14"/>
    <n v="2323.5700000000002"/>
    <n v="8"/>
    <x v="1"/>
    <n v="-141.33000000000001"/>
    <x v="150"/>
    <x v="2"/>
    <x v="7"/>
  </r>
  <r>
    <s v="ORD-2106"/>
    <x v="79"/>
    <d v="2024-09-27T00:00:00"/>
    <x v="2"/>
    <x v="2"/>
    <x v="8"/>
    <x v="16"/>
    <n v="1311.59"/>
    <n v="1"/>
    <x v="4"/>
    <n v="314.08"/>
    <x v="215"/>
    <x v="0"/>
    <x v="9"/>
  </r>
  <r>
    <s v="ORD-2107"/>
    <x v="334"/>
    <d v="2024-01-22T00:00:00"/>
    <x v="0"/>
    <x v="2"/>
    <x v="9"/>
    <x v="14"/>
    <n v="3318.61"/>
    <n v="9"/>
    <x v="1"/>
    <n v="242.12"/>
    <x v="51"/>
    <x v="0"/>
    <x v="5"/>
  </r>
  <r>
    <s v="ORD-2108"/>
    <x v="174"/>
    <d v="2025-01-01T00:00:00"/>
    <x v="0"/>
    <x v="1"/>
    <x v="4"/>
    <x v="11"/>
    <n v="608.34"/>
    <n v="19"/>
    <x v="5"/>
    <n v="65.87"/>
    <x v="217"/>
    <x v="2"/>
    <x v="2"/>
  </r>
  <r>
    <s v="ORD-2109"/>
    <x v="54"/>
    <d v="2024-06-13T00:00:00"/>
    <x v="2"/>
    <x v="0"/>
    <x v="5"/>
    <x v="19"/>
    <n v="1277.69"/>
    <n v="7"/>
    <x v="1"/>
    <n v="165.18"/>
    <x v="148"/>
    <x v="2"/>
    <x v="6"/>
  </r>
  <r>
    <s v="ORD-2110"/>
    <x v="297"/>
    <d v="2024-09-04T00:00:00"/>
    <x v="3"/>
    <x v="2"/>
    <x v="8"/>
    <x v="16"/>
    <n v="3875.82"/>
    <n v="18"/>
    <x v="3"/>
    <n v="755.8"/>
    <x v="2"/>
    <x v="1"/>
    <x v="4"/>
  </r>
  <r>
    <s v="ORD-2111"/>
    <x v="129"/>
    <d v="2024-10-03T00:00:00"/>
    <x v="2"/>
    <x v="1"/>
    <x v="3"/>
    <x v="25"/>
    <n v="3817.97"/>
    <n v="18"/>
    <x v="0"/>
    <n v="314.95"/>
    <x v="157"/>
    <x v="1"/>
    <x v="9"/>
  </r>
  <r>
    <s v="ORD-2112"/>
    <x v="197"/>
    <d v="2024-01-19T00:00:00"/>
    <x v="1"/>
    <x v="2"/>
    <x v="2"/>
    <x v="21"/>
    <n v="2361.8200000000002"/>
    <n v="10"/>
    <x v="3"/>
    <n v="219.96"/>
    <x v="81"/>
    <x v="2"/>
    <x v="5"/>
  </r>
  <r>
    <s v="ORD-2113"/>
    <x v="289"/>
    <d v="2024-02-13T00:00:00"/>
    <x v="1"/>
    <x v="1"/>
    <x v="3"/>
    <x v="32"/>
    <n v="564.58000000000004"/>
    <n v="13"/>
    <x v="2"/>
    <n v="170.18"/>
    <x v="152"/>
    <x v="2"/>
    <x v="8"/>
  </r>
  <r>
    <s v="ORD-2114"/>
    <x v="8"/>
    <d v="2024-10-20T00:00:00"/>
    <x v="0"/>
    <x v="2"/>
    <x v="2"/>
    <x v="21"/>
    <n v="1417.96"/>
    <n v="11"/>
    <x v="4"/>
    <n v="86.43"/>
    <x v="157"/>
    <x v="1"/>
    <x v="1"/>
  </r>
  <r>
    <s v="ORD-2115"/>
    <x v="70"/>
    <d v="2024-11-08T00:00:00"/>
    <x v="0"/>
    <x v="2"/>
    <x v="10"/>
    <x v="17"/>
    <n v="2295.96"/>
    <n v="11"/>
    <x v="0"/>
    <n v="277.17"/>
    <x v="230"/>
    <x v="0"/>
    <x v="0"/>
  </r>
  <r>
    <s v="ORD-2116"/>
    <x v="131"/>
    <d v="2024-09-05T00:00:00"/>
    <x v="0"/>
    <x v="2"/>
    <x v="8"/>
    <x v="23"/>
    <n v="727.31"/>
    <n v="1"/>
    <x v="4"/>
    <n v="-149.81"/>
    <x v="82"/>
    <x v="2"/>
    <x v="9"/>
  </r>
  <r>
    <s v="ORD-2117"/>
    <x v="136"/>
    <d v="2024-04-18T00:00:00"/>
    <x v="0"/>
    <x v="1"/>
    <x v="3"/>
    <x v="25"/>
    <n v="890.21"/>
    <n v="17"/>
    <x v="5"/>
    <n v="81.86"/>
    <x v="237"/>
    <x v="0"/>
    <x v="3"/>
  </r>
  <r>
    <s v="ORD-2118"/>
    <x v="176"/>
    <d v="2024-08-08T00:00:00"/>
    <x v="0"/>
    <x v="2"/>
    <x v="8"/>
    <x v="23"/>
    <n v="3984.04"/>
    <n v="9"/>
    <x v="2"/>
    <n v="584.52"/>
    <x v="138"/>
    <x v="2"/>
    <x v="4"/>
  </r>
  <r>
    <s v="ORD-2119"/>
    <x v="314"/>
    <d v="2024-10-17T00:00:00"/>
    <x v="1"/>
    <x v="2"/>
    <x v="10"/>
    <x v="17"/>
    <n v="2197.67"/>
    <n v="9"/>
    <x v="5"/>
    <n v="415.06"/>
    <x v="200"/>
    <x v="2"/>
    <x v="1"/>
  </r>
  <r>
    <s v="ORD-2120"/>
    <x v="76"/>
    <d v="2024-03-12T00:00:00"/>
    <x v="2"/>
    <x v="1"/>
    <x v="3"/>
    <x v="25"/>
    <n v="922.1"/>
    <n v="16"/>
    <x v="1"/>
    <n v="-320.88"/>
    <x v="74"/>
    <x v="0"/>
    <x v="11"/>
  </r>
  <r>
    <s v="ORD-2121"/>
    <x v="2"/>
    <d v="2024-12-28T00:00:00"/>
    <x v="1"/>
    <x v="0"/>
    <x v="5"/>
    <x v="5"/>
    <n v="1969.73"/>
    <n v="4"/>
    <x v="1"/>
    <n v="467.79"/>
    <x v="55"/>
    <x v="1"/>
    <x v="2"/>
  </r>
  <r>
    <s v="ORD-2122"/>
    <x v="24"/>
    <d v="2024-02-09T00:00:00"/>
    <x v="1"/>
    <x v="2"/>
    <x v="8"/>
    <x v="16"/>
    <n v="1279.68"/>
    <n v="14"/>
    <x v="2"/>
    <n v="343.97"/>
    <x v="196"/>
    <x v="2"/>
    <x v="8"/>
  </r>
  <r>
    <s v="ORD-2123"/>
    <x v="214"/>
    <d v="2024-07-29T00:00:00"/>
    <x v="1"/>
    <x v="1"/>
    <x v="4"/>
    <x v="11"/>
    <n v="636.16"/>
    <n v="7"/>
    <x v="3"/>
    <n v="65.84"/>
    <x v="142"/>
    <x v="2"/>
    <x v="10"/>
  </r>
  <r>
    <s v="ORD-2124"/>
    <x v="320"/>
    <d v="2024-03-11T00:00:00"/>
    <x v="3"/>
    <x v="0"/>
    <x v="0"/>
    <x v="22"/>
    <n v="1034.9000000000001"/>
    <n v="1"/>
    <x v="4"/>
    <n v="-358.83"/>
    <x v="101"/>
    <x v="0"/>
    <x v="11"/>
  </r>
  <r>
    <s v="ORD-2125"/>
    <x v="114"/>
    <d v="2024-11-12T00:00:00"/>
    <x v="1"/>
    <x v="1"/>
    <x v="3"/>
    <x v="3"/>
    <n v="1462.52"/>
    <n v="2"/>
    <x v="4"/>
    <n v="297.64"/>
    <x v="56"/>
    <x v="1"/>
    <x v="0"/>
  </r>
  <r>
    <s v="ORD-2126"/>
    <x v="333"/>
    <d v="2024-12-13T00:00:00"/>
    <x v="3"/>
    <x v="2"/>
    <x v="8"/>
    <x v="16"/>
    <n v="2350.54"/>
    <n v="13"/>
    <x v="5"/>
    <n v="615.54"/>
    <x v="11"/>
    <x v="2"/>
    <x v="2"/>
  </r>
  <r>
    <s v="ORD-2127"/>
    <x v="350"/>
    <d v="2024-09-29T00:00:00"/>
    <x v="0"/>
    <x v="0"/>
    <x v="7"/>
    <x v="29"/>
    <n v="3795.59"/>
    <n v="9"/>
    <x v="0"/>
    <n v="352.48"/>
    <x v="199"/>
    <x v="2"/>
    <x v="9"/>
  </r>
  <r>
    <s v="ORD-2128"/>
    <x v="39"/>
    <d v="2024-08-21T00:00:00"/>
    <x v="3"/>
    <x v="0"/>
    <x v="5"/>
    <x v="5"/>
    <n v="3624.11"/>
    <n v="12"/>
    <x v="4"/>
    <n v="208.71"/>
    <x v="61"/>
    <x v="0"/>
    <x v="4"/>
  </r>
  <r>
    <s v="ORD-2129"/>
    <x v="46"/>
    <d v="2024-08-31T00:00:00"/>
    <x v="2"/>
    <x v="1"/>
    <x v="4"/>
    <x v="11"/>
    <n v="1684.22"/>
    <n v="6"/>
    <x v="0"/>
    <n v="587.16999999999996"/>
    <x v="229"/>
    <x v="2"/>
    <x v="4"/>
  </r>
  <r>
    <s v="ORD-2130"/>
    <x v="190"/>
    <d v="2024-07-06T00:00:00"/>
    <x v="0"/>
    <x v="0"/>
    <x v="0"/>
    <x v="31"/>
    <n v="602.91"/>
    <n v="12"/>
    <x v="3"/>
    <n v="-121.09"/>
    <x v="203"/>
    <x v="1"/>
    <x v="10"/>
  </r>
  <r>
    <s v="ORD-2131"/>
    <x v="281"/>
    <d v="2024-05-19T00:00:00"/>
    <x v="3"/>
    <x v="0"/>
    <x v="6"/>
    <x v="6"/>
    <n v="414.69"/>
    <n v="9"/>
    <x v="3"/>
    <n v="98.52"/>
    <x v="113"/>
    <x v="1"/>
    <x v="7"/>
  </r>
  <r>
    <s v="ORD-2132"/>
    <x v="100"/>
    <d v="2024-01-23T00:00:00"/>
    <x v="2"/>
    <x v="2"/>
    <x v="10"/>
    <x v="17"/>
    <n v="3062.26"/>
    <n v="18"/>
    <x v="1"/>
    <n v="-188.2"/>
    <x v="114"/>
    <x v="0"/>
    <x v="5"/>
  </r>
  <r>
    <s v="ORD-2133"/>
    <x v="211"/>
    <d v="2025-01-02T00:00:00"/>
    <x v="1"/>
    <x v="1"/>
    <x v="1"/>
    <x v="10"/>
    <n v="3377.74"/>
    <n v="4"/>
    <x v="1"/>
    <n v="618.16999999999996"/>
    <x v="7"/>
    <x v="2"/>
    <x v="2"/>
  </r>
  <r>
    <s v="ORD-2134"/>
    <x v="23"/>
    <d v="2024-06-10T00:00:00"/>
    <x v="3"/>
    <x v="1"/>
    <x v="4"/>
    <x v="11"/>
    <n v="1497.49"/>
    <n v="11"/>
    <x v="0"/>
    <n v="150.88999999999999"/>
    <x v="214"/>
    <x v="2"/>
    <x v="6"/>
  </r>
  <r>
    <s v="ORD-2135"/>
    <x v="247"/>
    <d v="2024-07-06T00:00:00"/>
    <x v="2"/>
    <x v="2"/>
    <x v="8"/>
    <x v="16"/>
    <n v="973.52"/>
    <n v="17"/>
    <x v="4"/>
    <n v="-261.57"/>
    <x v="47"/>
    <x v="1"/>
    <x v="10"/>
  </r>
  <r>
    <s v="ORD-2136"/>
    <x v="96"/>
    <d v="2024-08-15T00:00:00"/>
    <x v="3"/>
    <x v="0"/>
    <x v="7"/>
    <x v="12"/>
    <n v="2145.5"/>
    <n v="6"/>
    <x v="0"/>
    <n v="587.97"/>
    <x v="26"/>
    <x v="1"/>
    <x v="4"/>
  </r>
  <r>
    <s v="ORD-2137"/>
    <x v="225"/>
    <d v="2024-01-06T00:00:00"/>
    <x v="3"/>
    <x v="0"/>
    <x v="0"/>
    <x v="9"/>
    <n v="1530.45"/>
    <n v="19"/>
    <x v="0"/>
    <n v="116.05"/>
    <x v="120"/>
    <x v="2"/>
    <x v="5"/>
  </r>
  <r>
    <s v="ORD-2138"/>
    <x v="263"/>
    <d v="2024-02-16T00:00:00"/>
    <x v="0"/>
    <x v="1"/>
    <x v="4"/>
    <x v="11"/>
    <n v="946.22"/>
    <n v="19"/>
    <x v="0"/>
    <n v="321.45999999999998"/>
    <x v="93"/>
    <x v="2"/>
    <x v="8"/>
  </r>
  <r>
    <s v="ORD-2139"/>
    <x v="11"/>
    <d v="2024-01-09T00:00:00"/>
    <x v="3"/>
    <x v="2"/>
    <x v="8"/>
    <x v="13"/>
    <n v="3787.14"/>
    <n v="10"/>
    <x v="0"/>
    <n v="919.12"/>
    <x v="218"/>
    <x v="2"/>
    <x v="5"/>
  </r>
  <r>
    <s v="ORD-2140"/>
    <x v="132"/>
    <d v="2024-04-09T00:00:00"/>
    <x v="3"/>
    <x v="1"/>
    <x v="3"/>
    <x v="26"/>
    <n v="917.52"/>
    <n v="5"/>
    <x v="2"/>
    <n v="132.72999999999999"/>
    <x v="92"/>
    <x v="1"/>
    <x v="3"/>
  </r>
  <r>
    <s v="ORD-2141"/>
    <x v="78"/>
    <d v="2024-04-10T00:00:00"/>
    <x v="1"/>
    <x v="1"/>
    <x v="3"/>
    <x v="26"/>
    <n v="2865.84"/>
    <n v="9"/>
    <x v="1"/>
    <n v="564.47"/>
    <x v="160"/>
    <x v="1"/>
    <x v="3"/>
  </r>
  <r>
    <s v="ORD-2142"/>
    <x v="172"/>
    <d v="2024-07-04T00:00:00"/>
    <x v="1"/>
    <x v="1"/>
    <x v="4"/>
    <x v="4"/>
    <n v="833.89"/>
    <n v="19"/>
    <x v="4"/>
    <n v="290.3"/>
    <x v="64"/>
    <x v="1"/>
    <x v="6"/>
  </r>
  <r>
    <s v="ORD-2143"/>
    <x v="258"/>
    <d v="2024-11-30T00:00:00"/>
    <x v="1"/>
    <x v="2"/>
    <x v="2"/>
    <x v="2"/>
    <n v="2174.77"/>
    <n v="7"/>
    <x v="3"/>
    <n v="251.13"/>
    <x v="185"/>
    <x v="1"/>
    <x v="0"/>
  </r>
  <r>
    <s v="ORD-2144"/>
    <x v="148"/>
    <d v="2024-03-02T00:00:00"/>
    <x v="2"/>
    <x v="1"/>
    <x v="3"/>
    <x v="26"/>
    <n v="1646.06"/>
    <n v="13"/>
    <x v="0"/>
    <n v="-372.86"/>
    <x v="47"/>
    <x v="0"/>
    <x v="8"/>
  </r>
  <r>
    <s v="ORD-2145"/>
    <x v="2"/>
    <d v="2024-12-26T00:00:00"/>
    <x v="3"/>
    <x v="1"/>
    <x v="1"/>
    <x v="10"/>
    <n v="2033.11"/>
    <n v="11"/>
    <x v="0"/>
    <n v="652.41"/>
    <x v="62"/>
    <x v="2"/>
    <x v="2"/>
  </r>
  <r>
    <s v="ORD-2146"/>
    <x v="204"/>
    <d v="2024-07-06T00:00:00"/>
    <x v="1"/>
    <x v="2"/>
    <x v="10"/>
    <x v="28"/>
    <n v="1896.28"/>
    <n v="20"/>
    <x v="5"/>
    <n v="432.49"/>
    <x v="35"/>
    <x v="1"/>
    <x v="10"/>
  </r>
  <r>
    <s v="ORD-2147"/>
    <x v="118"/>
    <d v="2024-07-30T00:00:00"/>
    <x v="1"/>
    <x v="2"/>
    <x v="2"/>
    <x v="33"/>
    <n v="1517.04"/>
    <n v="13"/>
    <x v="3"/>
    <n v="94.12"/>
    <x v="219"/>
    <x v="2"/>
    <x v="10"/>
  </r>
  <r>
    <s v="ORD-2148"/>
    <x v="280"/>
    <d v="2024-04-30T00:00:00"/>
    <x v="2"/>
    <x v="2"/>
    <x v="2"/>
    <x v="33"/>
    <n v="1752.81"/>
    <n v="1"/>
    <x v="4"/>
    <n v="356.98"/>
    <x v="210"/>
    <x v="2"/>
    <x v="3"/>
  </r>
  <r>
    <s v="ORD-2149"/>
    <x v="59"/>
    <d v="2024-11-04T00:00:00"/>
    <x v="1"/>
    <x v="1"/>
    <x v="4"/>
    <x v="4"/>
    <n v="3207.14"/>
    <n v="2"/>
    <x v="1"/>
    <n v="457.92"/>
    <x v="112"/>
    <x v="2"/>
    <x v="0"/>
  </r>
  <r>
    <s v="ORD-2150"/>
    <x v="192"/>
    <d v="2024-07-03T00:00:00"/>
    <x v="2"/>
    <x v="1"/>
    <x v="3"/>
    <x v="3"/>
    <n v="2719.78"/>
    <n v="7"/>
    <x v="4"/>
    <n v="-381.82"/>
    <x v="85"/>
    <x v="2"/>
    <x v="6"/>
  </r>
  <r>
    <s v="ORD-2151"/>
    <x v="284"/>
    <d v="2024-05-03T00:00:00"/>
    <x v="2"/>
    <x v="1"/>
    <x v="4"/>
    <x v="11"/>
    <n v="828.02"/>
    <n v="18"/>
    <x v="3"/>
    <n v="42.63"/>
    <x v="96"/>
    <x v="2"/>
    <x v="3"/>
  </r>
  <r>
    <s v="ORD-2152"/>
    <x v="213"/>
    <d v="2024-02-28T00:00:00"/>
    <x v="2"/>
    <x v="0"/>
    <x v="7"/>
    <x v="24"/>
    <n v="2756.64"/>
    <n v="15"/>
    <x v="0"/>
    <n v="338.58"/>
    <x v="19"/>
    <x v="1"/>
    <x v="8"/>
  </r>
  <r>
    <s v="ORD-2153"/>
    <x v="203"/>
    <d v="2024-07-19T00:00:00"/>
    <x v="3"/>
    <x v="1"/>
    <x v="3"/>
    <x v="26"/>
    <n v="3617.58"/>
    <n v="14"/>
    <x v="2"/>
    <n v="-608.30999999999995"/>
    <x v="48"/>
    <x v="2"/>
    <x v="10"/>
  </r>
  <r>
    <s v="ORD-2154"/>
    <x v="56"/>
    <d v="2024-09-07T00:00:00"/>
    <x v="1"/>
    <x v="0"/>
    <x v="7"/>
    <x v="29"/>
    <n v="1634.25"/>
    <n v="11"/>
    <x v="2"/>
    <n v="485.33"/>
    <x v="110"/>
    <x v="1"/>
    <x v="9"/>
  </r>
  <r>
    <s v="ORD-2155"/>
    <x v="216"/>
    <d v="2024-07-23T00:00:00"/>
    <x v="1"/>
    <x v="1"/>
    <x v="3"/>
    <x v="32"/>
    <n v="415.93"/>
    <n v="10"/>
    <x v="5"/>
    <n v="32.380000000000003"/>
    <x v="26"/>
    <x v="2"/>
    <x v="10"/>
  </r>
  <r>
    <s v="ORD-2156"/>
    <x v="83"/>
    <d v="2024-04-08T00:00:00"/>
    <x v="1"/>
    <x v="2"/>
    <x v="2"/>
    <x v="21"/>
    <n v="2782.27"/>
    <n v="16"/>
    <x v="1"/>
    <n v="356.98"/>
    <x v="176"/>
    <x v="1"/>
    <x v="3"/>
  </r>
  <r>
    <s v="ORD-2157"/>
    <x v="150"/>
    <d v="2024-04-03T00:00:00"/>
    <x v="2"/>
    <x v="0"/>
    <x v="5"/>
    <x v="19"/>
    <n v="3273.36"/>
    <n v="12"/>
    <x v="0"/>
    <n v="883.16"/>
    <x v="28"/>
    <x v="0"/>
    <x v="3"/>
  </r>
  <r>
    <s v="ORD-2158"/>
    <x v="301"/>
    <d v="2024-07-26T00:00:00"/>
    <x v="1"/>
    <x v="2"/>
    <x v="10"/>
    <x v="17"/>
    <n v="2823.62"/>
    <n v="1"/>
    <x v="5"/>
    <n v="695.02"/>
    <x v="2"/>
    <x v="2"/>
    <x v="10"/>
  </r>
  <r>
    <s v="ORD-2159"/>
    <x v="149"/>
    <d v="2024-08-04T00:00:00"/>
    <x v="3"/>
    <x v="2"/>
    <x v="2"/>
    <x v="33"/>
    <n v="2627.94"/>
    <n v="20"/>
    <x v="5"/>
    <n v="527.21"/>
    <x v="4"/>
    <x v="2"/>
    <x v="4"/>
  </r>
  <r>
    <s v="ORD-2160"/>
    <x v="272"/>
    <d v="2025-01-04T00:00:00"/>
    <x v="3"/>
    <x v="1"/>
    <x v="1"/>
    <x v="10"/>
    <n v="2243.92"/>
    <n v="13"/>
    <x v="0"/>
    <n v="-166.06"/>
    <x v="25"/>
    <x v="2"/>
    <x v="2"/>
  </r>
  <r>
    <s v="ORD-2161"/>
    <x v="159"/>
    <d v="2025-01-01T00:00:00"/>
    <x v="1"/>
    <x v="0"/>
    <x v="6"/>
    <x v="6"/>
    <n v="432.04"/>
    <n v="10"/>
    <x v="1"/>
    <n v="37.36"/>
    <x v="198"/>
    <x v="0"/>
    <x v="2"/>
  </r>
  <r>
    <s v="ORD-2162"/>
    <x v="247"/>
    <d v="2024-07-06T00:00:00"/>
    <x v="3"/>
    <x v="2"/>
    <x v="9"/>
    <x v="27"/>
    <n v="2781.24"/>
    <n v="1"/>
    <x v="2"/>
    <n v="362.04"/>
    <x v="9"/>
    <x v="0"/>
    <x v="10"/>
  </r>
  <r>
    <s v="ORD-2163"/>
    <x v="268"/>
    <d v="2024-08-01T00:00:00"/>
    <x v="2"/>
    <x v="2"/>
    <x v="2"/>
    <x v="33"/>
    <n v="383.56"/>
    <n v="4"/>
    <x v="3"/>
    <n v="103.4"/>
    <x v="200"/>
    <x v="1"/>
    <x v="4"/>
  </r>
  <r>
    <s v="ORD-2164"/>
    <x v="338"/>
    <d v="2024-07-24T00:00:00"/>
    <x v="1"/>
    <x v="1"/>
    <x v="4"/>
    <x v="11"/>
    <n v="722.7"/>
    <n v="5"/>
    <x v="0"/>
    <n v="143.12"/>
    <x v="35"/>
    <x v="2"/>
    <x v="10"/>
  </r>
  <r>
    <s v="ORD-2165"/>
    <x v="351"/>
    <d v="2024-07-02T00:00:00"/>
    <x v="1"/>
    <x v="0"/>
    <x v="6"/>
    <x v="8"/>
    <n v="537.01"/>
    <n v="12"/>
    <x v="1"/>
    <n v="50.49"/>
    <x v="79"/>
    <x v="1"/>
    <x v="6"/>
  </r>
  <r>
    <s v="ORD-2166"/>
    <x v="44"/>
    <d v="2024-11-23T00:00:00"/>
    <x v="2"/>
    <x v="0"/>
    <x v="5"/>
    <x v="19"/>
    <n v="3727.9"/>
    <n v="10"/>
    <x v="5"/>
    <n v="634.57000000000005"/>
    <x v="23"/>
    <x v="2"/>
    <x v="0"/>
  </r>
  <r>
    <s v="ORD-2167"/>
    <x v="226"/>
    <d v="2024-05-12T00:00:00"/>
    <x v="2"/>
    <x v="1"/>
    <x v="1"/>
    <x v="20"/>
    <n v="1228.6600000000001"/>
    <n v="10"/>
    <x v="2"/>
    <n v="250.91"/>
    <x v="201"/>
    <x v="2"/>
    <x v="7"/>
  </r>
  <r>
    <s v="ORD-2168"/>
    <x v="167"/>
    <d v="2024-05-04T00:00:00"/>
    <x v="3"/>
    <x v="0"/>
    <x v="6"/>
    <x v="15"/>
    <n v="3102.7"/>
    <n v="14"/>
    <x v="3"/>
    <n v="850.33"/>
    <x v="224"/>
    <x v="1"/>
    <x v="7"/>
  </r>
  <r>
    <s v="ORD-2169"/>
    <x v="30"/>
    <d v="2024-05-21T00:00:00"/>
    <x v="2"/>
    <x v="1"/>
    <x v="4"/>
    <x v="4"/>
    <n v="1272.55"/>
    <n v="14"/>
    <x v="4"/>
    <n v="70.77"/>
    <x v="64"/>
    <x v="1"/>
    <x v="7"/>
  </r>
  <r>
    <s v="ORD-2170"/>
    <x v="228"/>
    <d v="2024-03-11T00:00:00"/>
    <x v="3"/>
    <x v="2"/>
    <x v="2"/>
    <x v="2"/>
    <n v="1079.96"/>
    <n v="1"/>
    <x v="0"/>
    <n v="-159.16999999999999"/>
    <x v="17"/>
    <x v="1"/>
    <x v="11"/>
  </r>
  <r>
    <s v="ORD-2171"/>
    <x v="300"/>
    <d v="2024-06-03T00:00:00"/>
    <x v="2"/>
    <x v="0"/>
    <x v="0"/>
    <x v="22"/>
    <n v="2033.51"/>
    <n v="18"/>
    <x v="1"/>
    <n v="310.89"/>
    <x v="223"/>
    <x v="2"/>
    <x v="7"/>
  </r>
  <r>
    <s v="ORD-2172"/>
    <x v="96"/>
    <d v="2024-08-17T00:00:00"/>
    <x v="2"/>
    <x v="0"/>
    <x v="6"/>
    <x v="15"/>
    <n v="2245.9"/>
    <n v="6"/>
    <x v="0"/>
    <n v="375.11"/>
    <x v="198"/>
    <x v="2"/>
    <x v="4"/>
  </r>
  <r>
    <s v="ORD-2173"/>
    <x v="152"/>
    <d v="2024-12-05T00:00:00"/>
    <x v="2"/>
    <x v="0"/>
    <x v="0"/>
    <x v="9"/>
    <n v="1028.32"/>
    <n v="17"/>
    <x v="3"/>
    <n v="145.21"/>
    <x v="98"/>
    <x v="0"/>
    <x v="2"/>
  </r>
  <r>
    <s v="ORD-2174"/>
    <x v="322"/>
    <d v="2024-08-26T00:00:00"/>
    <x v="0"/>
    <x v="1"/>
    <x v="4"/>
    <x v="11"/>
    <n v="2590.9899999999998"/>
    <n v="19"/>
    <x v="5"/>
    <n v="452.43"/>
    <x v="95"/>
    <x v="0"/>
    <x v="4"/>
  </r>
  <r>
    <s v="ORD-2175"/>
    <x v="180"/>
    <d v="2024-06-01T00:00:00"/>
    <x v="1"/>
    <x v="2"/>
    <x v="10"/>
    <x v="17"/>
    <n v="2526.71"/>
    <n v="4"/>
    <x v="1"/>
    <n v="426.32"/>
    <x v="186"/>
    <x v="2"/>
    <x v="7"/>
  </r>
  <r>
    <s v="ORD-2176"/>
    <x v="10"/>
    <d v="2024-03-01T00:00:00"/>
    <x v="1"/>
    <x v="1"/>
    <x v="4"/>
    <x v="4"/>
    <n v="2312.7600000000002"/>
    <n v="12"/>
    <x v="4"/>
    <n v="405.78"/>
    <x v="122"/>
    <x v="1"/>
    <x v="8"/>
  </r>
  <r>
    <s v="ORD-2177"/>
    <x v="124"/>
    <d v="2024-06-17T00:00:00"/>
    <x v="0"/>
    <x v="0"/>
    <x v="0"/>
    <x v="22"/>
    <n v="1094.1199999999999"/>
    <n v="13"/>
    <x v="5"/>
    <n v="303.12"/>
    <x v="87"/>
    <x v="1"/>
    <x v="6"/>
  </r>
  <r>
    <s v="ORD-2178"/>
    <x v="257"/>
    <d v="2024-08-20T00:00:00"/>
    <x v="1"/>
    <x v="2"/>
    <x v="2"/>
    <x v="2"/>
    <n v="2247.5"/>
    <n v="11"/>
    <x v="5"/>
    <n v="554.80999999999995"/>
    <x v="199"/>
    <x v="1"/>
    <x v="4"/>
  </r>
  <r>
    <s v="ORD-2179"/>
    <x v="66"/>
    <d v="2024-02-26T00:00:00"/>
    <x v="2"/>
    <x v="2"/>
    <x v="9"/>
    <x v="14"/>
    <n v="2636.56"/>
    <n v="20"/>
    <x v="4"/>
    <n v="241.43"/>
    <x v="45"/>
    <x v="2"/>
    <x v="8"/>
  </r>
  <r>
    <s v="ORD-2180"/>
    <x v="221"/>
    <d v="2024-02-17T00:00:00"/>
    <x v="0"/>
    <x v="2"/>
    <x v="10"/>
    <x v="28"/>
    <n v="2384.9"/>
    <n v="16"/>
    <x v="0"/>
    <n v="184.33"/>
    <x v="108"/>
    <x v="2"/>
    <x v="8"/>
  </r>
  <r>
    <s v="ORD-2181"/>
    <x v="218"/>
    <d v="2024-11-09T00:00:00"/>
    <x v="1"/>
    <x v="1"/>
    <x v="3"/>
    <x v="26"/>
    <n v="2961.48"/>
    <n v="8"/>
    <x v="4"/>
    <n v="567.57000000000005"/>
    <x v="11"/>
    <x v="0"/>
    <x v="0"/>
  </r>
  <r>
    <s v="ORD-2182"/>
    <x v="125"/>
    <d v="2024-04-17T00:00:00"/>
    <x v="1"/>
    <x v="2"/>
    <x v="8"/>
    <x v="16"/>
    <n v="1026.28"/>
    <n v="15"/>
    <x v="5"/>
    <n v="126.76"/>
    <x v="128"/>
    <x v="0"/>
    <x v="3"/>
  </r>
  <r>
    <s v="ORD-2183"/>
    <x v="299"/>
    <d v="2024-05-05T00:00:00"/>
    <x v="2"/>
    <x v="0"/>
    <x v="5"/>
    <x v="5"/>
    <n v="3392.03"/>
    <n v="6"/>
    <x v="4"/>
    <n v="639.95000000000005"/>
    <x v="188"/>
    <x v="0"/>
    <x v="7"/>
  </r>
  <r>
    <s v="ORD-2184"/>
    <x v="326"/>
    <d v="2024-01-04T00:00:00"/>
    <x v="2"/>
    <x v="0"/>
    <x v="6"/>
    <x v="6"/>
    <n v="513.87"/>
    <n v="14"/>
    <x v="3"/>
    <n v="161.87"/>
    <x v="134"/>
    <x v="0"/>
    <x v="5"/>
  </r>
  <r>
    <s v="ORD-2185"/>
    <x v="15"/>
    <d v="2024-11-06T00:00:00"/>
    <x v="2"/>
    <x v="2"/>
    <x v="8"/>
    <x v="23"/>
    <n v="3293.73"/>
    <n v="2"/>
    <x v="3"/>
    <n v="559.37"/>
    <x v="189"/>
    <x v="2"/>
    <x v="0"/>
  </r>
  <r>
    <s v="ORD-2186"/>
    <x v="352"/>
    <d v="2024-11-25T00:00:00"/>
    <x v="2"/>
    <x v="1"/>
    <x v="1"/>
    <x v="1"/>
    <n v="3426.51"/>
    <n v="19"/>
    <x v="1"/>
    <n v="913.5"/>
    <x v="186"/>
    <x v="0"/>
    <x v="0"/>
  </r>
  <r>
    <s v="ORD-2187"/>
    <x v="265"/>
    <d v="2024-12-07T00:00:00"/>
    <x v="1"/>
    <x v="1"/>
    <x v="3"/>
    <x v="32"/>
    <n v="1241.9000000000001"/>
    <n v="11"/>
    <x v="0"/>
    <n v="320.55"/>
    <x v="63"/>
    <x v="0"/>
    <x v="2"/>
  </r>
  <r>
    <s v="ORD-2188"/>
    <x v="103"/>
    <d v="2025-01-05T00:00:00"/>
    <x v="1"/>
    <x v="2"/>
    <x v="2"/>
    <x v="21"/>
    <n v="2834.48"/>
    <n v="11"/>
    <x v="5"/>
    <n v="736.59"/>
    <x v="238"/>
    <x v="0"/>
    <x v="2"/>
  </r>
  <r>
    <s v="ORD-2189"/>
    <x v="106"/>
    <d v="2024-10-31T00:00:00"/>
    <x v="1"/>
    <x v="1"/>
    <x v="4"/>
    <x v="4"/>
    <n v="347.28"/>
    <n v="12"/>
    <x v="2"/>
    <n v="55.15"/>
    <x v="78"/>
    <x v="1"/>
    <x v="1"/>
  </r>
  <r>
    <s v="ORD-2190"/>
    <x v="227"/>
    <d v="2024-03-26T00:00:00"/>
    <x v="2"/>
    <x v="0"/>
    <x v="6"/>
    <x v="7"/>
    <n v="829.15"/>
    <n v="5"/>
    <x v="4"/>
    <n v="192.56"/>
    <x v="232"/>
    <x v="0"/>
    <x v="11"/>
  </r>
  <r>
    <s v="ORD-2191"/>
    <x v="226"/>
    <d v="2024-05-14T00:00:00"/>
    <x v="0"/>
    <x v="1"/>
    <x v="4"/>
    <x v="4"/>
    <n v="806.36"/>
    <n v="1"/>
    <x v="3"/>
    <n v="128.41"/>
    <x v="28"/>
    <x v="0"/>
    <x v="7"/>
  </r>
  <r>
    <s v="ORD-2192"/>
    <x v="248"/>
    <d v="2024-09-27T00:00:00"/>
    <x v="2"/>
    <x v="0"/>
    <x v="7"/>
    <x v="24"/>
    <n v="2664.44"/>
    <n v="19"/>
    <x v="2"/>
    <n v="384.45"/>
    <x v="239"/>
    <x v="1"/>
    <x v="9"/>
  </r>
  <r>
    <s v="ORD-2193"/>
    <x v="316"/>
    <d v="2024-09-07T00:00:00"/>
    <x v="2"/>
    <x v="1"/>
    <x v="3"/>
    <x v="25"/>
    <n v="303.37"/>
    <n v="3"/>
    <x v="3"/>
    <n v="35.630000000000003"/>
    <x v="198"/>
    <x v="2"/>
    <x v="9"/>
  </r>
  <r>
    <s v="ORD-2194"/>
    <x v="155"/>
    <d v="2024-03-21T00:00:00"/>
    <x v="0"/>
    <x v="0"/>
    <x v="7"/>
    <x v="24"/>
    <n v="2120.46"/>
    <n v="19"/>
    <x v="0"/>
    <n v="682.56"/>
    <x v="35"/>
    <x v="2"/>
    <x v="11"/>
  </r>
  <r>
    <s v="ORD-2195"/>
    <x v="63"/>
    <d v="2024-09-28T00:00:00"/>
    <x v="1"/>
    <x v="2"/>
    <x v="8"/>
    <x v="23"/>
    <n v="2599.0100000000002"/>
    <n v="11"/>
    <x v="2"/>
    <n v="182.34"/>
    <x v="144"/>
    <x v="0"/>
    <x v="9"/>
  </r>
  <r>
    <s v="ORD-2196"/>
    <x v="129"/>
    <d v="2024-10-01T00:00:00"/>
    <x v="0"/>
    <x v="2"/>
    <x v="10"/>
    <x v="28"/>
    <n v="1210.27"/>
    <n v="6"/>
    <x v="0"/>
    <n v="400.48"/>
    <x v="218"/>
    <x v="2"/>
    <x v="9"/>
  </r>
  <r>
    <s v="ORD-2197"/>
    <x v="324"/>
    <d v="2024-05-03T00:00:00"/>
    <x v="1"/>
    <x v="1"/>
    <x v="4"/>
    <x v="4"/>
    <n v="2319.91"/>
    <n v="3"/>
    <x v="0"/>
    <n v="248.24"/>
    <x v="186"/>
    <x v="0"/>
    <x v="3"/>
  </r>
  <r>
    <s v="ORD-2198"/>
    <x v="113"/>
    <d v="2024-02-04T00:00:00"/>
    <x v="3"/>
    <x v="1"/>
    <x v="1"/>
    <x v="1"/>
    <n v="1164.78"/>
    <n v="19"/>
    <x v="5"/>
    <n v="220.47"/>
    <x v="90"/>
    <x v="1"/>
    <x v="8"/>
  </r>
  <r>
    <s v="ORD-2199"/>
    <x v="182"/>
    <d v="2024-02-01T00:00:00"/>
    <x v="0"/>
    <x v="1"/>
    <x v="3"/>
    <x v="3"/>
    <n v="1907.12"/>
    <n v="16"/>
    <x v="4"/>
    <n v="152.5"/>
    <x v="216"/>
    <x v="1"/>
    <x v="5"/>
  </r>
  <r>
    <s v="ORD-2200"/>
    <x v="70"/>
    <d v="2024-11-09T00:00:00"/>
    <x v="3"/>
    <x v="0"/>
    <x v="5"/>
    <x v="5"/>
    <n v="1861.58"/>
    <n v="4"/>
    <x v="0"/>
    <n v="588.17999999999995"/>
    <x v="201"/>
    <x v="2"/>
    <x v="0"/>
  </r>
  <r>
    <s v="ORD-2201"/>
    <x v="298"/>
    <d v="2024-04-16T00:00:00"/>
    <x v="0"/>
    <x v="2"/>
    <x v="9"/>
    <x v="30"/>
    <n v="1265.29"/>
    <n v="6"/>
    <x v="3"/>
    <n v="255.83"/>
    <x v="188"/>
    <x v="0"/>
    <x v="3"/>
  </r>
  <r>
    <s v="ORD-2202"/>
    <x v="258"/>
    <d v="2024-11-30T00:00:00"/>
    <x v="3"/>
    <x v="0"/>
    <x v="7"/>
    <x v="24"/>
    <n v="1282.33"/>
    <n v="18"/>
    <x v="2"/>
    <n v="182.91"/>
    <x v="188"/>
    <x v="1"/>
    <x v="0"/>
  </r>
  <r>
    <s v="ORD-2203"/>
    <x v="353"/>
    <d v="2024-04-10T00:00:00"/>
    <x v="0"/>
    <x v="2"/>
    <x v="9"/>
    <x v="27"/>
    <n v="861.74"/>
    <n v="3"/>
    <x v="5"/>
    <n v="-217.07"/>
    <x v="145"/>
    <x v="0"/>
    <x v="3"/>
  </r>
  <r>
    <s v="ORD-2204"/>
    <x v="39"/>
    <d v="2024-08-19T00:00:00"/>
    <x v="1"/>
    <x v="1"/>
    <x v="1"/>
    <x v="1"/>
    <n v="1049.56"/>
    <n v="17"/>
    <x v="3"/>
    <n v="153.24"/>
    <x v="200"/>
    <x v="0"/>
    <x v="4"/>
  </r>
  <r>
    <s v="ORD-2205"/>
    <x v="109"/>
    <d v="2024-02-26T00:00:00"/>
    <x v="1"/>
    <x v="0"/>
    <x v="7"/>
    <x v="24"/>
    <n v="836.45"/>
    <n v="13"/>
    <x v="4"/>
    <n v="255.71"/>
    <x v="184"/>
    <x v="2"/>
    <x v="8"/>
  </r>
  <r>
    <s v="ORD-2206"/>
    <x v="252"/>
    <d v="2024-03-26T00:00:00"/>
    <x v="2"/>
    <x v="0"/>
    <x v="6"/>
    <x v="7"/>
    <n v="1107.71"/>
    <n v="9"/>
    <x v="5"/>
    <n v="365.88"/>
    <x v="127"/>
    <x v="1"/>
    <x v="11"/>
  </r>
  <r>
    <s v="ORD-2207"/>
    <x v="156"/>
    <d v="2024-07-10T00:00:00"/>
    <x v="3"/>
    <x v="2"/>
    <x v="2"/>
    <x v="33"/>
    <n v="1432.55"/>
    <n v="10"/>
    <x v="5"/>
    <n v="313.70999999999998"/>
    <x v="179"/>
    <x v="2"/>
    <x v="10"/>
  </r>
  <r>
    <s v="ORD-2208"/>
    <x v="223"/>
    <d v="2024-01-09T00:00:00"/>
    <x v="0"/>
    <x v="2"/>
    <x v="2"/>
    <x v="33"/>
    <n v="3270.14"/>
    <n v="15"/>
    <x v="3"/>
    <n v="182.62"/>
    <x v="118"/>
    <x v="0"/>
    <x v="5"/>
  </r>
  <r>
    <s v="ORD-2209"/>
    <x v="94"/>
    <d v="2024-04-20T00:00:00"/>
    <x v="3"/>
    <x v="2"/>
    <x v="8"/>
    <x v="23"/>
    <n v="1853.12"/>
    <n v="13"/>
    <x v="3"/>
    <n v="402.91"/>
    <x v="199"/>
    <x v="2"/>
    <x v="3"/>
  </r>
  <r>
    <s v="ORD-2210"/>
    <x v="3"/>
    <d v="2024-04-27T00:00:00"/>
    <x v="3"/>
    <x v="1"/>
    <x v="1"/>
    <x v="1"/>
    <n v="851.57"/>
    <n v="16"/>
    <x v="0"/>
    <n v="194.06"/>
    <x v="173"/>
    <x v="0"/>
    <x v="3"/>
  </r>
  <r>
    <s v="ORD-2211"/>
    <x v="5"/>
    <d v="2024-01-30T00:00:00"/>
    <x v="2"/>
    <x v="1"/>
    <x v="3"/>
    <x v="25"/>
    <n v="472.44"/>
    <n v="2"/>
    <x v="0"/>
    <n v="72.19"/>
    <x v="46"/>
    <x v="0"/>
    <x v="5"/>
  </r>
  <r>
    <s v="ORD-2212"/>
    <x v="309"/>
    <d v="2024-08-16T00:00:00"/>
    <x v="0"/>
    <x v="2"/>
    <x v="10"/>
    <x v="28"/>
    <n v="1467.05"/>
    <n v="14"/>
    <x v="4"/>
    <n v="457.99"/>
    <x v="110"/>
    <x v="0"/>
    <x v="4"/>
  </r>
  <r>
    <s v="ORD-2213"/>
    <x v="205"/>
    <d v="2024-10-23T00:00:00"/>
    <x v="0"/>
    <x v="2"/>
    <x v="10"/>
    <x v="17"/>
    <n v="2397.75"/>
    <n v="9"/>
    <x v="2"/>
    <n v="501.87"/>
    <x v="105"/>
    <x v="1"/>
    <x v="1"/>
  </r>
  <r>
    <s v="ORD-2214"/>
    <x v="340"/>
    <d v="2024-01-14T00:00:00"/>
    <x v="0"/>
    <x v="0"/>
    <x v="0"/>
    <x v="31"/>
    <n v="3644.14"/>
    <n v="15"/>
    <x v="0"/>
    <n v="1149.27"/>
    <x v="190"/>
    <x v="0"/>
    <x v="5"/>
  </r>
  <r>
    <s v="ORD-2215"/>
    <x v="317"/>
    <d v="2024-08-30T00:00:00"/>
    <x v="2"/>
    <x v="2"/>
    <x v="2"/>
    <x v="2"/>
    <n v="2791.26"/>
    <n v="9"/>
    <x v="3"/>
    <n v="645.02"/>
    <x v="205"/>
    <x v="0"/>
    <x v="4"/>
  </r>
  <r>
    <s v="ORD-2216"/>
    <x v="285"/>
    <d v="2024-03-13T00:00:00"/>
    <x v="2"/>
    <x v="2"/>
    <x v="9"/>
    <x v="27"/>
    <n v="3242.86"/>
    <n v="17"/>
    <x v="1"/>
    <n v="1050.3499999999999"/>
    <x v="105"/>
    <x v="1"/>
    <x v="11"/>
  </r>
  <r>
    <s v="ORD-2217"/>
    <x v="160"/>
    <d v="2024-01-15T00:00:00"/>
    <x v="0"/>
    <x v="0"/>
    <x v="0"/>
    <x v="22"/>
    <n v="1309.92"/>
    <n v="11"/>
    <x v="0"/>
    <n v="-91.87"/>
    <x v="0"/>
    <x v="1"/>
    <x v="5"/>
  </r>
  <r>
    <s v="ORD-2218"/>
    <x v="40"/>
    <d v="2024-02-18T00:00:00"/>
    <x v="1"/>
    <x v="0"/>
    <x v="5"/>
    <x v="5"/>
    <n v="3709.36"/>
    <n v="20"/>
    <x v="0"/>
    <n v="1290.43"/>
    <x v="24"/>
    <x v="1"/>
    <x v="8"/>
  </r>
  <r>
    <s v="ORD-2219"/>
    <x v="55"/>
    <d v="2024-12-22T00:00:00"/>
    <x v="3"/>
    <x v="2"/>
    <x v="9"/>
    <x v="30"/>
    <n v="820.77"/>
    <n v="11"/>
    <x v="1"/>
    <n v="85.77"/>
    <x v="139"/>
    <x v="0"/>
    <x v="2"/>
  </r>
  <r>
    <s v="ORD-2220"/>
    <x v="274"/>
    <d v="2024-08-26T00:00:00"/>
    <x v="0"/>
    <x v="2"/>
    <x v="2"/>
    <x v="2"/>
    <n v="2588.84"/>
    <n v="13"/>
    <x v="1"/>
    <n v="136.07"/>
    <x v="27"/>
    <x v="1"/>
    <x v="4"/>
  </r>
  <r>
    <s v="ORD-2221"/>
    <x v="186"/>
    <d v="2024-03-22T00:00:00"/>
    <x v="1"/>
    <x v="0"/>
    <x v="0"/>
    <x v="22"/>
    <n v="2701.05"/>
    <n v="7"/>
    <x v="2"/>
    <n v="884.88"/>
    <x v="144"/>
    <x v="2"/>
    <x v="11"/>
  </r>
  <r>
    <s v="ORD-2222"/>
    <x v="278"/>
    <d v="2024-10-24T00:00:00"/>
    <x v="1"/>
    <x v="1"/>
    <x v="1"/>
    <x v="10"/>
    <n v="930.95"/>
    <n v="1"/>
    <x v="2"/>
    <n v="214.66"/>
    <x v="67"/>
    <x v="1"/>
    <x v="1"/>
  </r>
  <r>
    <s v="ORD-2223"/>
    <x v="345"/>
    <d v="2024-03-11T00:00:00"/>
    <x v="0"/>
    <x v="2"/>
    <x v="2"/>
    <x v="2"/>
    <n v="2718.13"/>
    <n v="7"/>
    <x v="3"/>
    <n v="269.06"/>
    <x v="101"/>
    <x v="1"/>
    <x v="11"/>
  </r>
  <r>
    <s v="ORD-2224"/>
    <x v="280"/>
    <d v="2024-05-02T00:00:00"/>
    <x v="3"/>
    <x v="1"/>
    <x v="1"/>
    <x v="10"/>
    <n v="711.66"/>
    <n v="13"/>
    <x v="1"/>
    <n v="130.37"/>
    <x v="109"/>
    <x v="1"/>
    <x v="3"/>
  </r>
  <r>
    <s v="ORD-2225"/>
    <x v="94"/>
    <d v="2024-04-22T00:00:00"/>
    <x v="0"/>
    <x v="2"/>
    <x v="9"/>
    <x v="27"/>
    <n v="994.89"/>
    <n v="13"/>
    <x v="2"/>
    <n v="-292.85000000000002"/>
    <x v="27"/>
    <x v="1"/>
    <x v="3"/>
  </r>
  <r>
    <s v="ORD-2226"/>
    <x v="290"/>
    <d v="2024-03-31T00:00:00"/>
    <x v="1"/>
    <x v="1"/>
    <x v="1"/>
    <x v="10"/>
    <n v="3027.41"/>
    <n v="12"/>
    <x v="0"/>
    <n v="1055.3800000000001"/>
    <x v="72"/>
    <x v="2"/>
    <x v="11"/>
  </r>
  <r>
    <s v="ORD-2227"/>
    <x v="269"/>
    <d v="2024-04-18T00:00:00"/>
    <x v="3"/>
    <x v="2"/>
    <x v="2"/>
    <x v="33"/>
    <n v="669.97"/>
    <n v="15"/>
    <x v="1"/>
    <n v="34.96"/>
    <x v="111"/>
    <x v="0"/>
    <x v="3"/>
  </r>
  <r>
    <s v="ORD-2228"/>
    <x v="118"/>
    <d v="2024-07-24T00:00:00"/>
    <x v="3"/>
    <x v="2"/>
    <x v="2"/>
    <x v="2"/>
    <n v="1878.06"/>
    <n v="10"/>
    <x v="4"/>
    <n v="-657.16"/>
    <x v="202"/>
    <x v="0"/>
    <x v="10"/>
  </r>
  <r>
    <s v="ORD-2229"/>
    <x v="115"/>
    <d v="2024-12-01T00:00:00"/>
    <x v="2"/>
    <x v="1"/>
    <x v="3"/>
    <x v="26"/>
    <n v="420.14"/>
    <n v="8"/>
    <x v="4"/>
    <n v="-92.17"/>
    <x v="174"/>
    <x v="1"/>
    <x v="0"/>
  </r>
  <r>
    <s v="ORD-2230"/>
    <x v="191"/>
    <d v="2024-03-22T00:00:00"/>
    <x v="2"/>
    <x v="1"/>
    <x v="1"/>
    <x v="20"/>
    <n v="3258.93"/>
    <n v="10"/>
    <x v="3"/>
    <n v="766.72"/>
    <x v="190"/>
    <x v="2"/>
    <x v="11"/>
  </r>
  <r>
    <s v="ORD-2231"/>
    <x v="176"/>
    <d v="2024-08-04T00:00:00"/>
    <x v="1"/>
    <x v="0"/>
    <x v="7"/>
    <x v="12"/>
    <n v="3285.32"/>
    <n v="6"/>
    <x v="3"/>
    <n v="-1030.68"/>
    <x v="62"/>
    <x v="0"/>
    <x v="4"/>
  </r>
  <r>
    <s v="ORD-2232"/>
    <x v="217"/>
    <d v="2024-03-24T00:00:00"/>
    <x v="2"/>
    <x v="1"/>
    <x v="3"/>
    <x v="25"/>
    <n v="2594.92"/>
    <n v="9"/>
    <x v="2"/>
    <n v="379.69"/>
    <x v="35"/>
    <x v="2"/>
    <x v="11"/>
  </r>
  <r>
    <s v="ORD-2233"/>
    <x v="142"/>
    <d v="2024-06-18T00:00:00"/>
    <x v="2"/>
    <x v="1"/>
    <x v="4"/>
    <x v="11"/>
    <n v="3675.91"/>
    <n v="2"/>
    <x v="2"/>
    <n v="599.58000000000004"/>
    <x v="142"/>
    <x v="2"/>
    <x v="6"/>
  </r>
  <r>
    <s v="ORD-2234"/>
    <x v="63"/>
    <d v="2024-09-27T00:00:00"/>
    <x v="1"/>
    <x v="1"/>
    <x v="1"/>
    <x v="10"/>
    <n v="3614.46"/>
    <n v="3"/>
    <x v="5"/>
    <n v="-1252.26"/>
    <x v="72"/>
    <x v="0"/>
    <x v="9"/>
  </r>
  <r>
    <s v="ORD-2235"/>
    <x v="60"/>
    <d v="2024-09-07T00:00:00"/>
    <x v="2"/>
    <x v="0"/>
    <x v="6"/>
    <x v="15"/>
    <n v="3463.43"/>
    <n v="1"/>
    <x v="3"/>
    <n v="668"/>
    <x v="22"/>
    <x v="2"/>
    <x v="4"/>
  </r>
  <r>
    <s v="ORD-2236"/>
    <x v="226"/>
    <d v="2024-05-13T00:00:00"/>
    <x v="3"/>
    <x v="0"/>
    <x v="0"/>
    <x v="9"/>
    <n v="2041.71"/>
    <n v="19"/>
    <x v="4"/>
    <n v="179.16"/>
    <x v="145"/>
    <x v="2"/>
    <x v="7"/>
  </r>
  <r>
    <s v="ORD-2237"/>
    <x v="286"/>
    <d v="2024-03-17T00:00:00"/>
    <x v="0"/>
    <x v="0"/>
    <x v="5"/>
    <x v="5"/>
    <n v="1764.39"/>
    <n v="20"/>
    <x v="1"/>
    <n v="220.43"/>
    <x v="226"/>
    <x v="1"/>
    <x v="11"/>
  </r>
  <r>
    <s v="ORD-2238"/>
    <x v="87"/>
    <d v="2024-12-07T00:00:00"/>
    <x v="3"/>
    <x v="0"/>
    <x v="6"/>
    <x v="7"/>
    <n v="3099.6"/>
    <n v="5"/>
    <x v="3"/>
    <n v="547.41"/>
    <x v="229"/>
    <x v="0"/>
    <x v="2"/>
  </r>
  <r>
    <s v="ORD-2239"/>
    <x v="77"/>
    <d v="2024-10-23T00:00:00"/>
    <x v="2"/>
    <x v="0"/>
    <x v="5"/>
    <x v="18"/>
    <n v="3923.24"/>
    <n v="1"/>
    <x v="4"/>
    <n v="943.1"/>
    <x v="122"/>
    <x v="1"/>
    <x v="1"/>
  </r>
  <r>
    <s v="ORD-2240"/>
    <x v="21"/>
    <d v="2024-05-03T00:00:00"/>
    <x v="2"/>
    <x v="2"/>
    <x v="8"/>
    <x v="13"/>
    <n v="2052.91"/>
    <n v="12"/>
    <x v="4"/>
    <n v="489.85"/>
    <x v="72"/>
    <x v="1"/>
    <x v="7"/>
  </r>
  <r>
    <s v="ORD-2241"/>
    <x v="278"/>
    <d v="2024-10-28T00:00:00"/>
    <x v="2"/>
    <x v="1"/>
    <x v="3"/>
    <x v="26"/>
    <n v="2297.0500000000002"/>
    <n v="4"/>
    <x v="0"/>
    <n v="307.33"/>
    <x v="85"/>
    <x v="1"/>
    <x v="1"/>
  </r>
  <r>
    <s v="ORD-2242"/>
    <x v="144"/>
    <d v="2024-06-26T00:00:00"/>
    <x v="1"/>
    <x v="2"/>
    <x v="2"/>
    <x v="21"/>
    <n v="3145.03"/>
    <n v="15"/>
    <x v="0"/>
    <n v="248.3"/>
    <x v="11"/>
    <x v="0"/>
    <x v="6"/>
  </r>
  <r>
    <s v="ORD-2243"/>
    <x v="251"/>
    <d v="2024-09-26T00:00:00"/>
    <x v="0"/>
    <x v="2"/>
    <x v="9"/>
    <x v="30"/>
    <n v="345.3"/>
    <n v="18"/>
    <x v="4"/>
    <n v="27.06"/>
    <x v="185"/>
    <x v="1"/>
    <x v="9"/>
  </r>
  <r>
    <s v="ORD-2244"/>
    <x v="10"/>
    <d v="2024-02-27T00:00:00"/>
    <x v="3"/>
    <x v="1"/>
    <x v="3"/>
    <x v="26"/>
    <n v="1947.12"/>
    <n v="18"/>
    <x v="1"/>
    <n v="661.8"/>
    <x v="92"/>
    <x v="2"/>
    <x v="8"/>
  </r>
  <r>
    <s v="ORD-2245"/>
    <x v="353"/>
    <d v="2024-04-09T00:00:00"/>
    <x v="1"/>
    <x v="1"/>
    <x v="4"/>
    <x v="11"/>
    <n v="3159.67"/>
    <n v="7"/>
    <x v="0"/>
    <n v="863.79"/>
    <x v="217"/>
    <x v="1"/>
    <x v="3"/>
  </r>
  <r>
    <s v="ORD-2246"/>
    <x v="186"/>
    <d v="2024-03-18T00:00:00"/>
    <x v="3"/>
    <x v="0"/>
    <x v="7"/>
    <x v="12"/>
    <n v="3801.86"/>
    <n v="17"/>
    <x v="4"/>
    <n v="-617.20000000000005"/>
    <x v="3"/>
    <x v="2"/>
    <x v="11"/>
  </r>
  <r>
    <s v="ORD-2247"/>
    <x v="49"/>
    <d v="2024-03-28T00:00:00"/>
    <x v="1"/>
    <x v="0"/>
    <x v="6"/>
    <x v="15"/>
    <n v="1294.08"/>
    <n v="13"/>
    <x v="3"/>
    <n v="216.02"/>
    <x v="181"/>
    <x v="0"/>
    <x v="11"/>
  </r>
  <r>
    <s v="ORD-2248"/>
    <x v="51"/>
    <d v="2024-08-10T00:00:00"/>
    <x v="2"/>
    <x v="2"/>
    <x v="10"/>
    <x v="17"/>
    <n v="251.33"/>
    <n v="9"/>
    <x v="0"/>
    <n v="54.47"/>
    <x v="221"/>
    <x v="2"/>
    <x v="4"/>
  </r>
  <r>
    <s v="ORD-2249"/>
    <x v="126"/>
    <d v="2024-11-10T00:00:00"/>
    <x v="0"/>
    <x v="2"/>
    <x v="10"/>
    <x v="28"/>
    <n v="2053.5"/>
    <n v="6"/>
    <x v="4"/>
    <n v="343.7"/>
    <x v="90"/>
    <x v="0"/>
    <x v="0"/>
  </r>
  <r>
    <s v="ORD-2250"/>
    <x v="176"/>
    <d v="2024-08-08T00:00:00"/>
    <x v="1"/>
    <x v="1"/>
    <x v="3"/>
    <x v="3"/>
    <n v="1098.6400000000001"/>
    <n v="9"/>
    <x v="4"/>
    <n v="-349.14"/>
    <x v="53"/>
    <x v="0"/>
    <x v="4"/>
  </r>
  <r>
    <s v="ORD-2251"/>
    <x v="158"/>
    <d v="2024-10-28T00:00:00"/>
    <x v="1"/>
    <x v="2"/>
    <x v="10"/>
    <x v="17"/>
    <n v="3102.19"/>
    <n v="1"/>
    <x v="0"/>
    <n v="264.27"/>
    <x v="172"/>
    <x v="1"/>
    <x v="1"/>
  </r>
  <r>
    <s v="ORD-2252"/>
    <x v="109"/>
    <d v="2024-02-29T00:00:00"/>
    <x v="1"/>
    <x v="0"/>
    <x v="6"/>
    <x v="7"/>
    <n v="3333.4"/>
    <n v="18"/>
    <x v="0"/>
    <n v="776.72"/>
    <x v="208"/>
    <x v="1"/>
    <x v="8"/>
  </r>
  <r>
    <s v="ORD-2253"/>
    <x v="305"/>
    <d v="2024-06-27T00:00:00"/>
    <x v="0"/>
    <x v="2"/>
    <x v="2"/>
    <x v="2"/>
    <n v="2600.87"/>
    <n v="14"/>
    <x v="2"/>
    <n v="261.48"/>
    <x v="161"/>
    <x v="0"/>
    <x v="6"/>
  </r>
  <r>
    <s v="ORD-2254"/>
    <x v="354"/>
    <d v="2024-09-10T00:00:00"/>
    <x v="1"/>
    <x v="0"/>
    <x v="5"/>
    <x v="18"/>
    <n v="3991.02"/>
    <n v="20"/>
    <x v="2"/>
    <n v="1235.32"/>
    <x v="231"/>
    <x v="1"/>
    <x v="9"/>
  </r>
  <r>
    <s v="ORD-2255"/>
    <x v="333"/>
    <d v="2024-12-13T00:00:00"/>
    <x v="2"/>
    <x v="2"/>
    <x v="8"/>
    <x v="13"/>
    <n v="644.46"/>
    <n v="9"/>
    <x v="0"/>
    <n v="173.83"/>
    <x v="67"/>
    <x v="0"/>
    <x v="2"/>
  </r>
  <r>
    <s v="ORD-2256"/>
    <x v="0"/>
    <d v="2024-11-28T00:00:00"/>
    <x v="2"/>
    <x v="0"/>
    <x v="0"/>
    <x v="31"/>
    <n v="561.6"/>
    <n v="4"/>
    <x v="0"/>
    <n v="163.87"/>
    <x v="231"/>
    <x v="2"/>
    <x v="0"/>
  </r>
  <r>
    <s v="ORD-2257"/>
    <x v="306"/>
    <d v="2024-09-13T00:00:00"/>
    <x v="2"/>
    <x v="0"/>
    <x v="0"/>
    <x v="9"/>
    <n v="3989.88"/>
    <n v="16"/>
    <x v="2"/>
    <n v="925.62"/>
    <x v="178"/>
    <x v="2"/>
    <x v="9"/>
  </r>
  <r>
    <s v="ORD-2258"/>
    <x v="15"/>
    <d v="2024-11-12T00:00:00"/>
    <x v="0"/>
    <x v="0"/>
    <x v="5"/>
    <x v="5"/>
    <n v="3393.27"/>
    <n v="4"/>
    <x v="2"/>
    <n v="266.27999999999997"/>
    <x v="167"/>
    <x v="1"/>
    <x v="0"/>
  </r>
  <r>
    <s v="ORD-2259"/>
    <x v="189"/>
    <d v="2024-05-07T00:00:00"/>
    <x v="2"/>
    <x v="2"/>
    <x v="8"/>
    <x v="23"/>
    <n v="2676.58"/>
    <n v="15"/>
    <x v="5"/>
    <n v="594.21"/>
    <x v="211"/>
    <x v="0"/>
    <x v="7"/>
  </r>
  <r>
    <s v="ORD-2260"/>
    <x v="118"/>
    <d v="2024-07-29T00:00:00"/>
    <x v="0"/>
    <x v="1"/>
    <x v="4"/>
    <x v="11"/>
    <n v="340.54"/>
    <n v="11"/>
    <x v="1"/>
    <n v="46.89"/>
    <x v="23"/>
    <x v="0"/>
    <x v="10"/>
  </r>
  <r>
    <s v="ORD-2261"/>
    <x v="82"/>
    <d v="2024-01-22T00:00:00"/>
    <x v="3"/>
    <x v="2"/>
    <x v="2"/>
    <x v="21"/>
    <n v="3900.92"/>
    <n v="8"/>
    <x v="3"/>
    <n v="-717"/>
    <x v="215"/>
    <x v="1"/>
    <x v="5"/>
  </r>
  <r>
    <s v="ORD-2262"/>
    <x v="133"/>
    <d v="2024-08-26T00:00:00"/>
    <x v="1"/>
    <x v="1"/>
    <x v="4"/>
    <x v="4"/>
    <n v="3027.64"/>
    <n v="12"/>
    <x v="4"/>
    <n v="918.63"/>
    <x v="202"/>
    <x v="1"/>
    <x v="4"/>
  </r>
  <r>
    <s v="ORD-2263"/>
    <x v="310"/>
    <d v="2024-06-24T00:00:00"/>
    <x v="1"/>
    <x v="2"/>
    <x v="2"/>
    <x v="2"/>
    <n v="3678.14"/>
    <n v="3"/>
    <x v="0"/>
    <n v="631.98"/>
    <x v="127"/>
    <x v="2"/>
    <x v="6"/>
  </r>
  <r>
    <s v="ORD-2264"/>
    <x v="0"/>
    <d v="2024-11-25T00:00:00"/>
    <x v="2"/>
    <x v="1"/>
    <x v="3"/>
    <x v="25"/>
    <n v="1564.73"/>
    <n v="15"/>
    <x v="3"/>
    <n v="432.54"/>
    <x v="135"/>
    <x v="2"/>
    <x v="0"/>
  </r>
  <r>
    <s v="ORD-2265"/>
    <x v="346"/>
    <d v="2024-06-14T00:00:00"/>
    <x v="0"/>
    <x v="1"/>
    <x v="4"/>
    <x v="4"/>
    <n v="3658.11"/>
    <n v="18"/>
    <x v="3"/>
    <n v="1013.41"/>
    <x v="91"/>
    <x v="0"/>
    <x v="6"/>
  </r>
  <r>
    <s v="ORD-2266"/>
    <x v="216"/>
    <d v="2024-07-23T00:00:00"/>
    <x v="1"/>
    <x v="1"/>
    <x v="1"/>
    <x v="20"/>
    <n v="2492.39"/>
    <n v="13"/>
    <x v="3"/>
    <n v="233.61"/>
    <x v="49"/>
    <x v="0"/>
    <x v="10"/>
  </r>
  <r>
    <s v="ORD-2267"/>
    <x v="6"/>
    <d v="2024-07-06T00:00:00"/>
    <x v="1"/>
    <x v="2"/>
    <x v="8"/>
    <x v="13"/>
    <n v="3304.65"/>
    <n v="10"/>
    <x v="2"/>
    <n v="-730.43"/>
    <x v="214"/>
    <x v="1"/>
    <x v="6"/>
  </r>
  <r>
    <s v="ORD-2268"/>
    <x v="128"/>
    <d v="2024-05-02T00:00:00"/>
    <x v="0"/>
    <x v="1"/>
    <x v="4"/>
    <x v="11"/>
    <n v="2753.2"/>
    <n v="9"/>
    <x v="1"/>
    <n v="546.09"/>
    <x v="192"/>
    <x v="0"/>
    <x v="3"/>
  </r>
  <r>
    <s v="ORD-2269"/>
    <x v="177"/>
    <d v="2024-04-25T00:00:00"/>
    <x v="1"/>
    <x v="2"/>
    <x v="10"/>
    <x v="28"/>
    <n v="296.57"/>
    <n v="8"/>
    <x v="1"/>
    <n v="91.12"/>
    <x v="60"/>
    <x v="0"/>
    <x v="3"/>
  </r>
  <r>
    <s v="ORD-2270"/>
    <x v="309"/>
    <d v="2024-08-18T00:00:00"/>
    <x v="1"/>
    <x v="2"/>
    <x v="10"/>
    <x v="17"/>
    <n v="2602.21"/>
    <n v="13"/>
    <x v="0"/>
    <n v="334.25"/>
    <x v="9"/>
    <x v="0"/>
    <x v="4"/>
  </r>
  <r>
    <s v="ORD-2271"/>
    <x v="307"/>
    <d v="2024-07-09T00:00:00"/>
    <x v="2"/>
    <x v="2"/>
    <x v="2"/>
    <x v="2"/>
    <n v="1450.58"/>
    <n v="12"/>
    <x v="1"/>
    <n v="-489.47"/>
    <x v="18"/>
    <x v="1"/>
    <x v="10"/>
  </r>
  <r>
    <s v="ORD-2272"/>
    <x v="2"/>
    <d v="2024-12-28T00:00:00"/>
    <x v="1"/>
    <x v="1"/>
    <x v="4"/>
    <x v="4"/>
    <n v="2257.6"/>
    <n v="4"/>
    <x v="2"/>
    <n v="267.18"/>
    <x v="84"/>
    <x v="2"/>
    <x v="2"/>
  </r>
  <r>
    <s v="ORD-2273"/>
    <x v="2"/>
    <d v="2024-12-28T00:00:00"/>
    <x v="2"/>
    <x v="2"/>
    <x v="8"/>
    <x v="23"/>
    <n v="2570.52"/>
    <n v="16"/>
    <x v="2"/>
    <n v="464.89"/>
    <x v="78"/>
    <x v="1"/>
    <x v="2"/>
  </r>
  <r>
    <s v="ORD-2274"/>
    <x v="208"/>
    <d v="2024-03-28T00:00:00"/>
    <x v="2"/>
    <x v="0"/>
    <x v="5"/>
    <x v="19"/>
    <n v="2037.35"/>
    <n v="5"/>
    <x v="1"/>
    <n v="-518.71"/>
    <x v="99"/>
    <x v="2"/>
    <x v="11"/>
  </r>
  <r>
    <s v="ORD-2275"/>
    <x v="30"/>
    <d v="2024-05-25T00:00:00"/>
    <x v="0"/>
    <x v="0"/>
    <x v="6"/>
    <x v="6"/>
    <n v="2890.82"/>
    <n v="5"/>
    <x v="5"/>
    <n v="331.18"/>
    <x v="59"/>
    <x v="0"/>
    <x v="7"/>
  </r>
  <r>
    <s v="ORD-2276"/>
    <x v="242"/>
    <d v="2024-10-06T00:00:00"/>
    <x v="3"/>
    <x v="1"/>
    <x v="4"/>
    <x v="4"/>
    <n v="790.87"/>
    <n v="18"/>
    <x v="0"/>
    <n v="178.79"/>
    <x v="55"/>
    <x v="1"/>
    <x v="1"/>
  </r>
  <r>
    <s v="ORD-2277"/>
    <x v="355"/>
    <d v="2024-11-08T00:00:00"/>
    <x v="3"/>
    <x v="0"/>
    <x v="5"/>
    <x v="18"/>
    <n v="2551.94"/>
    <n v="17"/>
    <x v="5"/>
    <n v="686.76"/>
    <x v="184"/>
    <x v="1"/>
    <x v="0"/>
  </r>
  <r>
    <s v="ORD-2278"/>
    <x v="33"/>
    <d v="2024-05-09T00:00:00"/>
    <x v="1"/>
    <x v="1"/>
    <x v="4"/>
    <x v="4"/>
    <n v="2982.5"/>
    <n v="11"/>
    <x v="1"/>
    <n v="233.38"/>
    <x v="144"/>
    <x v="1"/>
    <x v="7"/>
  </r>
  <r>
    <s v="ORD-2279"/>
    <x v="212"/>
    <d v="2024-12-30T00:00:00"/>
    <x v="2"/>
    <x v="2"/>
    <x v="9"/>
    <x v="14"/>
    <n v="3427.25"/>
    <n v="6"/>
    <x v="1"/>
    <n v="491.33"/>
    <x v="44"/>
    <x v="2"/>
    <x v="2"/>
  </r>
  <r>
    <s v="ORD-2280"/>
    <x v="294"/>
    <d v="2024-08-12T00:00:00"/>
    <x v="2"/>
    <x v="1"/>
    <x v="1"/>
    <x v="10"/>
    <n v="1755.35"/>
    <n v="8"/>
    <x v="3"/>
    <n v="606.80999999999995"/>
    <x v="10"/>
    <x v="1"/>
    <x v="4"/>
  </r>
  <r>
    <s v="ORD-2281"/>
    <x v="80"/>
    <d v="2024-06-29T00:00:00"/>
    <x v="0"/>
    <x v="0"/>
    <x v="0"/>
    <x v="9"/>
    <n v="3547.38"/>
    <n v="2"/>
    <x v="2"/>
    <n v="240.31"/>
    <x v="23"/>
    <x v="0"/>
    <x v="6"/>
  </r>
  <r>
    <s v="ORD-2282"/>
    <x v="222"/>
    <d v="2024-03-27T00:00:00"/>
    <x v="0"/>
    <x v="1"/>
    <x v="3"/>
    <x v="25"/>
    <n v="1398.49"/>
    <n v="19"/>
    <x v="2"/>
    <n v="-227.19"/>
    <x v="20"/>
    <x v="2"/>
    <x v="11"/>
  </r>
  <r>
    <s v="ORD-2283"/>
    <x v="356"/>
    <d v="2024-04-01T00:00:00"/>
    <x v="2"/>
    <x v="1"/>
    <x v="4"/>
    <x v="11"/>
    <n v="3909.15"/>
    <n v="4"/>
    <x v="0"/>
    <n v="1265.72"/>
    <x v="80"/>
    <x v="2"/>
    <x v="11"/>
  </r>
  <r>
    <s v="ORD-2284"/>
    <x v="205"/>
    <d v="2024-10-22T00:00:00"/>
    <x v="2"/>
    <x v="0"/>
    <x v="7"/>
    <x v="12"/>
    <n v="808.19"/>
    <n v="15"/>
    <x v="1"/>
    <n v="191.24"/>
    <x v="70"/>
    <x v="0"/>
    <x v="1"/>
  </r>
  <r>
    <s v="ORD-2285"/>
    <x v="196"/>
    <d v="2024-03-06T00:00:00"/>
    <x v="3"/>
    <x v="1"/>
    <x v="3"/>
    <x v="32"/>
    <n v="2462.9"/>
    <n v="6"/>
    <x v="1"/>
    <n v="490.84"/>
    <x v="7"/>
    <x v="2"/>
    <x v="11"/>
  </r>
  <r>
    <s v="ORD-2286"/>
    <x v="126"/>
    <d v="2024-11-14T00:00:00"/>
    <x v="2"/>
    <x v="0"/>
    <x v="6"/>
    <x v="6"/>
    <n v="3790.04"/>
    <n v="18"/>
    <x v="1"/>
    <n v="574.20000000000005"/>
    <x v="54"/>
    <x v="0"/>
    <x v="0"/>
  </r>
  <r>
    <s v="ORD-2287"/>
    <x v="189"/>
    <d v="2024-05-09T00:00:00"/>
    <x v="1"/>
    <x v="2"/>
    <x v="8"/>
    <x v="23"/>
    <n v="469.84"/>
    <n v="16"/>
    <x v="0"/>
    <n v="123.23"/>
    <x v="226"/>
    <x v="2"/>
    <x v="7"/>
  </r>
  <r>
    <s v="ORD-2288"/>
    <x v="66"/>
    <d v="2024-02-21T00:00:00"/>
    <x v="3"/>
    <x v="0"/>
    <x v="6"/>
    <x v="15"/>
    <n v="1309.6099999999999"/>
    <n v="5"/>
    <x v="5"/>
    <n v="365.46"/>
    <x v="184"/>
    <x v="0"/>
    <x v="8"/>
  </r>
  <r>
    <s v="ORD-2289"/>
    <x v="68"/>
    <d v="2024-11-22T00:00:00"/>
    <x v="2"/>
    <x v="2"/>
    <x v="9"/>
    <x v="14"/>
    <n v="2089.25"/>
    <n v="16"/>
    <x v="1"/>
    <n v="305.98"/>
    <x v="169"/>
    <x v="1"/>
    <x v="0"/>
  </r>
  <r>
    <s v="ORD-2290"/>
    <x v="163"/>
    <d v="2024-07-22T00:00:00"/>
    <x v="2"/>
    <x v="2"/>
    <x v="8"/>
    <x v="13"/>
    <n v="3367.21"/>
    <n v="7"/>
    <x v="1"/>
    <n v="478.6"/>
    <x v="98"/>
    <x v="0"/>
    <x v="10"/>
  </r>
  <r>
    <s v="ORD-2291"/>
    <x v="18"/>
    <d v="2024-10-21T00:00:00"/>
    <x v="3"/>
    <x v="0"/>
    <x v="5"/>
    <x v="5"/>
    <n v="354.86"/>
    <n v="10"/>
    <x v="5"/>
    <n v="37.78"/>
    <x v="170"/>
    <x v="1"/>
    <x v="1"/>
  </r>
  <r>
    <s v="ORD-2292"/>
    <x v="182"/>
    <d v="2024-02-02T00:00:00"/>
    <x v="1"/>
    <x v="0"/>
    <x v="0"/>
    <x v="9"/>
    <n v="3664.98"/>
    <n v="4"/>
    <x v="5"/>
    <n v="1227.73"/>
    <x v="22"/>
    <x v="2"/>
    <x v="5"/>
  </r>
  <r>
    <s v="ORD-2293"/>
    <x v="272"/>
    <d v="2025-01-04T00:00:00"/>
    <x v="0"/>
    <x v="0"/>
    <x v="7"/>
    <x v="24"/>
    <n v="1025.26"/>
    <n v="20"/>
    <x v="1"/>
    <n v="65.180000000000007"/>
    <x v="180"/>
    <x v="1"/>
    <x v="2"/>
  </r>
  <r>
    <s v="ORD-2294"/>
    <x v="67"/>
    <d v="2024-12-19T00:00:00"/>
    <x v="3"/>
    <x v="1"/>
    <x v="1"/>
    <x v="20"/>
    <n v="3301.14"/>
    <n v="11"/>
    <x v="4"/>
    <n v="1142.6099999999999"/>
    <x v="113"/>
    <x v="2"/>
    <x v="2"/>
  </r>
  <r>
    <s v="ORD-2295"/>
    <x v="97"/>
    <d v="2024-07-15T00:00:00"/>
    <x v="0"/>
    <x v="1"/>
    <x v="1"/>
    <x v="20"/>
    <n v="1173.1500000000001"/>
    <n v="9"/>
    <x v="5"/>
    <n v="298.12"/>
    <x v="160"/>
    <x v="0"/>
    <x v="10"/>
  </r>
  <r>
    <s v="ORD-2296"/>
    <x v="68"/>
    <d v="2024-11-20T00:00:00"/>
    <x v="1"/>
    <x v="0"/>
    <x v="0"/>
    <x v="22"/>
    <n v="2838.55"/>
    <n v="14"/>
    <x v="5"/>
    <n v="463.08"/>
    <x v="123"/>
    <x v="1"/>
    <x v="0"/>
  </r>
  <r>
    <s v="ORD-2297"/>
    <x v="132"/>
    <d v="2024-04-14T00:00:00"/>
    <x v="3"/>
    <x v="0"/>
    <x v="5"/>
    <x v="5"/>
    <n v="2846.96"/>
    <n v="2"/>
    <x v="0"/>
    <n v="-797.54"/>
    <x v="75"/>
    <x v="0"/>
    <x v="3"/>
  </r>
  <r>
    <s v="ORD-2298"/>
    <x v="188"/>
    <d v="2024-12-22T00:00:00"/>
    <x v="0"/>
    <x v="0"/>
    <x v="5"/>
    <x v="18"/>
    <n v="845.96"/>
    <n v="16"/>
    <x v="1"/>
    <n v="88.83"/>
    <x v="176"/>
    <x v="0"/>
    <x v="2"/>
  </r>
  <r>
    <s v="ORD-2299"/>
    <x v="226"/>
    <d v="2024-05-17T00:00:00"/>
    <x v="3"/>
    <x v="0"/>
    <x v="0"/>
    <x v="31"/>
    <n v="3458.16"/>
    <n v="9"/>
    <x v="1"/>
    <n v="962.39"/>
    <x v="125"/>
    <x v="1"/>
    <x v="7"/>
  </r>
  <r>
    <s v="ORD-2300"/>
    <x v="224"/>
    <d v="2024-04-14T00:00:00"/>
    <x v="2"/>
    <x v="1"/>
    <x v="1"/>
    <x v="20"/>
    <n v="3983.34"/>
    <n v="16"/>
    <x v="5"/>
    <n v="329.83"/>
    <x v="102"/>
    <x v="1"/>
    <x v="3"/>
  </r>
  <r>
    <s v="ORD-2301"/>
    <x v="203"/>
    <d v="2024-07-19T00:00:00"/>
    <x v="0"/>
    <x v="0"/>
    <x v="5"/>
    <x v="18"/>
    <n v="1884.81"/>
    <n v="12"/>
    <x v="5"/>
    <n v="511.73"/>
    <x v="19"/>
    <x v="1"/>
    <x v="10"/>
  </r>
  <r>
    <s v="ORD-2302"/>
    <x v="254"/>
    <d v="2024-01-25T00:00:00"/>
    <x v="1"/>
    <x v="0"/>
    <x v="0"/>
    <x v="9"/>
    <n v="2383.0100000000002"/>
    <n v="5"/>
    <x v="3"/>
    <n v="733.6"/>
    <x v="29"/>
    <x v="2"/>
    <x v="5"/>
  </r>
  <r>
    <s v="ORD-2303"/>
    <x v="290"/>
    <d v="2024-04-04T00:00:00"/>
    <x v="2"/>
    <x v="1"/>
    <x v="4"/>
    <x v="11"/>
    <n v="1717.42"/>
    <n v="5"/>
    <x v="3"/>
    <n v="346.37"/>
    <x v="46"/>
    <x v="1"/>
    <x v="11"/>
  </r>
  <r>
    <s v="ORD-2304"/>
    <x v="130"/>
    <d v="2024-11-20T00:00:00"/>
    <x v="3"/>
    <x v="0"/>
    <x v="6"/>
    <x v="8"/>
    <n v="3517.51"/>
    <n v="3"/>
    <x v="4"/>
    <n v="810.78"/>
    <x v="146"/>
    <x v="1"/>
    <x v="0"/>
  </r>
  <r>
    <s v="ORD-2305"/>
    <x v="237"/>
    <d v="2024-03-25T00:00:00"/>
    <x v="3"/>
    <x v="1"/>
    <x v="1"/>
    <x v="20"/>
    <n v="494.24"/>
    <n v="17"/>
    <x v="2"/>
    <n v="27.3"/>
    <x v="166"/>
    <x v="2"/>
    <x v="11"/>
  </r>
  <r>
    <s v="ORD-2306"/>
    <x v="240"/>
    <d v="2024-06-18T00:00:00"/>
    <x v="0"/>
    <x v="1"/>
    <x v="1"/>
    <x v="20"/>
    <n v="1126.23"/>
    <n v="13"/>
    <x v="1"/>
    <n v="246.43"/>
    <x v="138"/>
    <x v="0"/>
    <x v="6"/>
  </r>
  <r>
    <s v="ORD-2307"/>
    <x v="8"/>
    <d v="2024-10-18T00:00:00"/>
    <x v="1"/>
    <x v="0"/>
    <x v="5"/>
    <x v="5"/>
    <n v="2295.9299999999998"/>
    <n v="1"/>
    <x v="0"/>
    <n v="682.35"/>
    <x v="139"/>
    <x v="1"/>
    <x v="1"/>
  </r>
  <r>
    <s v="ORD-2308"/>
    <x v="18"/>
    <d v="2024-10-25T00:00:00"/>
    <x v="3"/>
    <x v="0"/>
    <x v="6"/>
    <x v="6"/>
    <n v="3663.4"/>
    <n v="8"/>
    <x v="0"/>
    <n v="722.31"/>
    <x v="225"/>
    <x v="2"/>
    <x v="1"/>
  </r>
  <r>
    <s v="ORD-2309"/>
    <x v="303"/>
    <d v="2024-11-28T00:00:00"/>
    <x v="2"/>
    <x v="1"/>
    <x v="3"/>
    <x v="26"/>
    <n v="1089.4000000000001"/>
    <n v="10"/>
    <x v="0"/>
    <n v="293.37"/>
    <x v="163"/>
    <x v="0"/>
    <x v="0"/>
  </r>
  <r>
    <s v="ORD-2310"/>
    <x v="203"/>
    <d v="2024-07-21T00:00:00"/>
    <x v="1"/>
    <x v="2"/>
    <x v="8"/>
    <x v="23"/>
    <n v="3270.44"/>
    <n v="5"/>
    <x v="1"/>
    <n v="614.78"/>
    <x v="220"/>
    <x v="1"/>
    <x v="10"/>
  </r>
  <r>
    <s v="ORD-2311"/>
    <x v="357"/>
    <d v="2024-10-07T00:00:00"/>
    <x v="2"/>
    <x v="1"/>
    <x v="4"/>
    <x v="4"/>
    <n v="1030.3800000000001"/>
    <n v="13"/>
    <x v="5"/>
    <n v="324.66000000000003"/>
    <x v="21"/>
    <x v="0"/>
    <x v="1"/>
  </r>
  <r>
    <s v="ORD-2312"/>
    <x v="322"/>
    <d v="2024-08-26T00:00:00"/>
    <x v="2"/>
    <x v="2"/>
    <x v="2"/>
    <x v="21"/>
    <n v="1472.54"/>
    <n v="13"/>
    <x v="4"/>
    <n v="393.16"/>
    <x v="140"/>
    <x v="1"/>
    <x v="4"/>
  </r>
  <r>
    <s v="ORD-2313"/>
    <x v="53"/>
    <d v="2024-04-24T00:00:00"/>
    <x v="1"/>
    <x v="0"/>
    <x v="0"/>
    <x v="22"/>
    <n v="2305.77"/>
    <n v="14"/>
    <x v="3"/>
    <n v="560.76"/>
    <x v="19"/>
    <x v="2"/>
    <x v="3"/>
  </r>
  <r>
    <s v="ORD-2314"/>
    <x v="348"/>
    <d v="2024-03-20T00:00:00"/>
    <x v="0"/>
    <x v="0"/>
    <x v="6"/>
    <x v="7"/>
    <n v="3642.54"/>
    <n v="20"/>
    <x v="5"/>
    <n v="237.73"/>
    <x v="156"/>
    <x v="1"/>
    <x v="11"/>
  </r>
  <r>
    <s v="ORD-2315"/>
    <x v="127"/>
    <d v="2024-10-11T00:00:00"/>
    <x v="2"/>
    <x v="0"/>
    <x v="6"/>
    <x v="15"/>
    <n v="3787"/>
    <n v="1"/>
    <x v="0"/>
    <n v="423.9"/>
    <x v="99"/>
    <x v="2"/>
    <x v="1"/>
  </r>
  <r>
    <s v="ORD-2316"/>
    <x v="356"/>
    <d v="2024-04-02T00:00:00"/>
    <x v="1"/>
    <x v="0"/>
    <x v="6"/>
    <x v="15"/>
    <n v="815.06"/>
    <n v="11"/>
    <x v="5"/>
    <n v="100.83"/>
    <x v="143"/>
    <x v="0"/>
    <x v="11"/>
  </r>
  <r>
    <s v="ORD-2317"/>
    <x v="354"/>
    <d v="2024-09-11T00:00:00"/>
    <x v="0"/>
    <x v="0"/>
    <x v="5"/>
    <x v="18"/>
    <n v="571.55999999999995"/>
    <n v="1"/>
    <x v="1"/>
    <n v="-85.42"/>
    <x v="18"/>
    <x v="2"/>
    <x v="9"/>
  </r>
  <r>
    <s v="ORD-2318"/>
    <x v="201"/>
    <d v="2024-07-04T00:00:00"/>
    <x v="1"/>
    <x v="1"/>
    <x v="3"/>
    <x v="3"/>
    <n v="1611.03"/>
    <n v="11"/>
    <x v="2"/>
    <n v="517.71"/>
    <x v="214"/>
    <x v="0"/>
    <x v="10"/>
  </r>
  <r>
    <s v="ORD-2319"/>
    <x v="80"/>
    <d v="2024-06-24T00:00:00"/>
    <x v="3"/>
    <x v="2"/>
    <x v="8"/>
    <x v="13"/>
    <n v="849.3"/>
    <n v="5"/>
    <x v="4"/>
    <n v="148.25"/>
    <x v="64"/>
    <x v="2"/>
    <x v="6"/>
  </r>
  <r>
    <s v="ORD-2320"/>
    <x v="239"/>
    <d v="2024-11-18T00:00:00"/>
    <x v="1"/>
    <x v="0"/>
    <x v="6"/>
    <x v="7"/>
    <n v="2837.36"/>
    <n v="8"/>
    <x v="1"/>
    <n v="-706.96"/>
    <x v="234"/>
    <x v="1"/>
    <x v="0"/>
  </r>
  <r>
    <s v="ORD-2321"/>
    <x v="96"/>
    <d v="2024-08-16T00:00:00"/>
    <x v="0"/>
    <x v="1"/>
    <x v="3"/>
    <x v="25"/>
    <n v="1672.64"/>
    <n v="6"/>
    <x v="1"/>
    <n v="377.77"/>
    <x v="202"/>
    <x v="0"/>
    <x v="4"/>
  </r>
  <r>
    <s v="ORD-2322"/>
    <x v="93"/>
    <d v="2024-07-11T00:00:00"/>
    <x v="1"/>
    <x v="2"/>
    <x v="8"/>
    <x v="23"/>
    <n v="3799.77"/>
    <n v="19"/>
    <x v="3"/>
    <n v="1199.52"/>
    <x v="199"/>
    <x v="0"/>
    <x v="10"/>
  </r>
  <r>
    <s v="ORD-2323"/>
    <x v="156"/>
    <d v="2024-07-09T00:00:00"/>
    <x v="1"/>
    <x v="1"/>
    <x v="4"/>
    <x v="4"/>
    <n v="2790.15"/>
    <n v="5"/>
    <x v="1"/>
    <n v="970.61"/>
    <x v="49"/>
    <x v="2"/>
    <x v="10"/>
  </r>
  <r>
    <s v="ORD-2324"/>
    <x v="102"/>
    <d v="2024-12-11T00:00:00"/>
    <x v="3"/>
    <x v="2"/>
    <x v="8"/>
    <x v="23"/>
    <n v="2510.5500000000002"/>
    <n v="16"/>
    <x v="1"/>
    <n v="593.89"/>
    <x v="41"/>
    <x v="1"/>
    <x v="2"/>
  </r>
  <r>
    <s v="ORD-2325"/>
    <x v="222"/>
    <d v="2024-04-01T00:00:00"/>
    <x v="3"/>
    <x v="1"/>
    <x v="4"/>
    <x v="4"/>
    <n v="3932.64"/>
    <n v="1"/>
    <x v="5"/>
    <n v="572.48"/>
    <x v="41"/>
    <x v="1"/>
    <x v="11"/>
  </r>
  <r>
    <s v="ORD-2326"/>
    <x v="181"/>
    <d v="2024-12-01T00:00:00"/>
    <x v="3"/>
    <x v="2"/>
    <x v="9"/>
    <x v="27"/>
    <n v="1515.69"/>
    <n v="9"/>
    <x v="0"/>
    <n v="528.26"/>
    <x v="76"/>
    <x v="1"/>
    <x v="0"/>
  </r>
  <r>
    <s v="ORD-2327"/>
    <x v="87"/>
    <d v="2024-12-04T00:00:00"/>
    <x v="3"/>
    <x v="0"/>
    <x v="5"/>
    <x v="18"/>
    <n v="3520.15"/>
    <n v="20"/>
    <x v="1"/>
    <n v="-951.82"/>
    <x v="76"/>
    <x v="2"/>
    <x v="2"/>
  </r>
  <r>
    <s v="ORD-2328"/>
    <x v="38"/>
    <d v="2024-07-16T00:00:00"/>
    <x v="2"/>
    <x v="2"/>
    <x v="9"/>
    <x v="14"/>
    <n v="2857.33"/>
    <n v="9"/>
    <x v="0"/>
    <n v="464.44"/>
    <x v="149"/>
    <x v="0"/>
    <x v="10"/>
  </r>
  <r>
    <s v="ORD-2329"/>
    <x v="235"/>
    <d v="2024-09-25T00:00:00"/>
    <x v="2"/>
    <x v="0"/>
    <x v="0"/>
    <x v="0"/>
    <n v="3785.9"/>
    <n v="9"/>
    <x v="2"/>
    <n v="408.39"/>
    <x v="87"/>
    <x v="0"/>
    <x v="9"/>
  </r>
  <r>
    <s v="ORD-2330"/>
    <x v="289"/>
    <d v="2024-02-19T00:00:00"/>
    <x v="0"/>
    <x v="0"/>
    <x v="0"/>
    <x v="9"/>
    <n v="336.28"/>
    <n v="5"/>
    <x v="1"/>
    <n v="41.32"/>
    <x v="227"/>
    <x v="2"/>
    <x v="8"/>
  </r>
  <r>
    <s v="ORD-2331"/>
    <x v="332"/>
    <d v="2024-02-05T00:00:00"/>
    <x v="1"/>
    <x v="1"/>
    <x v="1"/>
    <x v="1"/>
    <n v="2961.65"/>
    <n v="11"/>
    <x v="2"/>
    <n v="210.62"/>
    <x v="0"/>
    <x v="1"/>
    <x v="8"/>
  </r>
  <r>
    <s v="ORD-2332"/>
    <x v="4"/>
    <d v="2024-08-28T00:00:00"/>
    <x v="0"/>
    <x v="0"/>
    <x v="5"/>
    <x v="18"/>
    <n v="2890.55"/>
    <n v="7"/>
    <x v="0"/>
    <n v="948.01"/>
    <x v="103"/>
    <x v="0"/>
    <x v="4"/>
  </r>
  <r>
    <s v="ORD-2333"/>
    <x v="72"/>
    <d v="2024-02-16T00:00:00"/>
    <x v="2"/>
    <x v="0"/>
    <x v="7"/>
    <x v="29"/>
    <n v="437.49"/>
    <n v="3"/>
    <x v="5"/>
    <n v="63.93"/>
    <x v="109"/>
    <x v="2"/>
    <x v="8"/>
  </r>
  <r>
    <s v="ORD-2334"/>
    <x v="60"/>
    <d v="2024-09-03T00:00:00"/>
    <x v="2"/>
    <x v="0"/>
    <x v="7"/>
    <x v="24"/>
    <n v="1330.24"/>
    <n v="19"/>
    <x v="1"/>
    <n v="243.11"/>
    <x v="191"/>
    <x v="1"/>
    <x v="4"/>
  </r>
  <r>
    <s v="ORD-2335"/>
    <x v="14"/>
    <d v="2024-02-12T00:00:00"/>
    <x v="1"/>
    <x v="2"/>
    <x v="10"/>
    <x v="28"/>
    <n v="2874.88"/>
    <n v="3"/>
    <x v="4"/>
    <n v="305.07"/>
    <x v="109"/>
    <x v="2"/>
    <x v="8"/>
  </r>
  <r>
    <s v="ORD-2336"/>
    <x v="324"/>
    <d v="2024-04-28T00:00:00"/>
    <x v="2"/>
    <x v="0"/>
    <x v="0"/>
    <x v="22"/>
    <n v="2149.9499999999998"/>
    <n v="10"/>
    <x v="4"/>
    <n v="382.6"/>
    <x v="95"/>
    <x v="1"/>
    <x v="3"/>
  </r>
  <r>
    <s v="ORD-2337"/>
    <x v="299"/>
    <d v="2024-05-03T00:00:00"/>
    <x v="3"/>
    <x v="2"/>
    <x v="10"/>
    <x v="28"/>
    <n v="481.07"/>
    <n v="16"/>
    <x v="3"/>
    <n v="-154.33000000000001"/>
    <x v="225"/>
    <x v="2"/>
    <x v="7"/>
  </r>
  <r>
    <s v="ORD-2338"/>
    <x v="294"/>
    <d v="2024-08-09T00:00:00"/>
    <x v="2"/>
    <x v="1"/>
    <x v="4"/>
    <x v="11"/>
    <n v="1443.99"/>
    <n v="12"/>
    <x v="0"/>
    <n v="367.24"/>
    <x v="174"/>
    <x v="0"/>
    <x v="4"/>
  </r>
  <r>
    <s v="ORD-2339"/>
    <x v="332"/>
    <d v="2024-02-07T00:00:00"/>
    <x v="3"/>
    <x v="2"/>
    <x v="2"/>
    <x v="33"/>
    <n v="3291.12"/>
    <n v="12"/>
    <x v="5"/>
    <n v="461"/>
    <x v="44"/>
    <x v="2"/>
    <x v="8"/>
  </r>
  <r>
    <s v="ORD-2340"/>
    <x v="347"/>
    <d v="2024-10-09T00:00:00"/>
    <x v="1"/>
    <x v="0"/>
    <x v="7"/>
    <x v="29"/>
    <n v="2840.74"/>
    <n v="14"/>
    <x v="5"/>
    <n v="891.97"/>
    <x v="189"/>
    <x v="2"/>
    <x v="1"/>
  </r>
  <r>
    <s v="ORD-2341"/>
    <x v="214"/>
    <d v="2024-08-01T00:00:00"/>
    <x v="2"/>
    <x v="2"/>
    <x v="10"/>
    <x v="28"/>
    <n v="3016.97"/>
    <n v="13"/>
    <x v="5"/>
    <n v="1010.35"/>
    <x v="13"/>
    <x v="2"/>
    <x v="10"/>
  </r>
  <r>
    <s v="ORD-2342"/>
    <x v="200"/>
    <d v="2024-06-17T00:00:00"/>
    <x v="1"/>
    <x v="2"/>
    <x v="2"/>
    <x v="2"/>
    <n v="1878.93"/>
    <n v="6"/>
    <x v="4"/>
    <n v="428.17"/>
    <x v="111"/>
    <x v="0"/>
    <x v="6"/>
  </r>
  <r>
    <s v="ORD-2343"/>
    <x v="358"/>
    <d v="2024-02-18T00:00:00"/>
    <x v="2"/>
    <x v="2"/>
    <x v="10"/>
    <x v="17"/>
    <n v="1514.93"/>
    <n v="1"/>
    <x v="5"/>
    <n v="254.01"/>
    <x v="86"/>
    <x v="0"/>
    <x v="8"/>
  </r>
  <r>
    <s v="ORD-2344"/>
    <x v="178"/>
    <d v="2024-10-12T00:00:00"/>
    <x v="1"/>
    <x v="1"/>
    <x v="3"/>
    <x v="25"/>
    <n v="1873.21"/>
    <n v="6"/>
    <x v="5"/>
    <n v="-638.26"/>
    <x v="0"/>
    <x v="0"/>
    <x v="1"/>
  </r>
  <r>
    <s v="ORD-2345"/>
    <x v="42"/>
    <d v="2024-02-25T00:00:00"/>
    <x v="3"/>
    <x v="0"/>
    <x v="6"/>
    <x v="7"/>
    <n v="780.54"/>
    <n v="17"/>
    <x v="5"/>
    <n v="227.2"/>
    <x v="115"/>
    <x v="0"/>
    <x v="8"/>
  </r>
  <r>
    <s v="ORD-2346"/>
    <x v="342"/>
    <d v="2024-01-11T00:00:00"/>
    <x v="1"/>
    <x v="2"/>
    <x v="2"/>
    <x v="33"/>
    <n v="2569.3000000000002"/>
    <n v="20"/>
    <x v="1"/>
    <n v="590.26"/>
    <x v="210"/>
    <x v="0"/>
    <x v="5"/>
  </r>
  <r>
    <s v="ORD-2347"/>
    <x v="305"/>
    <d v="2024-06-28T00:00:00"/>
    <x v="1"/>
    <x v="2"/>
    <x v="9"/>
    <x v="14"/>
    <n v="316.41000000000003"/>
    <n v="12"/>
    <x v="5"/>
    <n v="39.18"/>
    <x v="74"/>
    <x v="2"/>
    <x v="6"/>
  </r>
  <r>
    <s v="ORD-2348"/>
    <x v="67"/>
    <d v="2024-12-21T00:00:00"/>
    <x v="3"/>
    <x v="0"/>
    <x v="6"/>
    <x v="7"/>
    <n v="2331.23"/>
    <n v="19"/>
    <x v="3"/>
    <n v="604.95000000000005"/>
    <x v="190"/>
    <x v="1"/>
    <x v="2"/>
  </r>
  <r>
    <s v="ORD-2349"/>
    <x v="240"/>
    <d v="2024-06-16T00:00:00"/>
    <x v="1"/>
    <x v="1"/>
    <x v="3"/>
    <x v="25"/>
    <n v="3589.59"/>
    <n v="11"/>
    <x v="2"/>
    <n v="1127.92"/>
    <x v="164"/>
    <x v="0"/>
    <x v="6"/>
  </r>
  <r>
    <s v="ORD-2350"/>
    <x v="313"/>
    <d v="2024-03-21T00:00:00"/>
    <x v="0"/>
    <x v="0"/>
    <x v="6"/>
    <x v="6"/>
    <n v="2509.75"/>
    <n v="9"/>
    <x v="1"/>
    <n v="463.92"/>
    <x v="167"/>
    <x v="0"/>
    <x v="11"/>
  </r>
  <r>
    <s v="ORD-2351"/>
    <x v="30"/>
    <d v="2024-05-23T00:00:00"/>
    <x v="3"/>
    <x v="1"/>
    <x v="3"/>
    <x v="32"/>
    <n v="1087.5"/>
    <n v="1"/>
    <x v="3"/>
    <n v="170.58"/>
    <x v="16"/>
    <x v="0"/>
    <x v="7"/>
  </r>
  <r>
    <s v="ORD-2352"/>
    <x v="9"/>
    <d v="2024-10-16T00:00:00"/>
    <x v="3"/>
    <x v="2"/>
    <x v="9"/>
    <x v="27"/>
    <n v="2517.89"/>
    <n v="18"/>
    <x v="4"/>
    <n v="748.42"/>
    <x v="196"/>
    <x v="0"/>
    <x v="1"/>
  </r>
  <r>
    <s v="ORD-2353"/>
    <x v="59"/>
    <d v="2024-11-02T00:00:00"/>
    <x v="3"/>
    <x v="0"/>
    <x v="5"/>
    <x v="5"/>
    <n v="3567.89"/>
    <n v="17"/>
    <x v="2"/>
    <n v="480.73"/>
    <x v="214"/>
    <x v="2"/>
    <x v="0"/>
  </r>
  <r>
    <s v="ORD-2354"/>
    <x v="149"/>
    <d v="2024-08-04T00:00:00"/>
    <x v="3"/>
    <x v="2"/>
    <x v="10"/>
    <x v="28"/>
    <n v="1360.39"/>
    <n v="1"/>
    <x v="0"/>
    <n v="330.84"/>
    <x v="93"/>
    <x v="2"/>
    <x v="4"/>
  </r>
  <r>
    <s v="ORD-2355"/>
    <x v="193"/>
    <d v="2024-07-14T00:00:00"/>
    <x v="1"/>
    <x v="2"/>
    <x v="9"/>
    <x v="30"/>
    <n v="838.67"/>
    <n v="15"/>
    <x v="3"/>
    <n v="69.040000000000006"/>
    <x v="143"/>
    <x v="0"/>
    <x v="10"/>
  </r>
  <r>
    <s v="ORD-2356"/>
    <x v="30"/>
    <d v="2024-05-24T00:00:00"/>
    <x v="2"/>
    <x v="2"/>
    <x v="10"/>
    <x v="28"/>
    <n v="1460.51"/>
    <n v="1"/>
    <x v="1"/>
    <n v="96"/>
    <x v="202"/>
    <x v="1"/>
    <x v="7"/>
  </r>
  <r>
    <s v="ORD-2357"/>
    <x v="336"/>
    <d v="2024-09-06T00:00:00"/>
    <x v="1"/>
    <x v="2"/>
    <x v="9"/>
    <x v="30"/>
    <n v="345.49"/>
    <n v="14"/>
    <x v="0"/>
    <n v="50.84"/>
    <x v="108"/>
    <x v="0"/>
    <x v="9"/>
  </r>
  <r>
    <s v="ORD-2358"/>
    <x v="126"/>
    <d v="2024-11-09T00:00:00"/>
    <x v="3"/>
    <x v="2"/>
    <x v="8"/>
    <x v="13"/>
    <n v="459.47"/>
    <n v="5"/>
    <x v="5"/>
    <n v="-31.78"/>
    <x v="142"/>
    <x v="1"/>
    <x v="0"/>
  </r>
  <r>
    <s v="ORD-2359"/>
    <x v="186"/>
    <d v="2024-03-19T00:00:00"/>
    <x v="1"/>
    <x v="0"/>
    <x v="7"/>
    <x v="29"/>
    <n v="3079.97"/>
    <n v="12"/>
    <x v="3"/>
    <n v="228.99"/>
    <x v="186"/>
    <x v="1"/>
    <x v="11"/>
  </r>
  <r>
    <s v="ORD-2360"/>
    <x v="27"/>
    <d v="2024-02-12T00:00:00"/>
    <x v="2"/>
    <x v="0"/>
    <x v="5"/>
    <x v="5"/>
    <n v="1811.32"/>
    <n v="13"/>
    <x v="0"/>
    <n v="174.78"/>
    <x v="39"/>
    <x v="0"/>
    <x v="8"/>
  </r>
  <r>
    <s v="ORD-2361"/>
    <x v="94"/>
    <d v="2024-04-23T00:00:00"/>
    <x v="1"/>
    <x v="1"/>
    <x v="3"/>
    <x v="32"/>
    <n v="1147.25"/>
    <n v="18"/>
    <x v="1"/>
    <n v="75.430000000000007"/>
    <x v="228"/>
    <x v="1"/>
    <x v="3"/>
  </r>
  <r>
    <s v="ORD-2362"/>
    <x v="128"/>
    <d v="2024-05-02T00:00:00"/>
    <x v="0"/>
    <x v="1"/>
    <x v="1"/>
    <x v="1"/>
    <n v="3812.37"/>
    <n v="5"/>
    <x v="2"/>
    <n v="555.99"/>
    <x v="48"/>
    <x v="0"/>
    <x v="3"/>
  </r>
  <r>
    <s v="ORD-2363"/>
    <x v="335"/>
    <d v="2024-11-26T00:00:00"/>
    <x v="0"/>
    <x v="0"/>
    <x v="0"/>
    <x v="22"/>
    <n v="338.17"/>
    <n v="14"/>
    <x v="2"/>
    <n v="23.8"/>
    <x v="181"/>
    <x v="0"/>
    <x v="0"/>
  </r>
  <r>
    <s v="ORD-2364"/>
    <x v="323"/>
    <d v="2024-01-22T00:00:00"/>
    <x v="1"/>
    <x v="0"/>
    <x v="6"/>
    <x v="8"/>
    <n v="1560.18"/>
    <n v="3"/>
    <x v="2"/>
    <n v="490.67"/>
    <x v="177"/>
    <x v="2"/>
    <x v="5"/>
  </r>
  <r>
    <s v="ORD-2365"/>
    <x v="49"/>
    <d v="2024-03-31T00:00:00"/>
    <x v="1"/>
    <x v="1"/>
    <x v="4"/>
    <x v="11"/>
    <n v="3682"/>
    <n v="20"/>
    <x v="3"/>
    <n v="477.53"/>
    <x v="50"/>
    <x v="0"/>
    <x v="11"/>
  </r>
  <r>
    <s v="ORD-2366"/>
    <x v="203"/>
    <d v="2024-07-19T00:00:00"/>
    <x v="1"/>
    <x v="0"/>
    <x v="0"/>
    <x v="31"/>
    <n v="984.15"/>
    <n v="9"/>
    <x v="5"/>
    <n v="84.39"/>
    <x v="47"/>
    <x v="0"/>
    <x v="10"/>
  </r>
  <r>
    <s v="ORD-2367"/>
    <x v="82"/>
    <d v="2024-01-22T00:00:00"/>
    <x v="2"/>
    <x v="1"/>
    <x v="1"/>
    <x v="1"/>
    <n v="406.23"/>
    <n v="4"/>
    <x v="0"/>
    <n v="134.03"/>
    <x v="35"/>
    <x v="0"/>
    <x v="5"/>
  </r>
  <r>
    <s v="ORD-2368"/>
    <x v="134"/>
    <d v="2024-10-22T00:00:00"/>
    <x v="1"/>
    <x v="0"/>
    <x v="0"/>
    <x v="31"/>
    <n v="1989.17"/>
    <n v="8"/>
    <x v="2"/>
    <n v="630.69000000000005"/>
    <x v="162"/>
    <x v="0"/>
    <x v="1"/>
  </r>
  <r>
    <s v="ORD-2369"/>
    <x v="53"/>
    <d v="2024-04-21T00:00:00"/>
    <x v="3"/>
    <x v="1"/>
    <x v="1"/>
    <x v="1"/>
    <n v="3476.34"/>
    <n v="7"/>
    <x v="5"/>
    <n v="1161.23"/>
    <x v="177"/>
    <x v="0"/>
    <x v="3"/>
  </r>
  <r>
    <s v="ORD-2370"/>
    <x v="311"/>
    <d v="2024-06-23T00:00:00"/>
    <x v="2"/>
    <x v="0"/>
    <x v="7"/>
    <x v="24"/>
    <n v="2050.66"/>
    <n v="20"/>
    <x v="3"/>
    <n v="591.62"/>
    <x v="123"/>
    <x v="1"/>
    <x v="6"/>
  </r>
  <r>
    <s v="ORD-2371"/>
    <x v="33"/>
    <d v="2024-05-08T00:00:00"/>
    <x v="0"/>
    <x v="1"/>
    <x v="1"/>
    <x v="20"/>
    <n v="437.61"/>
    <n v="1"/>
    <x v="3"/>
    <n v="143.99"/>
    <x v="72"/>
    <x v="1"/>
    <x v="7"/>
  </r>
  <r>
    <s v="ORD-2372"/>
    <x v="85"/>
    <d v="2024-07-16T00:00:00"/>
    <x v="0"/>
    <x v="1"/>
    <x v="3"/>
    <x v="32"/>
    <n v="2671.65"/>
    <n v="14"/>
    <x v="0"/>
    <n v="-836.05"/>
    <x v="185"/>
    <x v="0"/>
    <x v="10"/>
  </r>
  <r>
    <s v="ORD-2373"/>
    <x v="268"/>
    <d v="2024-08-01T00:00:00"/>
    <x v="3"/>
    <x v="1"/>
    <x v="1"/>
    <x v="10"/>
    <n v="781.89"/>
    <n v="15"/>
    <x v="4"/>
    <n v="67.319999999999993"/>
    <x v="96"/>
    <x v="2"/>
    <x v="4"/>
  </r>
  <r>
    <s v="ORD-2374"/>
    <x v="168"/>
    <d v="2024-12-15T00:00:00"/>
    <x v="2"/>
    <x v="1"/>
    <x v="1"/>
    <x v="1"/>
    <n v="572.86"/>
    <n v="8"/>
    <x v="5"/>
    <n v="178.12"/>
    <x v="87"/>
    <x v="1"/>
    <x v="2"/>
  </r>
  <r>
    <s v="ORD-2375"/>
    <x v="154"/>
    <d v="2024-10-16T00:00:00"/>
    <x v="3"/>
    <x v="1"/>
    <x v="4"/>
    <x v="4"/>
    <n v="487.31"/>
    <n v="5"/>
    <x v="4"/>
    <n v="33.89"/>
    <x v="23"/>
    <x v="1"/>
    <x v="1"/>
  </r>
  <r>
    <s v="ORD-2376"/>
    <x v="100"/>
    <d v="2024-01-16T00:00:00"/>
    <x v="2"/>
    <x v="2"/>
    <x v="9"/>
    <x v="27"/>
    <n v="906.34"/>
    <n v="1"/>
    <x v="2"/>
    <n v="289.32"/>
    <x v="117"/>
    <x v="2"/>
    <x v="5"/>
  </r>
  <r>
    <s v="ORD-2377"/>
    <x v="328"/>
    <d v="2024-05-27T00:00:00"/>
    <x v="2"/>
    <x v="1"/>
    <x v="3"/>
    <x v="3"/>
    <n v="2767.16"/>
    <n v="7"/>
    <x v="4"/>
    <n v="710.89"/>
    <x v="61"/>
    <x v="2"/>
    <x v="7"/>
  </r>
  <r>
    <s v="ORD-2378"/>
    <x v="181"/>
    <d v="2024-11-28T00:00:00"/>
    <x v="2"/>
    <x v="0"/>
    <x v="6"/>
    <x v="15"/>
    <n v="2933.38"/>
    <n v="2"/>
    <x v="3"/>
    <n v="467.02"/>
    <x v="75"/>
    <x v="2"/>
    <x v="0"/>
  </r>
  <r>
    <s v="ORD-2379"/>
    <x v="41"/>
    <d v="2024-08-28T00:00:00"/>
    <x v="1"/>
    <x v="2"/>
    <x v="2"/>
    <x v="33"/>
    <n v="2316.34"/>
    <n v="5"/>
    <x v="3"/>
    <n v="626.71"/>
    <x v="74"/>
    <x v="0"/>
    <x v="4"/>
  </r>
  <r>
    <s v="ORD-2380"/>
    <x v="290"/>
    <d v="2024-04-05T00:00:00"/>
    <x v="3"/>
    <x v="2"/>
    <x v="2"/>
    <x v="21"/>
    <n v="803.62"/>
    <n v="16"/>
    <x v="0"/>
    <n v="170.91"/>
    <x v="55"/>
    <x v="1"/>
    <x v="11"/>
  </r>
  <r>
    <s v="ORD-2381"/>
    <x v="173"/>
    <d v="2024-08-10T00:00:00"/>
    <x v="3"/>
    <x v="1"/>
    <x v="3"/>
    <x v="26"/>
    <n v="2670.49"/>
    <n v="15"/>
    <x v="2"/>
    <n v="823.95"/>
    <x v="182"/>
    <x v="1"/>
    <x v="4"/>
  </r>
  <r>
    <s v="ORD-2382"/>
    <x v="254"/>
    <d v="2024-01-27T00:00:00"/>
    <x v="1"/>
    <x v="0"/>
    <x v="0"/>
    <x v="0"/>
    <n v="3441.62"/>
    <n v="19"/>
    <x v="4"/>
    <n v="1181.06"/>
    <x v="226"/>
    <x v="2"/>
    <x v="5"/>
  </r>
  <r>
    <s v="ORD-2383"/>
    <x v="279"/>
    <d v="2024-12-26T00:00:00"/>
    <x v="0"/>
    <x v="2"/>
    <x v="8"/>
    <x v="13"/>
    <n v="2289.9899999999998"/>
    <n v="17"/>
    <x v="1"/>
    <n v="509.84"/>
    <x v="202"/>
    <x v="2"/>
    <x v="2"/>
  </r>
  <r>
    <s v="ORD-2384"/>
    <x v="178"/>
    <d v="2024-10-10T00:00:00"/>
    <x v="1"/>
    <x v="0"/>
    <x v="0"/>
    <x v="22"/>
    <n v="688.46"/>
    <n v="12"/>
    <x v="2"/>
    <n v="227.93"/>
    <x v="191"/>
    <x v="2"/>
    <x v="1"/>
  </r>
  <r>
    <s v="ORD-2385"/>
    <x v="359"/>
    <d v="2024-07-23T00:00:00"/>
    <x v="3"/>
    <x v="0"/>
    <x v="6"/>
    <x v="8"/>
    <n v="1096.81"/>
    <n v="15"/>
    <x v="4"/>
    <n v="329.38"/>
    <x v="232"/>
    <x v="0"/>
    <x v="10"/>
  </r>
  <r>
    <s v="ORD-2386"/>
    <x v="78"/>
    <d v="2024-04-06T00:00:00"/>
    <x v="0"/>
    <x v="2"/>
    <x v="10"/>
    <x v="28"/>
    <n v="2856.02"/>
    <n v="10"/>
    <x v="4"/>
    <n v="790.38"/>
    <x v="41"/>
    <x v="2"/>
    <x v="3"/>
  </r>
  <r>
    <s v="ORD-2387"/>
    <x v="269"/>
    <d v="2024-04-18T00:00:00"/>
    <x v="1"/>
    <x v="1"/>
    <x v="1"/>
    <x v="1"/>
    <n v="1359.19"/>
    <n v="7"/>
    <x v="4"/>
    <n v="405.44"/>
    <x v="196"/>
    <x v="1"/>
    <x v="3"/>
  </r>
  <r>
    <s v="ORD-2388"/>
    <x v="24"/>
    <d v="2024-02-08T00:00:00"/>
    <x v="2"/>
    <x v="1"/>
    <x v="3"/>
    <x v="26"/>
    <n v="2730.94"/>
    <n v="1"/>
    <x v="0"/>
    <n v="626.12"/>
    <x v="89"/>
    <x v="0"/>
    <x v="8"/>
  </r>
  <r>
    <s v="ORD-2389"/>
    <x v="215"/>
    <d v="2024-07-13T00:00:00"/>
    <x v="3"/>
    <x v="2"/>
    <x v="9"/>
    <x v="30"/>
    <n v="2555.5100000000002"/>
    <n v="2"/>
    <x v="0"/>
    <n v="-504.46"/>
    <x v="46"/>
    <x v="1"/>
    <x v="10"/>
  </r>
  <r>
    <s v="ORD-2390"/>
    <x v="124"/>
    <d v="2024-06-17T00:00:00"/>
    <x v="0"/>
    <x v="2"/>
    <x v="9"/>
    <x v="27"/>
    <n v="3073.44"/>
    <n v="4"/>
    <x v="5"/>
    <n v="788.58"/>
    <x v="147"/>
    <x v="1"/>
    <x v="6"/>
  </r>
  <r>
    <s v="ORD-2391"/>
    <x v="34"/>
    <d v="2024-07-05T00:00:00"/>
    <x v="0"/>
    <x v="2"/>
    <x v="8"/>
    <x v="23"/>
    <n v="3096.44"/>
    <n v="3"/>
    <x v="5"/>
    <n v="-389.06"/>
    <x v="17"/>
    <x v="1"/>
    <x v="6"/>
  </r>
  <r>
    <s v="ORD-2392"/>
    <x v="194"/>
    <d v="2024-05-06T00:00:00"/>
    <x v="2"/>
    <x v="2"/>
    <x v="2"/>
    <x v="2"/>
    <n v="2513.5300000000002"/>
    <n v="16"/>
    <x v="1"/>
    <n v="369.14"/>
    <x v="43"/>
    <x v="0"/>
    <x v="7"/>
  </r>
  <r>
    <s v="ORD-2393"/>
    <x v="174"/>
    <d v="2025-01-02T00:00:00"/>
    <x v="1"/>
    <x v="0"/>
    <x v="6"/>
    <x v="8"/>
    <n v="288.60000000000002"/>
    <n v="5"/>
    <x v="2"/>
    <n v="89.12"/>
    <x v="196"/>
    <x v="1"/>
    <x v="2"/>
  </r>
  <r>
    <s v="ORD-2394"/>
    <x v="138"/>
    <d v="2024-09-23T00:00:00"/>
    <x v="0"/>
    <x v="0"/>
    <x v="7"/>
    <x v="24"/>
    <n v="1280.28"/>
    <n v="19"/>
    <x v="5"/>
    <n v="371.78"/>
    <x v="96"/>
    <x v="0"/>
    <x v="9"/>
  </r>
  <r>
    <s v="ORD-2395"/>
    <x v="153"/>
    <d v="2024-01-29T00:00:00"/>
    <x v="0"/>
    <x v="0"/>
    <x v="6"/>
    <x v="15"/>
    <n v="3633.48"/>
    <n v="10"/>
    <x v="4"/>
    <n v="225.08"/>
    <x v="196"/>
    <x v="1"/>
    <x v="5"/>
  </r>
  <r>
    <s v="ORD-2396"/>
    <x v="266"/>
    <d v="2024-08-07T00:00:00"/>
    <x v="1"/>
    <x v="1"/>
    <x v="1"/>
    <x v="10"/>
    <n v="2073.4299999999998"/>
    <n v="1"/>
    <x v="5"/>
    <n v="586.20000000000005"/>
    <x v="222"/>
    <x v="2"/>
    <x v="4"/>
  </r>
  <r>
    <s v="ORD-2397"/>
    <x v="104"/>
    <d v="2024-04-06T00:00:00"/>
    <x v="0"/>
    <x v="2"/>
    <x v="10"/>
    <x v="28"/>
    <n v="1525.26"/>
    <n v="19"/>
    <x v="5"/>
    <n v="180.93"/>
    <x v="14"/>
    <x v="2"/>
    <x v="11"/>
  </r>
  <r>
    <s v="ORD-2398"/>
    <x v="212"/>
    <d v="2024-12-25T00:00:00"/>
    <x v="0"/>
    <x v="1"/>
    <x v="1"/>
    <x v="1"/>
    <n v="3026.34"/>
    <n v="20"/>
    <x v="2"/>
    <n v="172.81"/>
    <x v="237"/>
    <x v="0"/>
    <x v="2"/>
  </r>
  <r>
    <s v="ORD-2399"/>
    <x v="304"/>
    <d v="2024-12-29T00:00:00"/>
    <x v="0"/>
    <x v="0"/>
    <x v="0"/>
    <x v="9"/>
    <n v="1819.84"/>
    <n v="2"/>
    <x v="3"/>
    <n v="329.19"/>
    <x v="44"/>
    <x v="1"/>
    <x v="2"/>
  </r>
  <r>
    <s v="ORD-2400"/>
    <x v="24"/>
    <d v="2024-02-05T00:00:00"/>
    <x v="0"/>
    <x v="2"/>
    <x v="2"/>
    <x v="21"/>
    <n v="1754.98"/>
    <n v="8"/>
    <x v="4"/>
    <n v="151.46"/>
    <x v="35"/>
    <x v="0"/>
    <x v="8"/>
  </r>
  <r>
    <s v="ORD-2401"/>
    <x v="18"/>
    <d v="2024-10-21T00:00:00"/>
    <x v="1"/>
    <x v="2"/>
    <x v="2"/>
    <x v="33"/>
    <n v="1236.28"/>
    <n v="3"/>
    <x v="0"/>
    <n v="130.62"/>
    <x v="142"/>
    <x v="2"/>
    <x v="1"/>
  </r>
  <r>
    <s v="ORD-2402"/>
    <x v="339"/>
    <d v="2024-10-13T00:00:00"/>
    <x v="1"/>
    <x v="1"/>
    <x v="1"/>
    <x v="10"/>
    <n v="749.56"/>
    <n v="13"/>
    <x v="1"/>
    <n v="121.1"/>
    <x v="225"/>
    <x v="1"/>
    <x v="1"/>
  </r>
  <r>
    <s v="ORD-2403"/>
    <x v="342"/>
    <d v="2024-01-08T00:00:00"/>
    <x v="3"/>
    <x v="0"/>
    <x v="5"/>
    <x v="19"/>
    <n v="3551.44"/>
    <n v="5"/>
    <x v="3"/>
    <n v="1158.55"/>
    <x v="221"/>
    <x v="0"/>
    <x v="5"/>
  </r>
  <r>
    <s v="ORD-2404"/>
    <x v="360"/>
    <d v="2024-04-22T00:00:00"/>
    <x v="2"/>
    <x v="2"/>
    <x v="9"/>
    <x v="14"/>
    <n v="621.42999999999995"/>
    <n v="13"/>
    <x v="2"/>
    <n v="149.15"/>
    <x v="70"/>
    <x v="0"/>
    <x v="3"/>
  </r>
  <r>
    <s v="ORD-2405"/>
    <x v="244"/>
    <d v="2024-02-08T00:00:00"/>
    <x v="1"/>
    <x v="0"/>
    <x v="7"/>
    <x v="29"/>
    <n v="2041.33"/>
    <n v="3"/>
    <x v="2"/>
    <n v="202.95"/>
    <x v="202"/>
    <x v="2"/>
    <x v="8"/>
  </r>
  <r>
    <s v="ORD-2406"/>
    <x v="253"/>
    <d v="2024-08-04T00:00:00"/>
    <x v="1"/>
    <x v="2"/>
    <x v="9"/>
    <x v="14"/>
    <n v="3071.39"/>
    <n v="2"/>
    <x v="3"/>
    <n v="-872.86"/>
    <x v="226"/>
    <x v="0"/>
    <x v="10"/>
  </r>
  <r>
    <s v="ORD-2407"/>
    <x v="246"/>
    <d v="2024-12-14T00:00:00"/>
    <x v="2"/>
    <x v="2"/>
    <x v="10"/>
    <x v="28"/>
    <n v="2047.62"/>
    <n v="17"/>
    <x v="5"/>
    <n v="499.23"/>
    <x v="163"/>
    <x v="2"/>
    <x v="2"/>
  </r>
  <r>
    <s v="ORD-2408"/>
    <x v="252"/>
    <d v="2024-03-24T00:00:00"/>
    <x v="3"/>
    <x v="2"/>
    <x v="8"/>
    <x v="23"/>
    <n v="2499.33"/>
    <n v="14"/>
    <x v="1"/>
    <n v="546.12"/>
    <x v="104"/>
    <x v="0"/>
    <x v="11"/>
  </r>
  <r>
    <s v="ORD-2409"/>
    <x v="261"/>
    <d v="2024-03-15T00:00:00"/>
    <x v="3"/>
    <x v="2"/>
    <x v="9"/>
    <x v="27"/>
    <n v="1991.9"/>
    <n v="11"/>
    <x v="3"/>
    <n v="599.36"/>
    <x v="140"/>
    <x v="1"/>
    <x v="11"/>
  </r>
  <r>
    <s v="ORD-2410"/>
    <x v="69"/>
    <d v="2024-06-13T00:00:00"/>
    <x v="2"/>
    <x v="2"/>
    <x v="10"/>
    <x v="17"/>
    <n v="1514.03"/>
    <n v="16"/>
    <x v="3"/>
    <n v="317.68"/>
    <x v="195"/>
    <x v="2"/>
    <x v="6"/>
  </r>
  <r>
    <s v="ORD-2411"/>
    <x v="113"/>
    <d v="2024-02-06T00:00:00"/>
    <x v="3"/>
    <x v="2"/>
    <x v="2"/>
    <x v="33"/>
    <n v="2175.69"/>
    <n v="11"/>
    <x v="3"/>
    <n v="700.93"/>
    <x v="74"/>
    <x v="2"/>
    <x v="8"/>
  </r>
  <r>
    <s v="ORD-2412"/>
    <x v="172"/>
    <d v="2024-07-01T00:00:00"/>
    <x v="1"/>
    <x v="2"/>
    <x v="9"/>
    <x v="27"/>
    <n v="1239.6600000000001"/>
    <n v="14"/>
    <x v="0"/>
    <n v="307.11"/>
    <x v="68"/>
    <x v="1"/>
    <x v="6"/>
  </r>
  <r>
    <s v="ORD-2413"/>
    <x v="285"/>
    <d v="2024-03-16T00:00:00"/>
    <x v="1"/>
    <x v="0"/>
    <x v="0"/>
    <x v="31"/>
    <n v="1016.74"/>
    <n v="15"/>
    <x v="2"/>
    <n v="-209.48"/>
    <x v="196"/>
    <x v="2"/>
    <x v="11"/>
  </r>
  <r>
    <s v="ORD-2414"/>
    <x v="232"/>
    <d v="2024-06-01T00:00:00"/>
    <x v="1"/>
    <x v="0"/>
    <x v="0"/>
    <x v="0"/>
    <n v="3577.27"/>
    <n v="16"/>
    <x v="3"/>
    <n v="442.47"/>
    <x v="194"/>
    <x v="0"/>
    <x v="7"/>
  </r>
  <r>
    <s v="ORD-2415"/>
    <x v="7"/>
    <d v="2024-05-25T00:00:00"/>
    <x v="3"/>
    <x v="1"/>
    <x v="3"/>
    <x v="3"/>
    <n v="1197.01"/>
    <n v="13"/>
    <x v="2"/>
    <n v="-413.16"/>
    <x v="103"/>
    <x v="1"/>
    <x v="7"/>
  </r>
  <r>
    <s v="ORD-2416"/>
    <x v="78"/>
    <d v="2024-04-10T00:00:00"/>
    <x v="2"/>
    <x v="2"/>
    <x v="2"/>
    <x v="33"/>
    <n v="2377.9499999999998"/>
    <n v="7"/>
    <x v="3"/>
    <n v="155.28"/>
    <x v="139"/>
    <x v="1"/>
    <x v="3"/>
  </r>
  <r>
    <s v="ORD-2417"/>
    <x v="56"/>
    <d v="2024-09-08T00:00:00"/>
    <x v="2"/>
    <x v="2"/>
    <x v="9"/>
    <x v="27"/>
    <n v="697.92"/>
    <n v="6"/>
    <x v="1"/>
    <n v="110.55"/>
    <x v="199"/>
    <x v="2"/>
    <x v="9"/>
  </r>
  <r>
    <s v="ORD-2418"/>
    <x v="19"/>
    <d v="2024-01-28T00:00:00"/>
    <x v="0"/>
    <x v="2"/>
    <x v="8"/>
    <x v="13"/>
    <n v="2257.08"/>
    <n v="5"/>
    <x v="1"/>
    <n v="739.7"/>
    <x v="113"/>
    <x v="1"/>
    <x v="5"/>
  </r>
  <r>
    <s v="ORD-2419"/>
    <x v="139"/>
    <d v="2024-04-14T00:00:00"/>
    <x v="0"/>
    <x v="1"/>
    <x v="1"/>
    <x v="10"/>
    <n v="3913.14"/>
    <n v="9"/>
    <x v="3"/>
    <n v="700.22"/>
    <x v="215"/>
    <x v="2"/>
    <x v="3"/>
  </r>
  <r>
    <s v="ORD-2420"/>
    <x v="239"/>
    <d v="2024-11-16T00:00:00"/>
    <x v="3"/>
    <x v="1"/>
    <x v="1"/>
    <x v="1"/>
    <n v="2326.41"/>
    <n v="11"/>
    <x v="4"/>
    <n v="236.25"/>
    <x v="48"/>
    <x v="1"/>
    <x v="0"/>
  </r>
  <r>
    <s v="ORD-2421"/>
    <x v="234"/>
    <d v="2024-07-18T00:00:00"/>
    <x v="0"/>
    <x v="1"/>
    <x v="1"/>
    <x v="20"/>
    <n v="3026.71"/>
    <n v="9"/>
    <x v="5"/>
    <n v="264.44"/>
    <x v="76"/>
    <x v="0"/>
    <x v="10"/>
  </r>
  <r>
    <s v="ORD-2422"/>
    <x v="361"/>
    <d v="2024-07-30T00:00:00"/>
    <x v="1"/>
    <x v="2"/>
    <x v="10"/>
    <x v="28"/>
    <n v="3691.1"/>
    <n v="9"/>
    <x v="1"/>
    <n v="188.06"/>
    <x v="147"/>
    <x v="2"/>
    <x v="10"/>
  </r>
  <r>
    <s v="ORD-2423"/>
    <x v="243"/>
    <d v="2024-08-16T00:00:00"/>
    <x v="2"/>
    <x v="1"/>
    <x v="1"/>
    <x v="1"/>
    <n v="3427.31"/>
    <n v="14"/>
    <x v="0"/>
    <n v="628.02"/>
    <x v="144"/>
    <x v="0"/>
    <x v="4"/>
  </r>
  <r>
    <s v="ORD-2424"/>
    <x v="234"/>
    <d v="2024-07-21T00:00:00"/>
    <x v="0"/>
    <x v="0"/>
    <x v="0"/>
    <x v="0"/>
    <n v="3556.77"/>
    <n v="16"/>
    <x v="5"/>
    <n v="1020.35"/>
    <x v="37"/>
    <x v="0"/>
    <x v="10"/>
  </r>
  <r>
    <s v="ORD-2425"/>
    <x v="240"/>
    <d v="2024-06-13T00:00:00"/>
    <x v="2"/>
    <x v="0"/>
    <x v="6"/>
    <x v="6"/>
    <n v="2524.58"/>
    <n v="12"/>
    <x v="4"/>
    <n v="659.01"/>
    <x v="102"/>
    <x v="1"/>
    <x v="6"/>
  </r>
  <r>
    <s v="ORD-2426"/>
    <x v="304"/>
    <d v="2024-12-29T00:00:00"/>
    <x v="1"/>
    <x v="2"/>
    <x v="10"/>
    <x v="28"/>
    <n v="1428.29"/>
    <n v="13"/>
    <x v="3"/>
    <n v="178.01"/>
    <x v="207"/>
    <x v="1"/>
    <x v="2"/>
  </r>
  <r>
    <s v="ORD-2427"/>
    <x v="271"/>
    <d v="2024-05-04T00:00:00"/>
    <x v="2"/>
    <x v="1"/>
    <x v="4"/>
    <x v="11"/>
    <n v="2670.54"/>
    <n v="3"/>
    <x v="5"/>
    <n v="-704.81"/>
    <x v="145"/>
    <x v="0"/>
    <x v="3"/>
  </r>
  <r>
    <s v="ORD-2428"/>
    <x v="18"/>
    <d v="2024-10-24T00:00:00"/>
    <x v="3"/>
    <x v="2"/>
    <x v="8"/>
    <x v="23"/>
    <n v="1886.09"/>
    <n v="15"/>
    <x v="5"/>
    <n v="144.91999999999999"/>
    <x v="169"/>
    <x v="0"/>
    <x v="1"/>
  </r>
  <r>
    <s v="ORD-2429"/>
    <x v="184"/>
    <d v="2024-05-01T00:00:00"/>
    <x v="3"/>
    <x v="2"/>
    <x v="9"/>
    <x v="14"/>
    <n v="882.03"/>
    <n v="19"/>
    <x v="0"/>
    <n v="180.95"/>
    <x v="171"/>
    <x v="1"/>
    <x v="3"/>
  </r>
  <r>
    <s v="ORD-2430"/>
    <x v="325"/>
    <d v="2024-04-10T00:00:00"/>
    <x v="2"/>
    <x v="2"/>
    <x v="8"/>
    <x v="16"/>
    <n v="587.4"/>
    <n v="6"/>
    <x v="1"/>
    <n v="137.82"/>
    <x v="138"/>
    <x v="1"/>
    <x v="3"/>
  </r>
  <r>
    <s v="ORD-2431"/>
    <x v="296"/>
    <d v="2024-05-09T00:00:00"/>
    <x v="3"/>
    <x v="2"/>
    <x v="10"/>
    <x v="17"/>
    <n v="781.13"/>
    <n v="14"/>
    <x v="3"/>
    <n v="243.17"/>
    <x v="192"/>
    <x v="2"/>
    <x v="7"/>
  </r>
  <r>
    <s v="ORD-2432"/>
    <x v="250"/>
    <d v="2024-08-01T00:00:00"/>
    <x v="1"/>
    <x v="0"/>
    <x v="5"/>
    <x v="18"/>
    <n v="3519.29"/>
    <n v="20"/>
    <x v="1"/>
    <n v="780.52"/>
    <x v="42"/>
    <x v="0"/>
    <x v="10"/>
  </r>
  <r>
    <s v="ORD-2433"/>
    <x v="104"/>
    <d v="2024-04-04T00:00:00"/>
    <x v="2"/>
    <x v="2"/>
    <x v="10"/>
    <x v="28"/>
    <n v="314.43"/>
    <n v="7"/>
    <x v="2"/>
    <n v="-82.93"/>
    <x v="159"/>
    <x v="1"/>
    <x v="11"/>
  </r>
  <r>
    <s v="ORD-2434"/>
    <x v="213"/>
    <d v="2024-02-25T00:00:00"/>
    <x v="1"/>
    <x v="0"/>
    <x v="5"/>
    <x v="19"/>
    <n v="2325.39"/>
    <n v="12"/>
    <x v="0"/>
    <n v="241.09"/>
    <x v="49"/>
    <x v="2"/>
    <x v="8"/>
  </r>
  <r>
    <s v="ORD-2435"/>
    <x v="122"/>
    <d v="2024-04-08T00:00:00"/>
    <x v="0"/>
    <x v="2"/>
    <x v="10"/>
    <x v="17"/>
    <n v="2174.67"/>
    <n v="1"/>
    <x v="2"/>
    <n v="-437.88"/>
    <x v="2"/>
    <x v="1"/>
    <x v="3"/>
  </r>
  <r>
    <s v="ORD-2436"/>
    <x v="76"/>
    <d v="2024-03-12T00:00:00"/>
    <x v="0"/>
    <x v="2"/>
    <x v="10"/>
    <x v="28"/>
    <n v="1157.22"/>
    <n v="20"/>
    <x v="3"/>
    <n v="257.08999999999997"/>
    <x v="221"/>
    <x v="0"/>
    <x v="11"/>
  </r>
  <r>
    <s v="ORD-2437"/>
    <x v="194"/>
    <d v="2024-05-12T00:00:00"/>
    <x v="1"/>
    <x v="0"/>
    <x v="5"/>
    <x v="5"/>
    <n v="1180.81"/>
    <n v="20"/>
    <x v="1"/>
    <n v="82.8"/>
    <x v="236"/>
    <x v="0"/>
    <x v="7"/>
  </r>
  <r>
    <s v="ORD-2438"/>
    <x v="13"/>
    <d v="2024-01-05T00:00:00"/>
    <x v="2"/>
    <x v="0"/>
    <x v="6"/>
    <x v="6"/>
    <n v="2313.6799999999998"/>
    <n v="13"/>
    <x v="2"/>
    <n v="439.57"/>
    <x v="4"/>
    <x v="2"/>
    <x v="5"/>
  </r>
  <r>
    <s v="ORD-2439"/>
    <x v="199"/>
    <d v="2024-09-28T00:00:00"/>
    <x v="2"/>
    <x v="2"/>
    <x v="9"/>
    <x v="14"/>
    <n v="2136.8200000000002"/>
    <n v="16"/>
    <x v="4"/>
    <n v="622.78"/>
    <x v="28"/>
    <x v="1"/>
    <x v="9"/>
  </r>
  <r>
    <s v="ORD-2440"/>
    <x v="218"/>
    <d v="2024-11-08T00:00:00"/>
    <x v="3"/>
    <x v="1"/>
    <x v="4"/>
    <x v="4"/>
    <n v="1684.65"/>
    <n v="10"/>
    <x v="3"/>
    <n v="96.3"/>
    <x v="218"/>
    <x v="1"/>
    <x v="0"/>
  </r>
  <r>
    <s v="ORD-2441"/>
    <x v="160"/>
    <d v="2024-01-12T00:00:00"/>
    <x v="2"/>
    <x v="0"/>
    <x v="7"/>
    <x v="24"/>
    <n v="3494.49"/>
    <n v="5"/>
    <x v="0"/>
    <n v="1006.86"/>
    <x v="236"/>
    <x v="0"/>
    <x v="5"/>
  </r>
  <r>
    <s v="ORD-2442"/>
    <x v="348"/>
    <d v="2024-03-13T00:00:00"/>
    <x v="1"/>
    <x v="2"/>
    <x v="2"/>
    <x v="21"/>
    <n v="1747.15"/>
    <n v="15"/>
    <x v="3"/>
    <n v="549.85"/>
    <x v="34"/>
    <x v="2"/>
    <x v="11"/>
  </r>
  <r>
    <s v="ORD-2443"/>
    <x v="92"/>
    <d v="2024-07-31T00:00:00"/>
    <x v="1"/>
    <x v="1"/>
    <x v="4"/>
    <x v="11"/>
    <n v="1357.82"/>
    <n v="2"/>
    <x v="3"/>
    <n v="257.33999999999997"/>
    <x v="129"/>
    <x v="1"/>
    <x v="10"/>
  </r>
  <r>
    <s v="ORD-2444"/>
    <x v="161"/>
    <d v="2024-12-06T00:00:00"/>
    <x v="0"/>
    <x v="0"/>
    <x v="0"/>
    <x v="31"/>
    <n v="3329.1"/>
    <n v="18"/>
    <x v="5"/>
    <n v="206.93"/>
    <x v="0"/>
    <x v="1"/>
    <x v="0"/>
  </r>
  <r>
    <s v="ORD-2445"/>
    <x v="207"/>
    <d v="2024-09-03T00:00:00"/>
    <x v="3"/>
    <x v="2"/>
    <x v="10"/>
    <x v="17"/>
    <n v="3707.44"/>
    <n v="6"/>
    <x v="1"/>
    <n v="-1288.82"/>
    <x v="235"/>
    <x v="0"/>
    <x v="9"/>
  </r>
  <r>
    <s v="ORD-2446"/>
    <x v="272"/>
    <d v="2025-01-03T00:00:00"/>
    <x v="0"/>
    <x v="1"/>
    <x v="4"/>
    <x v="11"/>
    <n v="2615.0300000000002"/>
    <n v="12"/>
    <x v="1"/>
    <n v="482.49"/>
    <x v="19"/>
    <x v="1"/>
    <x v="2"/>
  </r>
  <r>
    <s v="ORD-2447"/>
    <x v="126"/>
    <d v="2024-11-16T00:00:00"/>
    <x v="3"/>
    <x v="0"/>
    <x v="0"/>
    <x v="31"/>
    <n v="1629.88"/>
    <n v="17"/>
    <x v="2"/>
    <n v="141.78"/>
    <x v="192"/>
    <x v="2"/>
    <x v="0"/>
  </r>
  <r>
    <s v="ORD-2448"/>
    <x v="354"/>
    <d v="2024-09-12T00:00:00"/>
    <x v="0"/>
    <x v="0"/>
    <x v="5"/>
    <x v="18"/>
    <n v="3748.55"/>
    <n v="13"/>
    <x v="3"/>
    <n v="930.33"/>
    <x v="109"/>
    <x v="0"/>
    <x v="9"/>
  </r>
  <r>
    <s v="ORD-2449"/>
    <x v="303"/>
    <d v="2024-11-25T00:00:00"/>
    <x v="1"/>
    <x v="1"/>
    <x v="1"/>
    <x v="1"/>
    <n v="2563.2800000000002"/>
    <n v="9"/>
    <x v="5"/>
    <n v="-297.52"/>
    <x v="25"/>
    <x v="2"/>
    <x v="0"/>
  </r>
  <r>
    <s v="ORD-2450"/>
    <x v="342"/>
    <d v="2024-01-09T00:00:00"/>
    <x v="1"/>
    <x v="2"/>
    <x v="10"/>
    <x v="17"/>
    <n v="3248.02"/>
    <n v="5"/>
    <x v="5"/>
    <n v="695.46"/>
    <x v="213"/>
    <x v="2"/>
    <x v="5"/>
  </r>
  <r>
    <s v="ORD-2451"/>
    <x v="269"/>
    <d v="2024-04-17T00:00:00"/>
    <x v="0"/>
    <x v="1"/>
    <x v="1"/>
    <x v="10"/>
    <n v="2977.14"/>
    <n v="3"/>
    <x v="4"/>
    <n v="567.12"/>
    <x v="23"/>
    <x v="0"/>
    <x v="3"/>
  </r>
  <r>
    <s v="ORD-2452"/>
    <x v="292"/>
    <d v="2024-12-17T00:00:00"/>
    <x v="0"/>
    <x v="1"/>
    <x v="4"/>
    <x v="4"/>
    <n v="3293.84"/>
    <n v="11"/>
    <x v="2"/>
    <n v="883.99"/>
    <x v="195"/>
    <x v="1"/>
    <x v="2"/>
  </r>
  <r>
    <s v="ORD-2453"/>
    <x v="64"/>
    <d v="2024-09-01T00:00:00"/>
    <x v="3"/>
    <x v="0"/>
    <x v="0"/>
    <x v="0"/>
    <n v="2754.07"/>
    <n v="19"/>
    <x v="2"/>
    <n v="701.68"/>
    <x v="2"/>
    <x v="1"/>
    <x v="4"/>
  </r>
  <r>
    <s v="ORD-2454"/>
    <x v="194"/>
    <d v="2024-05-08T00:00:00"/>
    <x v="0"/>
    <x v="2"/>
    <x v="9"/>
    <x v="27"/>
    <n v="1480.58"/>
    <n v="17"/>
    <x v="3"/>
    <n v="295.62"/>
    <x v="29"/>
    <x v="0"/>
    <x v="7"/>
  </r>
  <r>
    <s v="ORD-2455"/>
    <x v="301"/>
    <d v="2024-07-26T00:00:00"/>
    <x v="3"/>
    <x v="2"/>
    <x v="8"/>
    <x v="16"/>
    <n v="2331.3000000000002"/>
    <n v="8"/>
    <x v="4"/>
    <n v="441.33"/>
    <x v="6"/>
    <x v="1"/>
    <x v="10"/>
  </r>
  <r>
    <s v="ORD-2456"/>
    <x v="66"/>
    <d v="2024-02-25T00:00:00"/>
    <x v="2"/>
    <x v="0"/>
    <x v="6"/>
    <x v="6"/>
    <n v="2374.65"/>
    <n v="10"/>
    <x v="1"/>
    <n v="291.48"/>
    <x v="20"/>
    <x v="1"/>
    <x v="8"/>
  </r>
  <r>
    <s v="ORD-2457"/>
    <x v="37"/>
    <d v="2024-12-06T00:00:00"/>
    <x v="3"/>
    <x v="1"/>
    <x v="3"/>
    <x v="25"/>
    <n v="3306.48"/>
    <n v="5"/>
    <x v="5"/>
    <n v="-634.69000000000005"/>
    <x v="219"/>
    <x v="2"/>
    <x v="2"/>
  </r>
  <r>
    <s v="ORD-2458"/>
    <x v="156"/>
    <d v="2024-07-09T00:00:00"/>
    <x v="3"/>
    <x v="1"/>
    <x v="3"/>
    <x v="25"/>
    <n v="3729.38"/>
    <n v="13"/>
    <x v="2"/>
    <n v="425.93"/>
    <x v="196"/>
    <x v="2"/>
    <x v="10"/>
  </r>
  <r>
    <s v="ORD-2459"/>
    <x v="284"/>
    <d v="2024-05-04T00:00:00"/>
    <x v="1"/>
    <x v="0"/>
    <x v="7"/>
    <x v="24"/>
    <n v="846.97"/>
    <n v="11"/>
    <x v="2"/>
    <n v="-138.1"/>
    <x v="183"/>
    <x v="0"/>
    <x v="3"/>
  </r>
  <r>
    <s v="ORD-2460"/>
    <x v="289"/>
    <d v="2024-02-13T00:00:00"/>
    <x v="0"/>
    <x v="1"/>
    <x v="4"/>
    <x v="4"/>
    <n v="2097.4299999999998"/>
    <n v="3"/>
    <x v="0"/>
    <n v="512.59"/>
    <x v="38"/>
    <x v="2"/>
    <x v="8"/>
  </r>
  <r>
    <s v="ORD-2461"/>
    <x v="225"/>
    <d v="2024-01-09T00:00:00"/>
    <x v="1"/>
    <x v="1"/>
    <x v="1"/>
    <x v="10"/>
    <n v="3938.88"/>
    <n v="12"/>
    <x v="0"/>
    <n v="1007.17"/>
    <x v="189"/>
    <x v="0"/>
    <x v="5"/>
  </r>
  <r>
    <s v="ORD-2462"/>
    <x v="201"/>
    <d v="2024-07-02T00:00:00"/>
    <x v="0"/>
    <x v="1"/>
    <x v="3"/>
    <x v="26"/>
    <n v="624.89"/>
    <n v="19"/>
    <x v="1"/>
    <n v="216.5"/>
    <x v="114"/>
    <x v="2"/>
    <x v="10"/>
  </r>
  <r>
    <s v="ORD-2463"/>
    <x v="62"/>
    <d v="2024-04-10T00:00:00"/>
    <x v="2"/>
    <x v="2"/>
    <x v="8"/>
    <x v="23"/>
    <n v="2475.14"/>
    <n v="20"/>
    <x v="2"/>
    <n v="176.98"/>
    <x v="59"/>
    <x v="0"/>
    <x v="3"/>
  </r>
  <r>
    <s v="ORD-2464"/>
    <x v="141"/>
    <d v="2024-03-12T00:00:00"/>
    <x v="2"/>
    <x v="0"/>
    <x v="0"/>
    <x v="0"/>
    <n v="2662.99"/>
    <n v="17"/>
    <x v="1"/>
    <n v="529.73"/>
    <x v="78"/>
    <x v="2"/>
    <x v="11"/>
  </r>
  <r>
    <s v="ORD-2465"/>
    <x v="180"/>
    <d v="2024-05-25T00:00:00"/>
    <x v="2"/>
    <x v="2"/>
    <x v="10"/>
    <x v="17"/>
    <n v="3288.52"/>
    <n v="12"/>
    <x v="2"/>
    <n v="466.71"/>
    <x v="220"/>
    <x v="1"/>
    <x v="7"/>
  </r>
  <r>
    <s v="ORD-2466"/>
    <x v="331"/>
    <d v="2024-07-30T00:00:00"/>
    <x v="1"/>
    <x v="2"/>
    <x v="2"/>
    <x v="2"/>
    <n v="1152.55"/>
    <n v="5"/>
    <x v="0"/>
    <n v="-111.3"/>
    <x v="108"/>
    <x v="2"/>
    <x v="10"/>
  </r>
  <r>
    <s v="ORD-2467"/>
    <x v="84"/>
    <d v="2024-10-28T00:00:00"/>
    <x v="1"/>
    <x v="1"/>
    <x v="3"/>
    <x v="32"/>
    <n v="809.98"/>
    <n v="3"/>
    <x v="3"/>
    <n v="227.69"/>
    <x v="105"/>
    <x v="0"/>
    <x v="1"/>
  </r>
  <r>
    <s v="ORD-2468"/>
    <x v="77"/>
    <d v="2024-10-26T00:00:00"/>
    <x v="2"/>
    <x v="2"/>
    <x v="9"/>
    <x v="14"/>
    <n v="3737.02"/>
    <n v="18"/>
    <x v="0"/>
    <n v="845.69"/>
    <x v="235"/>
    <x v="2"/>
    <x v="1"/>
  </r>
  <r>
    <s v="ORD-2469"/>
    <x v="269"/>
    <d v="2024-04-24T00:00:00"/>
    <x v="0"/>
    <x v="2"/>
    <x v="10"/>
    <x v="17"/>
    <n v="968.08"/>
    <n v="3"/>
    <x v="1"/>
    <n v="57.52"/>
    <x v="154"/>
    <x v="1"/>
    <x v="3"/>
  </r>
  <r>
    <s v="ORD-2470"/>
    <x v="117"/>
    <d v="2024-05-15T00:00:00"/>
    <x v="1"/>
    <x v="2"/>
    <x v="9"/>
    <x v="30"/>
    <n v="3874.57"/>
    <n v="11"/>
    <x v="5"/>
    <n v="348.21"/>
    <x v="88"/>
    <x v="0"/>
    <x v="7"/>
  </r>
  <r>
    <s v="ORD-2471"/>
    <x v="159"/>
    <d v="2025-01-03T00:00:00"/>
    <x v="3"/>
    <x v="0"/>
    <x v="7"/>
    <x v="29"/>
    <n v="3509.4"/>
    <n v="6"/>
    <x v="3"/>
    <n v="613.23"/>
    <x v="21"/>
    <x v="1"/>
    <x v="2"/>
  </r>
  <r>
    <s v="ORD-2472"/>
    <x v="343"/>
    <d v="2024-06-22T00:00:00"/>
    <x v="0"/>
    <x v="1"/>
    <x v="1"/>
    <x v="20"/>
    <n v="2514.71"/>
    <n v="9"/>
    <x v="4"/>
    <n v="669.5"/>
    <x v="204"/>
    <x v="0"/>
    <x v="6"/>
  </r>
  <r>
    <s v="ORD-2473"/>
    <x v="270"/>
    <d v="2024-01-10T00:00:00"/>
    <x v="3"/>
    <x v="0"/>
    <x v="0"/>
    <x v="31"/>
    <n v="260.26"/>
    <n v="16"/>
    <x v="2"/>
    <n v="-28.76"/>
    <x v="168"/>
    <x v="1"/>
    <x v="5"/>
  </r>
  <r>
    <s v="ORD-2474"/>
    <x v="135"/>
    <d v="2024-12-18T00:00:00"/>
    <x v="2"/>
    <x v="0"/>
    <x v="7"/>
    <x v="24"/>
    <n v="3136.42"/>
    <n v="2"/>
    <x v="5"/>
    <n v="1064.01"/>
    <x v="175"/>
    <x v="0"/>
    <x v="2"/>
  </r>
  <r>
    <s v="ORD-2475"/>
    <x v="101"/>
    <d v="2024-06-04T00:00:00"/>
    <x v="0"/>
    <x v="2"/>
    <x v="2"/>
    <x v="2"/>
    <n v="1777.51"/>
    <n v="3"/>
    <x v="5"/>
    <n v="531.24"/>
    <x v="12"/>
    <x v="1"/>
    <x v="7"/>
  </r>
  <r>
    <s v="ORD-2476"/>
    <x v="58"/>
    <d v="2024-08-28T00:00:00"/>
    <x v="3"/>
    <x v="0"/>
    <x v="7"/>
    <x v="24"/>
    <n v="1242.6300000000001"/>
    <n v="2"/>
    <x v="4"/>
    <n v="311.32"/>
    <x v="179"/>
    <x v="0"/>
    <x v="4"/>
  </r>
  <r>
    <s v="ORD-2477"/>
    <x v="338"/>
    <d v="2024-07-25T00:00:00"/>
    <x v="0"/>
    <x v="0"/>
    <x v="7"/>
    <x v="29"/>
    <n v="1081.75"/>
    <n v="15"/>
    <x v="4"/>
    <n v="182.92"/>
    <x v="61"/>
    <x v="0"/>
    <x v="10"/>
  </r>
  <r>
    <s v="ORD-2478"/>
    <x v="362"/>
    <d v="2024-02-12T00:00:00"/>
    <x v="2"/>
    <x v="1"/>
    <x v="4"/>
    <x v="4"/>
    <n v="3133.38"/>
    <n v="2"/>
    <x v="5"/>
    <n v="1086.22"/>
    <x v="232"/>
    <x v="2"/>
    <x v="8"/>
  </r>
  <r>
    <s v="ORD-2479"/>
    <x v="152"/>
    <d v="2024-12-08T00:00:00"/>
    <x v="0"/>
    <x v="1"/>
    <x v="3"/>
    <x v="26"/>
    <n v="914.64"/>
    <n v="7"/>
    <x v="1"/>
    <n v="-233.71"/>
    <x v="38"/>
    <x v="2"/>
    <x v="2"/>
  </r>
  <r>
    <s v="ORD-2480"/>
    <x v="90"/>
    <d v="2024-11-30T00:00:00"/>
    <x v="2"/>
    <x v="1"/>
    <x v="1"/>
    <x v="1"/>
    <n v="3741.56"/>
    <n v="9"/>
    <x v="4"/>
    <n v="925.05"/>
    <x v="36"/>
    <x v="0"/>
    <x v="0"/>
  </r>
  <r>
    <s v="ORD-2481"/>
    <x v="92"/>
    <d v="2024-08-02T00:00:00"/>
    <x v="2"/>
    <x v="1"/>
    <x v="4"/>
    <x v="11"/>
    <n v="1605.36"/>
    <n v="10"/>
    <x v="3"/>
    <n v="560.86"/>
    <x v="36"/>
    <x v="2"/>
    <x v="10"/>
  </r>
  <r>
    <s v="ORD-2482"/>
    <x v="0"/>
    <d v="2024-11-24T00:00:00"/>
    <x v="0"/>
    <x v="1"/>
    <x v="1"/>
    <x v="1"/>
    <n v="3825.95"/>
    <n v="3"/>
    <x v="3"/>
    <n v="-1299.07"/>
    <x v="183"/>
    <x v="1"/>
    <x v="0"/>
  </r>
  <r>
    <s v="ORD-2483"/>
    <x v="322"/>
    <d v="2024-08-24T00:00:00"/>
    <x v="0"/>
    <x v="0"/>
    <x v="6"/>
    <x v="8"/>
    <n v="2054.66"/>
    <n v="20"/>
    <x v="3"/>
    <n v="586.91"/>
    <x v="11"/>
    <x v="0"/>
    <x v="4"/>
  </r>
  <r>
    <s v="ORD-2484"/>
    <x v="40"/>
    <d v="2024-02-22T00:00:00"/>
    <x v="1"/>
    <x v="2"/>
    <x v="10"/>
    <x v="17"/>
    <n v="2969.93"/>
    <n v="20"/>
    <x v="1"/>
    <n v="1032.46"/>
    <x v="41"/>
    <x v="2"/>
    <x v="8"/>
  </r>
  <r>
    <s v="ORD-2485"/>
    <x v="260"/>
    <d v="2024-06-26T00:00:00"/>
    <x v="1"/>
    <x v="2"/>
    <x v="2"/>
    <x v="2"/>
    <n v="1525.68"/>
    <n v="13"/>
    <x v="5"/>
    <n v="123.69"/>
    <x v="60"/>
    <x v="1"/>
    <x v="6"/>
  </r>
  <r>
    <s v="ORD-2486"/>
    <x v="214"/>
    <d v="2024-07-28T00:00:00"/>
    <x v="1"/>
    <x v="1"/>
    <x v="4"/>
    <x v="4"/>
    <n v="3150.49"/>
    <n v="3"/>
    <x v="0"/>
    <n v="371.84"/>
    <x v="219"/>
    <x v="2"/>
    <x v="10"/>
  </r>
  <r>
    <s v="ORD-2487"/>
    <x v="306"/>
    <d v="2024-09-17T00:00:00"/>
    <x v="2"/>
    <x v="2"/>
    <x v="2"/>
    <x v="2"/>
    <n v="3624.89"/>
    <n v="2"/>
    <x v="5"/>
    <n v="385.78"/>
    <x v="3"/>
    <x v="1"/>
    <x v="9"/>
  </r>
  <r>
    <s v="ORD-2488"/>
    <x v="160"/>
    <d v="2024-01-14T00:00:00"/>
    <x v="3"/>
    <x v="2"/>
    <x v="8"/>
    <x v="23"/>
    <n v="3482.53"/>
    <n v="3"/>
    <x v="4"/>
    <n v="1054.8800000000001"/>
    <x v="49"/>
    <x v="1"/>
    <x v="5"/>
  </r>
  <r>
    <s v="ORD-2489"/>
    <x v="9"/>
    <d v="2024-10-15T00:00:00"/>
    <x v="1"/>
    <x v="2"/>
    <x v="9"/>
    <x v="30"/>
    <n v="3985.51"/>
    <n v="11"/>
    <x v="1"/>
    <n v="-946.49"/>
    <x v="52"/>
    <x v="1"/>
    <x v="1"/>
  </r>
  <r>
    <s v="ORD-2490"/>
    <x v="44"/>
    <d v="2024-11-27T00:00:00"/>
    <x v="1"/>
    <x v="2"/>
    <x v="9"/>
    <x v="27"/>
    <n v="396.02"/>
    <n v="4"/>
    <x v="1"/>
    <n v="131.37"/>
    <x v="58"/>
    <x v="0"/>
    <x v="0"/>
  </r>
  <r>
    <s v="ORD-2491"/>
    <x v="141"/>
    <d v="2024-03-15T00:00:00"/>
    <x v="2"/>
    <x v="1"/>
    <x v="3"/>
    <x v="26"/>
    <n v="3436.51"/>
    <n v="3"/>
    <x v="2"/>
    <n v="546.87"/>
    <x v="38"/>
    <x v="2"/>
    <x v="11"/>
  </r>
  <r>
    <s v="ORD-2492"/>
    <x v="256"/>
    <d v="2024-06-08T00:00:00"/>
    <x v="0"/>
    <x v="1"/>
    <x v="3"/>
    <x v="26"/>
    <n v="942.91"/>
    <n v="3"/>
    <x v="4"/>
    <n v="310.62"/>
    <x v="222"/>
    <x v="1"/>
    <x v="6"/>
  </r>
  <r>
    <s v="ORD-2493"/>
    <x v="213"/>
    <d v="2024-02-26T00:00:00"/>
    <x v="0"/>
    <x v="1"/>
    <x v="3"/>
    <x v="26"/>
    <n v="1443.67"/>
    <n v="4"/>
    <x v="4"/>
    <n v="321.83"/>
    <x v="165"/>
    <x v="2"/>
    <x v="8"/>
  </r>
  <r>
    <s v="ORD-2494"/>
    <x v="14"/>
    <d v="2024-02-13T00:00:00"/>
    <x v="0"/>
    <x v="2"/>
    <x v="2"/>
    <x v="33"/>
    <n v="3080.65"/>
    <n v="3"/>
    <x v="0"/>
    <n v="661.36"/>
    <x v="137"/>
    <x v="1"/>
    <x v="8"/>
  </r>
  <r>
    <s v="ORD-2495"/>
    <x v="188"/>
    <d v="2024-12-23T00:00:00"/>
    <x v="3"/>
    <x v="1"/>
    <x v="3"/>
    <x v="3"/>
    <n v="1419.6"/>
    <n v="14"/>
    <x v="1"/>
    <n v="351.17"/>
    <x v="74"/>
    <x v="0"/>
    <x v="2"/>
  </r>
  <r>
    <s v="ORD-2496"/>
    <x v="182"/>
    <d v="2024-01-29T00:00:00"/>
    <x v="0"/>
    <x v="1"/>
    <x v="4"/>
    <x v="11"/>
    <n v="650.61"/>
    <n v="16"/>
    <x v="1"/>
    <n v="124.11"/>
    <x v="0"/>
    <x v="0"/>
    <x v="5"/>
  </r>
  <r>
    <s v="ORD-2497"/>
    <x v="357"/>
    <d v="2024-10-05T00:00:00"/>
    <x v="3"/>
    <x v="1"/>
    <x v="4"/>
    <x v="11"/>
    <n v="557.53"/>
    <n v="6"/>
    <x v="4"/>
    <n v="136.34"/>
    <x v="130"/>
    <x v="1"/>
    <x v="1"/>
  </r>
  <r>
    <s v="ORD-2498"/>
    <x v="293"/>
    <d v="2024-02-23T00:00:00"/>
    <x v="2"/>
    <x v="1"/>
    <x v="4"/>
    <x v="11"/>
    <n v="885.14"/>
    <n v="17"/>
    <x v="4"/>
    <n v="-307.05"/>
    <x v="107"/>
    <x v="1"/>
    <x v="8"/>
  </r>
  <r>
    <s v="ORD-2499"/>
    <x v="350"/>
    <d v="2024-09-28T00:00:00"/>
    <x v="1"/>
    <x v="2"/>
    <x v="10"/>
    <x v="28"/>
    <n v="1861.46"/>
    <n v="20"/>
    <x v="0"/>
    <n v="309.99"/>
    <x v="26"/>
    <x v="1"/>
    <x v="9"/>
  </r>
  <r>
    <s v="ORD-2500"/>
    <x v="232"/>
    <d v="2024-06-03T00:00:00"/>
    <x v="1"/>
    <x v="2"/>
    <x v="9"/>
    <x v="30"/>
    <n v="1328.74"/>
    <n v="8"/>
    <x v="2"/>
    <n v="-407.71"/>
    <x v="126"/>
    <x v="1"/>
    <x v="7"/>
  </r>
  <r>
    <s v="ORD-2501"/>
    <x v="51"/>
    <d v="2024-08-07T00:00:00"/>
    <x v="2"/>
    <x v="1"/>
    <x v="1"/>
    <x v="10"/>
    <n v="2465.27"/>
    <n v="9"/>
    <x v="0"/>
    <n v="218.07"/>
    <x v="117"/>
    <x v="0"/>
    <x v="4"/>
  </r>
  <r>
    <s v="ORD-2502"/>
    <x v="209"/>
    <d v="2024-11-25T00:00:00"/>
    <x v="1"/>
    <x v="1"/>
    <x v="4"/>
    <x v="11"/>
    <n v="1115.71"/>
    <n v="8"/>
    <x v="0"/>
    <n v="-71.37"/>
    <x v="73"/>
    <x v="1"/>
    <x v="0"/>
  </r>
  <r>
    <s v="ORD-2503"/>
    <x v="338"/>
    <d v="2024-07-23T00:00:00"/>
    <x v="1"/>
    <x v="2"/>
    <x v="8"/>
    <x v="13"/>
    <n v="260.57"/>
    <n v="7"/>
    <x v="0"/>
    <n v="21.69"/>
    <x v="129"/>
    <x v="0"/>
    <x v="10"/>
  </r>
  <r>
    <s v="ORD-2504"/>
    <x v="253"/>
    <d v="2024-07-31T00:00:00"/>
    <x v="3"/>
    <x v="1"/>
    <x v="3"/>
    <x v="32"/>
    <n v="801.2"/>
    <n v="4"/>
    <x v="3"/>
    <n v="118.2"/>
    <x v="95"/>
    <x v="0"/>
    <x v="10"/>
  </r>
  <r>
    <s v="ORD-2505"/>
    <x v="87"/>
    <d v="2024-12-07T00:00:00"/>
    <x v="2"/>
    <x v="0"/>
    <x v="7"/>
    <x v="12"/>
    <n v="797.18"/>
    <n v="13"/>
    <x v="3"/>
    <n v="84.82"/>
    <x v="107"/>
    <x v="0"/>
    <x v="2"/>
  </r>
  <r>
    <s v="ORD-2506"/>
    <x v="37"/>
    <d v="2024-12-08T00:00:00"/>
    <x v="2"/>
    <x v="2"/>
    <x v="2"/>
    <x v="21"/>
    <n v="433.5"/>
    <n v="1"/>
    <x v="5"/>
    <n v="-81.96"/>
    <x v="169"/>
    <x v="2"/>
    <x v="2"/>
  </r>
  <r>
    <s v="ORD-2507"/>
    <x v="17"/>
    <d v="2024-02-07T00:00:00"/>
    <x v="3"/>
    <x v="1"/>
    <x v="3"/>
    <x v="3"/>
    <n v="3554.9"/>
    <n v="5"/>
    <x v="3"/>
    <n v="475.64"/>
    <x v="228"/>
    <x v="1"/>
    <x v="5"/>
  </r>
  <r>
    <s v="ORD-2508"/>
    <x v="74"/>
    <d v="2024-01-15T00:00:00"/>
    <x v="0"/>
    <x v="0"/>
    <x v="6"/>
    <x v="7"/>
    <n v="1386.98"/>
    <n v="8"/>
    <x v="5"/>
    <n v="152.94999999999999"/>
    <x v="82"/>
    <x v="0"/>
    <x v="5"/>
  </r>
  <r>
    <s v="ORD-2509"/>
    <x v="336"/>
    <d v="2024-09-07T00:00:00"/>
    <x v="3"/>
    <x v="1"/>
    <x v="3"/>
    <x v="32"/>
    <n v="1892.98"/>
    <n v="5"/>
    <x v="1"/>
    <n v="538.17999999999995"/>
    <x v="3"/>
    <x v="2"/>
    <x v="9"/>
  </r>
  <r>
    <s v="ORD-2510"/>
    <x v="234"/>
    <d v="2024-07-18T00:00:00"/>
    <x v="1"/>
    <x v="1"/>
    <x v="3"/>
    <x v="26"/>
    <n v="2207.61"/>
    <n v="4"/>
    <x v="3"/>
    <n v="681.27"/>
    <x v="118"/>
    <x v="2"/>
    <x v="10"/>
  </r>
  <r>
    <s v="ORD-2511"/>
    <x v="99"/>
    <d v="2024-06-13T00:00:00"/>
    <x v="0"/>
    <x v="1"/>
    <x v="4"/>
    <x v="11"/>
    <n v="1154.5999999999999"/>
    <n v="10"/>
    <x v="3"/>
    <n v="338.2"/>
    <x v="12"/>
    <x v="2"/>
    <x v="6"/>
  </r>
  <r>
    <s v="ORD-2512"/>
    <x v="102"/>
    <d v="2024-12-10T00:00:00"/>
    <x v="2"/>
    <x v="0"/>
    <x v="5"/>
    <x v="18"/>
    <n v="3844.83"/>
    <n v="11"/>
    <x v="0"/>
    <n v="1080.04"/>
    <x v="48"/>
    <x v="0"/>
    <x v="2"/>
  </r>
  <r>
    <s v="ORD-2513"/>
    <x v="305"/>
    <d v="2024-06-23T00:00:00"/>
    <x v="2"/>
    <x v="1"/>
    <x v="1"/>
    <x v="1"/>
    <n v="2997.32"/>
    <n v="14"/>
    <x v="3"/>
    <n v="775.73"/>
    <x v="142"/>
    <x v="0"/>
    <x v="6"/>
  </r>
  <r>
    <s v="ORD-2514"/>
    <x v="125"/>
    <d v="2024-04-18T00:00:00"/>
    <x v="3"/>
    <x v="1"/>
    <x v="3"/>
    <x v="25"/>
    <n v="2592.3200000000002"/>
    <n v="8"/>
    <x v="3"/>
    <n v="165.24"/>
    <x v="85"/>
    <x v="2"/>
    <x v="3"/>
  </r>
  <r>
    <s v="ORD-2515"/>
    <x v="297"/>
    <d v="2024-09-01T00:00:00"/>
    <x v="3"/>
    <x v="2"/>
    <x v="10"/>
    <x v="17"/>
    <n v="3840.63"/>
    <n v="1"/>
    <x v="0"/>
    <n v="279.91000000000003"/>
    <x v="221"/>
    <x v="2"/>
    <x v="4"/>
  </r>
  <r>
    <s v="ORD-2516"/>
    <x v="141"/>
    <d v="2024-03-14T00:00:00"/>
    <x v="2"/>
    <x v="1"/>
    <x v="1"/>
    <x v="10"/>
    <n v="1796.35"/>
    <n v="3"/>
    <x v="1"/>
    <n v="456.79"/>
    <x v="96"/>
    <x v="0"/>
    <x v="11"/>
  </r>
  <r>
    <s v="ORD-2517"/>
    <x v="282"/>
    <d v="2024-08-15T00:00:00"/>
    <x v="1"/>
    <x v="0"/>
    <x v="7"/>
    <x v="29"/>
    <n v="1640.79"/>
    <n v="2"/>
    <x v="3"/>
    <n v="87.8"/>
    <x v="185"/>
    <x v="0"/>
    <x v="4"/>
  </r>
  <r>
    <s v="ORD-2518"/>
    <x v="196"/>
    <d v="2024-03-06T00:00:00"/>
    <x v="2"/>
    <x v="1"/>
    <x v="1"/>
    <x v="10"/>
    <n v="3713.38"/>
    <n v="20"/>
    <x v="1"/>
    <n v="289.83999999999997"/>
    <x v="84"/>
    <x v="0"/>
    <x v="11"/>
  </r>
  <r>
    <s v="ORD-2519"/>
    <x v="70"/>
    <d v="2024-11-05T00:00:00"/>
    <x v="0"/>
    <x v="2"/>
    <x v="2"/>
    <x v="33"/>
    <n v="876.39"/>
    <n v="1"/>
    <x v="5"/>
    <n v="258.64"/>
    <x v="122"/>
    <x v="1"/>
    <x v="0"/>
  </r>
  <r>
    <s v="ORD-2520"/>
    <x v="179"/>
    <d v="2024-08-03T00:00:00"/>
    <x v="0"/>
    <x v="1"/>
    <x v="4"/>
    <x v="11"/>
    <n v="3718.04"/>
    <n v="9"/>
    <x v="1"/>
    <n v="662.3"/>
    <x v="156"/>
    <x v="0"/>
    <x v="10"/>
  </r>
  <r>
    <s v="ORD-2521"/>
    <x v="201"/>
    <d v="2024-07-08T00:00:00"/>
    <x v="1"/>
    <x v="1"/>
    <x v="4"/>
    <x v="11"/>
    <n v="3927.64"/>
    <n v="19"/>
    <x v="1"/>
    <n v="982.65"/>
    <x v="209"/>
    <x v="1"/>
    <x v="10"/>
  </r>
  <r>
    <s v="ORD-2522"/>
    <x v="252"/>
    <d v="2024-03-24T00:00:00"/>
    <x v="0"/>
    <x v="0"/>
    <x v="7"/>
    <x v="29"/>
    <n v="3352.29"/>
    <n v="7"/>
    <x v="4"/>
    <n v="-464.29"/>
    <x v="47"/>
    <x v="2"/>
    <x v="11"/>
  </r>
  <r>
    <s v="ORD-2523"/>
    <x v="257"/>
    <d v="2024-08-21T00:00:00"/>
    <x v="1"/>
    <x v="1"/>
    <x v="1"/>
    <x v="20"/>
    <n v="3670.9"/>
    <n v="7"/>
    <x v="3"/>
    <n v="874.19"/>
    <x v="194"/>
    <x v="1"/>
    <x v="4"/>
  </r>
  <r>
    <s v="ORD-2524"/>
    <x v="256"/>
    <d v="2024-06-08T00:00:00"/>
    <x v="1"/>
    <x v="0"/>
    <x v="5"/>
    <x v="18"/>
    <n v="2026.49"/>
    <n v="1"/>
    <x v="4"/>
    <n v="329.02"/>
    <x v="155"/>
    <x v="0"/>
    <x v="6"/>
  </r>
  <r>
    <s v="ORD-2525"/>
    <x v="55"/>
    <d v="2024-12-22T00:00:00"/>
    <x v="0"/>
    <x v="1"/>
    <x v="1"/>
    <x v="1"/>
    <n v="524.54999999999995"/>
    <n v="14"/>
    <x v="1"/>
    <n v="94.62"/>
    <x v="200"/>
    <x v="2"/>
    <x v="2"/>
  </r>
  <r>
    <s v="ORD-2526"/>
    <x v="363"/>
    <d v="2024-03-30T00:00:00"/>
    <x v="3"/>
    <x v="2"/>
    <x v="10"/>
    <x v="28"/>
    <n v="3826.07"/>
    <n v="14"/>
    <x v="4"/>
    <n v="892.56"/>
    <x v="92"/>
    <x v="0"/>
    <x v="11"/>
  </r>
  <r>
    <s v="ORD-2527"/>
    <x v="20"/>
    <d v="2024-05-27T00:00:00"/>
    <x v="3"/>
    <x v="0"/>
    <x v="7"/>
    <x v="12"/>
    <n v="3243.63"/>
    <n v="1"/>
    <x v="4"/>
    <n v="557.08000000000004"/>
    <x v="134"/>
    <x v="1"/>
    <x v="7"/>
  </r>
  <r>
    <s v="ORD-2528"/>
    <x v="264"/>
    <d v="2024-10-08T00:00:00"/>
    <x v="0"/>
    <x v="0"/>
    <x v="5"/>
    <x v="5"/>
    <n v="725.42"/>
    <n v="2"/>
    <x v="4"/>
    <n v="196.66"/>
    <x v="207"/>
    <x v="2"/>
    <x v="1"/>
  </r>
  <r>
    <s v="ORD-2529"/>
    <x v="31"/>
    <d v="2024-03-05T00:00:00"/>
    <x v="2"/>
    <x v="0"/>
    <x v="7"/>
    <x v="29"/>
    <n v="2192.33"/>
    <n v="18"/>
    <x v="4"/>
    <n v="635.08000000000004"/>
    <x v="186"/>
    <x v="2"/>
    <x v="8"/>
  </r>
  <r>
    <s v="ORD-2530"/>
    <x v="86"/>
    <d v="2024-01-27T00:00:00"/>
    <x v="1"/>
    <x v="0"/>
    <x v="5"/>
    <x v="19"/>
    <n v="2219.0300000000002"/>
    <n v="3"/>
    <x v="3"/>
    <n v="284.79000000000002"/>
    <x v="156"/>
    <x v="2"/>
    <x v="5"/>
  </r>
  <r>
    <s v="ORD-2531"/>
    <x v="150"/>
    <d v="2024-04-01T00:00:00"/>
    <x v="2"/>
    <x v="2"/>
    <x v="10"/>
    <x v="28"/>
    <n v="3260.76"/>
    <n v="8"/>
    <x v="0"/>
    <n v="785.43"/>
    <x v="54"/>
    <x v="0"/>
    <x v="3"/>
  </r>
  <r>
    <s v="ORD-2532"/>
    <x v="327"/>
    <d v="2024-11-22T00:00:00"/>
    <x v="0"/>
    <x v="2"/>
    <x v="8"/>
    <x v="13"/>
    <n v="3100.52"/>
    <n v="15"/>
    <x v="4"/>
    <n v="788.78"/>
    <x v="93"/>
    <x v="0"/>
    <x v="0"/>
  </r>
  <r>
    <s v="ORD-2533"/>
    <x v="144"/>
    <d v="2024-06-21T00:00:00"/>
    <x v="0"/>
    <x v="1"/>
    <x v="1"/>
    <x v="20"/>
    <n v="2840.81"/>
    <n v="1"/>
    <x v="1"/>
    <n v="416.89"/>
    <x v="23"/>
    <x v="0"/>
    <x v="6"/>
  </r>
  <r>
    <s v="ORD-2534"/>
    <x v="44"/>
    <d v="2024-11-23T00:00:00"/>
    <x v="0"/>
    <x v="0"/>
    <x v="7"/>
    <x v="24"/>
    <n v="3824.08"/>
    <n v="4"/>
    <x v="5"/>
    <n v="1090.23"/>
    <x v="190"/>
    <x v="1"/>
    <x v="0"/>
  </r>
  <r>
    <s v="ORD-2535"/>
    <x v="97"/>
    <d v="2024-07-09T00:00:00"/>
    <x v="0"/>
    <x v="0"/>
    <x v="7"/>
    <x v="24"/>
    <n v="1423.17"/>
    <n v="4"/>
    <x v="2"/>
    <n v="346.8"/>
    <x v="162"/>
    <x v="0"/>
    <x v="10"/>
  </r>
  <r>
    <s v="ORD-2536"/>
    <x v="288"/>
    <d v="2024-05-15T00:00:00"/>
    <x v="0"/>
    <x v="0"/>
    <x v="7"/>
    <x v="12"/>
    <n v="2755.54"/>
    <n v="18"/>
    <x v="5"/>
    <n v="375.18"/>
    <x v="94"/>
    <x v="2"/>
    <x v="7"/>
  </r>
  <r>
    <s v="ORD-2537"/>
    <x v="107"/>
    <d v="2024-02-11T00:00:00"/>
    <x v="1"/>
    <x v="2"/>
    <x v="8"/>
    <x v="23"/>
    <n v="1672.92"/>
    <n v="2"/>
    <x v="2"/>
    <n v="-301.81"/>
    <x v="197"/>
    <x v="0"/>
    <x v="8"/>
  </r>
  <r>
    <s v="ORD-2538"/>
    <x v="70"/>
    <d v="2024-11-02T00:00:00"/>
    <x v="0"/>
    <x v="0"/>
    <x v="0"/>
    <x v="0"/>
    <n v="1667.11"/>
    <n v="11"/>
    <x v="1"/>
    <n v="264.14"/>
    <x v="101"/>
    <x v="1"/>
    <x v="0"/>
  </r>
  <r>
    <s v="ORD-2539"/>
    <x v="198"/>
    <d v="2024-09-30T00:00:00"/>
    <x v="2"/>
    <x v="2"/>
    <x v="8"/>
    <x v="16"/>
    <n v="1798.65"/>
    <n v="9"/>
    <x v="2"/>
    <n v="212.88"/>
    <x v="21"/>
    <x v="1"/>
    <x v="9"/>
  </r>
  <r>
    <s v="ORD-2540"/>
    <x v="152"/>
    <d v="2024-12-04T00:00:00"/>
    <x v="3"/>
    <x v="2"/>
    <x v="10"/>
    <x v="17"/>
    <n v="2986"/>
    <n v="18"/>
    <x v="0"/>
    <n v="184.57"/>
    <x v="87"/>
    <x v="2"/>
    <x v="2"/>
  </r>
  <r>
    <s v="ORD-2541"/>
    <x v="361"/>
    <d v="2024-07-30T00:00:00"/>
    <x v="1"/>
    <x v="2"/>
    <x v="9"/>
    <x v="30"/>
    <n v="1581.54"/>
    <n v="1"/>
    <x v="2"/>
    <n v="448.5"/>
    <x v="72"/>
    <x v="1"/>
    <x v="10"/>
  </r>
  <r>
    <s v="ORD-2542"/>
    <x v="79"/>
    <d v="2024-09-28T00:00:00"/>
    <x v="1"/>
    <x v="1"/>
    <x v="1"/>
    <x v="10"/>
    <n v="3257.48"/>
    <n v="4"/>
    <x v="5"/>
    <n v="409.94"/>
    <x v="231"/>
    <x v="2"/>
    <x v="9"/>
  </r>
  <r>
    <s v="ORD-2543"/>
    <x v="202"/>
    <d v="2024-10-11T00:00:00"/>
    <x v="3"/>
    <x v="0"/>
    <x v="0"/>
    <x v="0"/>
    <n v="2303.04"/>
    <n v="16"/>
    <x v="5"/>
    <n v="723.47"/>
    <x v="8"/>
    <x v="2"/>
    <x v="1"/>
  </r>
  <r>
    <s v="ORD-2544"/>
    <x v="298"/>
    <d v="2024-04-15T00:00:00"/>
    <x v="1"/>
    <x v="0"/>
    <x v="5"/>
    <x v="19"/>
    <n v="1254.25"/>
    <n v="5"/>
    <x v="0"/>
    <n v="87.37"/>
    <x v="72"/>
    <x v="2"/>
    <x v="3"/>
  </r>
  <r>
    <s v="ORD-2545"/>
    <x v="239"/>
    <d v="2024-11-16T00:00:00"/>
    <x v="1"/>
    <x v="0"/>
    <x v="0"/>
    <x v="22"/>
    <n v="1365.95"/>
    <n v="1"/>
    <x v="4"/>
    <n v="428.68"/>
    <x v="122"/>
    <x v="1"/>
    <x v="0"/>
  </r>
  <r>
    <s v="ORD-2546"/>
    <x v="228"/>
    <d v="2024-03-12T00:00:00"/>
    <x v="2"/>
    <x v="1"/>
    <x v="1"/>
    <x v="10"/>
    <n v="3852.9"/>
    <n v="9"/>
    <x v="1"/>
    <n v="-726.62"/>
    <x v="128"/>
    <x v="2"/>
    <x v="11"/>
  </r>
  <r>
    <s v="ORD-2547"/>
    <x v="163"/>
    <d v="2024-07-22T00:00:00"/>
    <x v="2"/>
    <x v="1"/>
    <x v="3"/>
    <x v="26"/>
    <n v="3091.22"/>
    <n v="2"/>
    <x v="4"/>
    <n v="528.54999999999995"/>
    <x v="44"/>
    <x v="0"/>
    <x v="10"/>
  </r>
  <r>
    <s v="ORD-2548"/>
    <x v="236"/>
    <d v="2024-12-16T00:00:00"/>
    <x v="3"/>
    <x v="0"/>
    <x v="7"/>
    <x v="24"/>
    <n v="968.77"/>
    <n v="1"/>
    <x v="0"/>
    <n v="73.03"/>
    <x v="220"/>
    <x v="0"/>
    <x v="2"/>
  </r>
  <r>
    <s v="ORD-2549"/>
    <x v="179"/>
    <d v="2024-08-02T00:00:00"/>
    <x v="3"/>
    <x v="0"/>
    <x v="5"/>
    <x v="18"/>
    <n v="2990.43"/>
    <n v="12"/>
    <x v="4"/>
    <n v="648.41"/>
    <x v="216"/>
    <x v="2"/>
    <x v="10"/>
  </r>
  <r>
    <s v="ORD-2550"/>
    <x v="150"/>
    <d v="2024-04-05T00:00:00"/>
    <x v="3"/>
    <x v="0"/>
    <x v="7"/>
    <x v="24"/>
    <n v="2537.86"/>
    <n v="2"/>
    <x v="0"/>
    <n v="-650.9"/>
    <x v="45"/>
    <x v="2"/>
    <x v="3"/>
  </r>
  <r>
    <s v="ORD-2551"/>
    <x v="341"/>
    <d v="2024-12-17T00:00:00"/>
    <x v="3"/>
    <x v="1"/>
    <x v="1"/>
    <x v="1"/>
    <n v="1033.51"/>
    <n v="12"/>
    <x v="4"/>
    <n v="308.56"/>
    <x v="183"/>
    <x v="0"/>
    <x v="2"/>
  </r>
  <r>
    <s v="ORD-2552"/>
    <x v="26"/>
    <d v="2024-06-11T00:00:00"/>
    <x v="2"/>
    <x v="0"/>
    <x v="7"/>
    <x v="29"/>
    <n v="3272.3"/>
    <n v="3"/>
    <x v="1"/>
    <n v="861.9"/>
    <x v="235"/>
    <x v="0"/>
    <x v="6"/>
  </r>
  <r>
    <s v="ORD-2553"/>
    <x v="46"/>
    <d v="2024-08-27T00:00:00"/>
    <x v="0"/>
    <x v="0"/>
    <x v="7"/>
    <x v="29"/>
    <n v="2474.94"/>
    <n v="7"/>
    <x v="5"/>
    <n v="284.7"/>
    <x v="167"/>
    <x v="2"/>
    <x v="4"/>
  </r>
  <r>
    <s v="ORD-2554"/>
    <x v="346"/>
    <d v="2024-06-17T00:00:00"/>
    <x v="0"/>
    <x v="2"/>
    <x v="8"/>
    <x v="13"/>
    <n v="538.15"/>
    <n v="3"/>
    <x v="2"/>
    <n v="149.82"/>
    <x v="86"/>
    <x v="2"/>
    <x v="6"/>
  </r>
  <r>
    <s v="ORD-2555"/>
    <x v="311"/>
    <d v="2024-06-22T00:00:00"/>
    <x v="0"/>
    <x v="2"/>
    <x v="9"/>
    <x v="30"/>
    <n v="2951.07"/>
    <n v="17"/>
    <x v="1"/>
    <n v="157"/>
    <x v="4"/>
    <x v="2"/>
    <x v="6"/>
  </r>
  <r>
    <s v="ORD-2556"/>
    <x v="219"/>
    <d v="2024-01-14T00:00:00"/>
    <x v="0"/>
    <x v="2"/>
    <x v="9"/>
    <x v="14"/>
    <n v="2311.5300000000002"/>
    <n v="20"/>
    <x v="2"/>
    <n v="756.56"/>
    <x v="83"/>
    <x v="2"/>
    <x v="5"/>
  </r>
  <r>
    <s v="ORD-2557"/>
    <x v="249"/>
    <d v="2024-07-17T00:00:00"/>
    <x v="2"/>
    <x v="0"/>
    <x v="6"/>
    <x v="7"/>
    <n v="2984.73"/>
    <n v="20"/>
    <x v="1"/>
    <n v="1009.17"/>
    <x v="118"/>
    <x v="2"/>
    <x v="10"/>
  </r>
  <r>
    <s v="ORD-2558"/>
    <x v="225"/>
    <d v="2024-01-05T00:00:00"/>
    <x v="2"/>
    <x v="2"/>
    <x v="2"/>
    <x v="2"/>
    <n v="3572.06"/>
    <n v="3"/>
    <x v="3"/>
    <n v="825.53"/>
    <x v="237"/>
    <x v="2"/>
    <x v="5"/>
  </r>
  <r>
    <s v="ORD-2559"/>
    <x v="79"/>
    <d v="2024-09-30T00:00:00"/>
    <x v="0"/>
    <x v="0"/>
    <x v="0"/>
    <x v="0"/>
    <n v="1117.56"/>
    <n v="17"/>
    <x v="5"/>
    <n v="-170.86"/>
    <x v="2"/>
    <x v="2"/>
    <x v="9"/>
  </r>
  <r>
    <s v="ORD-2560"/>
    <x v="285"/>
    <d v="2024-03-18T00:00:00"/>
    <x v="1"/>
    <x v="1"/>
    <x v="4"/>
    <x v="11"/>
    <n v="3781"/>
    <n v="20"/>
    <x v="2"/>
    <n v="-762.84"/>
    <x v="66"/>
    <x v="0"/>
    <x v="11"/>
  </r>
  <r>
    <s v="ORD-2561"/>
    <x v="322"/>
    <d v="2024-08-23T00:00:00"/>
    <x v="3"/>
    <x v="2"/>
    <x v="9"/>
    <x v="14"/>
    <n v="595.84"/>
    <n v="2"/>
    <x v="0"/>
    <n v="163.13999999999999"/>
    <x v="205"/>
    <x v="1"/>
    <x v="4"/>
  </r>
  <r>
    <s v="ORD-2562"/>
    <x v="228"/>
    <d v="2024-03-13T00:00:00"/>
    <x v="0"/>
    <x v="2"/>
    <x v="8"/>
    <x v="23"/>
    <n v="1141.18"/>
    <n v="13"/>
    <x v="5"/>
    <n v="206.11"/>
    <x v="114"/>
    <x v="2"/>
    <x v="11"/>
  </r>
  <r>
    <s v="ORD-2563"/>
    <x v="5"/>
    <d v="2024-01-25T00:00:00"/>
    <x v="0"/>
    <x v="0"/>
    <x v="7"/>
    <x v="24"/>
    <n v="3176.15"/>
    <n v="1"/>
    <x v="1"/>
    <n v="1058.1500000000001"/>
    <x v="133"/>
    <x v="0"/>
    <x v="5"/>
  </r>
  <r>
    <s v="ORD-2564"/>
    <x v="308"/>
    <d v="2024-02-01T00:00:00"/>
    <x v="3"/>
    <x v="2"/>
    <x v="9"/>
    <x v="30"/>
    <n v="581.41999999999996"/>
    <n v="1"/>
    <x v="5"/>
    <n v="55.93"/>
    <x v="203"/>
    <x v="1"/>
    <x v="5"/>
  </r>
  <r>
    <s v="ORD-2565"/>
    <x v="240"/>
    <d v="2024-06-16T00:00:00"/>
    <x v="0"/>
    <x v="1"/>
    <x v="1"/>
    <x v="10"/>
    <n v="3615.6"/>
    <n v="12"/>
    <x v="1"/>
    <n v="1067.3900000000001"/>
    <x v="146"/>
    <x v="2"/>
    <x v="6"/>
  </r>
  <r>
    <s v="ORD-2566"/>
    <x v="353"/>
    <d v="2024-04-09T00:00:00"/>
    <x v="0"/>
    <x v="2"/>
    <x v="9"/>
    <x v="27"/>
    <n v="3111.44"/>
    <n v="5"/>
    <x v="2"/>
    <n v="352.39"/>
    <x v="178"/>
    <x v="2"/>
    <x v="3"/>
  </r>
  <r>
    <s v="ORD-2567"/>
    <x v="22"/>
    <d v="2024-05-19T00:00:00"/>
    <x v="0"/>
    <x v="1"/>
    <x v="1"/>
    <x v="10"/>
    <n v="3611.35"/>
    <n v="1"/>
    <x v="2"/>
    <n v="1247.8800000000001"/>
    <x v="227"/>
    <x v="1"/>
    <x v="7"/>
  </r>
  <r>
    <s v="ORD-2568"/>
    <x v="260"/>
    <d v="2024-06-28T00:00:00"/>
    <x v="1"/>
    <x v="2"/>
    <x v="10"/>
    <x v="17"/>
    <n v="422.95"/>
    <n v="8"/>
    <x v="0"/>
    <n v="68.64"/>
    <x v="166"/>
    <x v="2"/>
    <x v="6"/>
  </r>
  <r>
    <s v="ORD-2569"/>
    <x v="19"/>
    <d v="2024-01-29T00:00:00"/>
    <x v="3"/>
    <x v="2"/>
    <x v="8"/>
    <x v="13"/>
    <n v="3333.46"/>
    <n v="17"/>
    <x v="3"/>
    <n v="1159.9000000000001"/>
    <x v="98"/>
    <x v="0"/>
    <x v="5"/>
  </r>
  <r>
    <s v="ORD-2570"/>
    <x v="332"/>
    <d v="2024-02-07T00:00:00"/>
    <x v="3"/>
    <x v="0"/>
    <x v="7"/>
    <x v="29"/>
    <n v="2929.95"/>
    <n v="15"/>
    <x v="3"/>
    <n v="658.86"/>
    <x v="185"/>
    <x v="1"/>
    <x v="8"/>
  </r>
  <r>
    <s v="ORD-2571"/>
    <x v="70"/>
    <d v="2024-11-08T00:00:00"/>
    <x v="2"/>
    <x v="0"/>
    <x v="0"/>
    <x v="22"/>
    <n v="586.21"/>
    <n v="17"/>
    <x v="3"/>
    <n v="54.84"/>
    <x v="142"/>
    <x v="1"/>
    <x v="0"/>
  </r>
  <r>
    <s v="ORD-2572"/>
    <x v="77"/>
    <d v="2024-10-29T00:00:00"/>
    <x v="1"/>
    <x v="1"/>
    <x v="3"/>
    <x v="3"/>
    <n v="1354.03"/>
    <n v="17"/>
    <x v="3"/>
    <n v="299.02999999999997"/>
    <x v="180"/>
    <x v="1"/>
    <x v="1"/>
  </r>
  <r>
    <s v="ORD-2573"/>
    <x v="298"/>
    <d v="2024-04-11T00:00:00"/>
    <x v="1"/>
    <x v="1"/>
    <x v="1"/>
    <x v="1"/>
    <n v="1354.12"/>
    <n v="5"/>
    <x v="5"/>
    <n v="231.91"/>
    <x v="123"/>
    <x v="0"/>
    <x v="3"/>
  </r>
  <r>
    <s v="ORD-2574"/>
    <x v="308"/>
    <d v="2024-02-04T00:00:00"/>
    <x v="0"/>
    <x v="0"/>
    <x v="6"/>
    <x v="15"/>
    <n v="1742.48"/>
    <n v="4"/>
    <x v="5"/>
    <n v="486.39"/>
    <x v="0"/>
    <x v="2"/>
    <x v="5"/>
  </r>
  <r>
    <s v="ORD-2575"/>
    <x v="100"/>
    <d v="2024-01-23T00:00:00"/>
    <x v="1"/>
    <x v="0"/>
    <x v="7"/>
    <x v="24"/>
    <n v="2356.2199999999998"/>
    <n v="8"/>
    <x v="2"/>
    <n v="546.69000000000005"/>
    <x v="137"/>
    <x v="2"/>
    <x v="5"/>
  </r>
  <r>
    <s v="ORD-2576"/>
    <x v="37"/>
    <d v="2024-12-10T00:00:00"/>
    <x v="1"/>
    <x v="0"/>
    <x v="7"/>
    <x v="12"/>
    <n v="3614"/>
    <n v="1"/>
    <x v="3"/>
    <n v="1078.43"/>
    <x v="93"/>
    <x v="1"/>
    <x v="2"/>
  </r>
  <r>
    <s v="ORD-2577"/>
    <x v="361"/>
    <d v="2024-07-28T00:00:00"/>
    <x v="1"/>
    <x v="0"/>
    <x v="6"/>
    <x v="7"/>
    <n v="362.27"/>
    <n v="5"/>
    <x v="5"/>
    <n v="82.29"/>
    <x v="64"/>
    <x v="0"/>
    <x v="10"/>
  </r>
  <r>
    <s v="ORD-2578"/>
    <x v="89"/>
    <d v="2024-12-14T00:00:00"/>
    <x v="2"/>
    <x v="0"/>
    <x v="0"/>
    <x v="9"/>
    <n v="3188.5"/>
    <n v="13"/>
    <x v="2"/>
    <n v="521.28"/>
    <x v="207"/>
    <x v="0"/>
    <x v="2"/>
  </r>
  <r>
    <s v="ORD-2579"/>
    <x v="65"/>
    <d v="2024-02-10T00:00:00"/>
    <x v="0"/>
    <x v="0"/>
    <x v="6"/>
    <x v="6"/>
    <n v="618.45000000000005"/>
    <n v="5"/>
    <x v="4"/>
    <n v="180.69"/>
    <x v="183"/>
    <x v="0"/>
    <x v="8"/>
  </r>
  <r>
    <s v="ORD-2580"/>
    <x v="144"/>
    <d v="2024-06-22T00:00:00"/>
    <x v="3"/>
    <x v="1"/>
    <x v="3"/>
    <x v="25"/>
    <n v="2280.5100000000002"/>
    <n v="8"/>
    <x v="2"/>
    <n v="658.81"/>
    <x v="25"/>
    <x v="2"/>
    <x v="6"/>
  </r>
  <r>
    <s v="ORD-2581"/>
    <x v="241"/>
    <d v="2024-09-21T00:00:00"/>
    <x v="0"/>
    <x v="1"/>
    <x v="1"/>
    <x v="10"/>
    <n v="3071.25"/>
    <n v="1"/>
    <x v="1"/>
    <n v="768.78"/>
    <x v="171"/>
    <x v="0"/>
    <x v="9"/>
  </r>
  <r>
    <s v="ORD-2582"/>
    <x v="218"/>
    <d v="2024-11-09T00:00:00"/>
    <x v="2"/>
    <x v="1"/>
    <x v="1"/>
    <x v="1"/>
    <n v="3376.41"/>
    <n v="13"/>
    <x v="2"/>
    <n v="-373.49"/>
    <x v="208"/>
    <x v="0"/>
    <x v="0"/>
  </r>
  <r>
    <s v="ORD-2583"/>
    <x v="62"/>
    <d v="2024-04-13T00:00:00"/>
    <x v="0"/>
    <x v="1"/>
    <x v="1"/>
    <x v="10"/>
    <n v="2229.3000000000002"/>
    <n v="20"/>
    <x v="0"/>
    <n v="298.22000000000003"/>
    <x v="207"/>
    <x v="1"/>
    <x v="3"/>
  </r>
  <r>
    <s v="ORD-2584"/>
    <x v="15"/>
    <d v="2024-11-07T00:00:00"/>
    <x v="3"/>
    <x v="1"/>
    <x v="3"/>
    <x v="25"/>
    <n v="3151.2"/>
    <n v="17"/>
    <x v="4"/>
    <n v="981.76"/>
    <x v="174"/>
    <x v="1"/>
    <x v="0"/>
  </r>
  <r>
    <s v="ORD-2585"/>
    <x v="209"/>
    <d v="2024-11-30T00:00:00"/>
    <x v="1"/>
    <x v="1"/>
    <x v="4"/>
    <x v="4"/>
    <n v="1076.92"/>
    <n v="9"/>
    <x v="3"/>
    <n v="59.28"/>
    <x v="82"/>
    <x v="1"/>
    <x v="0"/>
  </r>
  <r>
    <s v="ORD-2586"/>
    <x v="39"/>
    <d v="2024-08-18T00:00:00"/>
    <x v="2"/>
    <x v="1"/>
    <x v="1"/>
    <x v="20"/>
    <n v="3785.99"/>
    <n v="5"/>
    <x v="0"/>
    <n v="647.27"/>
    <x v="128"/>
    <x v="2"/>
    <x v="4"/>
  </r>
  <r>
    <s v="ORD-2587"/>
    <x v="246"/>
    <d v="2024-12-11T00:00:00"/>
    <x v="1"/>
    <x v="2"/>
    <x v="8"/>
    <x v="13"/>
    <n v="3245"/>
    <n v="16"/>
    <x v="0"/>
    <n v="771.07"/>
    <x v="48"/>
    <x v="2"/>
    <x v="2"/>
  </r>
  <r>
    <s v="ORD-2588"/>
    <x v="234"/>
    <d v="2024-07-15T00:00:00"/>
    <x v="1"/>
    <x v="0"/>
    <x v="5"/>
    <x v="19"/>
    <n v="335.26"/>
    <n v="17"/>
    <x v="0"/>
    <n v="-70.42"/>
    <x v="135"/>
    <x v="0"/>
    <x v="10"/>
  </r>
  <r>
    <s v="ORD-2589"/>
    <x v="298"/>
    <d v="2024-04-12T00:00:00"/>
    <x v="1"/>
    <x v="2"/>
    <x v="10"/>
    <x v="28"/>
    <n v="3764.66"/>
    <n v="11"/>
    <x v="3"/>
    <n v="995.66"/>
    <x v="135"/>
    <x v="2"/>
    <x v="3"/>
  </r>
  <r>
    <s v="ORD-2590"/>
    <x v="351"/>
    <d v="2024-07-01T00:00:00"/>
    <x v="0"/>
    <x v="2"/>
    <x v="8"/>
    <x v="23"/>
    <n v="289.91000000000003"/>
    <n v="6"/>
    <x v="0"/>
    <n v="23.34"/>
    <x v="60"/>
    <x v="2"/>
    <x v="6"/>
  </r>
  <r>
    <s v="ORD-2591"/>
    <x v="13"/>
    <d v="2024-01-07T00:00:00"/>
    <x v="0"/>
    <x v="1"/>
    <x v="3"/>
    <x v="32"/>
    <n v="3344.38"/>
    <n v="11"/>
    <x v="4"/>
    <n v="636.5"/>
    <x v="28"/>
    <x v="2"/>
    <x v="5"/>
  </r>
  <r>
    <s v="ORD-2592"/>
    <x v="351"/>
    <d v="2024-07-01T00:00:00"/>
    <x v="0"/>
    <x v="1"/>
    <x v="1"/>
    <x v="10"/>
    <n v="528.76"/>
    <n v="18"/>
    <x v="3"/>
    <n v="75.150000000000006"/>
    <x v="31"/>
    <x v="0"/>
    <x v="6"/>
  </r>
  <r>
    <s v="ORD-2593"/>
    <x v="222"/>
    <d v="2024-04-01T00:00:00"/>
    <x v="0"/>
    <x v="1"/>
    <x v="3"/>
    <x v="26"/>
    <n v="2163.5100000000002"/>
    <n v="4"/>
    <x v="5"/>
    <n v="286.92"/>
    <x v="53"/>
    <x v="2"/>
    <x v="11"/>
  </r>
  <r>
    <s v="ORD-2594"/>
    <x v="21"/>
    <d v="2024-05-08T00:00:00"/>
    <x v="1"/>
    <x v="0"/>
    <x v="0"/>
    <x v="9"/>
    <n v="1743.85"/>
    <n v="18"/>
    <x v="1"/>
    <n v="572.51"/>
    <x v="15"/>
    <x v="1"/>
    <x v="7"/>
  </r>
  <r>
    <s v="ORD-2595"/>
    <x v="162"/>
    <d v="2024-09-14T00:00:00"/>
    <x v="1"/>
    <x v="1"/>
    <x v="1"/>
    <x v="1"/>
    <n v="2646.48"/>
    <n v="16"/>
    <x v="2"/>
    <n v="558.07000000000005"/>
    <x v="185"/>
    <x v="0"/>
    <x v="9"/>
  </r>
  <r>
    <s v="ORD-2596"/>
    <x v="130"/>
    <d v="2024-11-20T00:00:00"/>
    <x v="3"/>
    <x v="0"/>
    <x v="6"/>
    <x v="15"/>
    <n v="2396.9499999999998"/>
    <n v="11"/>
    <x v="0"/>
    <n v="716.51"/>
    <x v="41"/>
    <x v="1"/>
    <x v="0"/>
  </r>
  <r>
    <s v="ORD-2597"/>
    <x v="341"/>
    <d v="2024-12-24T00:00:00"/>
    <x v="1"/>
    <x v="2"/>
    <x v="10"/>
    <x v="28"/>
    <n v="3537.41"/>
    <n v="17"/>
    <x v="4"/>
    <n v="753.66"/>
    <x v="21"/>
    <x v="1"/>
    <x v="2"/>
  </r>
  <r>
    <s v="ORD-2598"/>
    <x v="250"/>
    <d v="2024-07-28T00:00:00"/>
    <x v="3"/>
    <x v="1"/>
    <x v="4"/>
    <x v="4"/>
    <n v="3849.13"/>
    <n v="1"/>
    <x v="5"/>
    <n v="1099.6300000000001"/>
    <x v="202"/>
    <x v="0"/>
    <x v="10"/>
  </r>
  <r>
    <s v="ORD-2599"/>
    <x v="303"/>
    <d v="2024-11-27T00:00:00"/>
    <x v="2"/>
    <x v="0"/>
    <x v="5"/>
    <x v="19"/>
    <n v="2043.7"/>
    <n v="2"/>
    <x v="5"/>
    <n v="630.01"/>
    <x v="152"/>
    <x v="2"/>
    <x v="0"/>
  </r>
  <r>
    <s v="ORD-2600"/>
    <x v="301"/>
    <d v="2024-07-28T00:00:00"/>
    <x v="0"/>
    <x v="2"/>
    <x v="8"/>
    <x v="23"/>
    <n v="2277.33"/>
    <n v="3"/>
    <x v="0"/>
    <n v="688.22"/>
    <x v="171"/>
    <x v="1"/>
    <x v="10"/>
  </r>
  <r>
    <s v="ORD-2601"/>
    <x v="352"/>
    <d v="2024-11-23T00:00:00"/>
    <x v="3"/>
    <x v="0"/>
    <x v="7"/>
    <x v="29"/>
    <n v="3970.57"/>
    <n v="12"/>
    <x v="1"/>
    <n v="1124.4100000000001"/>
    <x v="109"/>
    <x v="0"/>
    <x v="0"/>
  </r>
  <r>
    <s v="ORD-2602"/>
    <x v="108"/>
    <d v="2024-08-18T00:00:00"/>
    <x v="3"/>
    <x v="2"/>
    <x v="10"/>
    <x v="28"/>
    <n v="2210.64"/>
    <n v="6"/>
    <x v="1"/>
    <n v="-761.59"/>
    <x v="147"/>
    <x v="1"/>
    <x v="4"/>
  </r>
  <r>
    <s v="ORD-2603"/>
    <x v="8"/>
    <d v="2024-10-23T00:00:00"/>
    <x v="2"/>
    <x v="0"/>
    <x v="5"/>
    <x v="5"/>
    <n v="2464.87"/>
    <n v="9"/>
    <x v="4"/>
    <n v="441.18"/>
    <x v="40"/>
    <x v="2"/>
    <x v="1"/>
  </r>
  <r>
    <s v="ORD-2604"/>
    <x v="300"/>
    <d v="2024-05-27T00:00:00"/>
    <x v="1"/>
    <x v="1"/>
    <x v="1"/>
    <x v="10"/>
    <n v="3243.94"/>
    <n v="20"/>
    <x v="0"/>
    <n v="872.27"/>
    <x v="199"/>
    <x v="1"/>
    <x v="7"/>
  </r>
  <r>
    <s v="ORD-2605"/>
    <x v="357"/>
    <d v="2024-10-10T00:00:00"/>
    <x v="3"/>
    <x v="0"/>
    <x v="0"/>
    <x v="0"/>
    <n v="1368.01"/>
    <n v="20"/>
    <x v="3"/>
    <n v="415.66"/>
    <x v="59"/>
    <x v="0"/>
    <x v="1"/>
  </r>
  <r>
    <s v="ORD-2606"/>
    <x v="61"/>
    <d v="2024-10-11T00:00:00"/>
    <x v="0"/>
    <x v="2"/>
    <x v="2"/>
    <x v="21"/>
    <n v="2597.75"/>
    <n v="17"/>
    <x v="5"/>
    <n v="879.93"/>
    <x v="157"/>
    <x v="0"/>
    <x v="1"/>
  </r>
  <r>
    <s v="ORD-2607"/>
    <x v="323"/>
    <d v="2024-01-26T00:00:00"/>
    <x v="0"/>
    <x v="2"/>
    <x v="10"/>
    <x v="28"/>
    <n v="3606.99"/>
    <n v="13"/>
    <x v="5"/>
    <n v="602.9"/>
    <x v="204"/>
    <x v="2"/>
    <x v="5"/>
  </r>
  <r>
    <s v="ORD-2608"/>
    <x v="265"/>
    <d v="2024-12-04T00:00:00"/>
    <x v="0"/>
    <x v="0"/>
    <x v="6"/>
    <x v="7"/>
    <n v="1676.68"/>
    <n v="3"/>
    <x v="2"/>
    <n v="115.77"/>
    <x v="46"/>
    <x v="2"/>
    <x v="2"/>
  </r>
  <r>
    <s v="ORD-2609"/>
    <x v="50"/>
    <d v="2024-08-31T00:00:00"/>
    <x v="2"/>
    <x v="2"/>
    <x v="10"/>
    <x v="17"/>
    <n v="2146.77"/>
    <n v="5"/>
    <x v="4"/>
    <n v="313.5"/>
    <x v="17"/>
    <x v="0"/>
    <x v="4"/>
  </r>
  <r>
    <s v="ORD-2610"/>
    <x v="276"/>
    <d v="2024-09-09T00:00:00"/>
    <x v="3"/>
    <x v="0"/>
    <x v="5"/>
    <x v="19"/>
    <n v="2663.31"/>
    <n v="8"/>
    <x v="3"/>
    <n v="174.61"/>
    <x v="208"/>
    <x v="0"/>
    <x v="9"/>
  </r>
  <r>
    <s v="ORD-2611"/>
    <x v="100"/>
    <d v="2024-01-21T00:00:00"/>
    <x v="2"/>
    <x v="2"/>
    <x v="2"/>
    <x v="33"/>
    <n v="1962.38"/>
    <n v="2"/>
    <x v="1"/>
    <n v="494.33"/>
    <x v="213"/>
    <x v="2"/>
    <x v="5"/>
  </r>
  <r>
    <s v="ORD-2612"/>
    <x v="357"/>
    <d v="2024-10-06T00:00:00"/>
    <x v="3"/>
    <x v="2"/>
    <x v="2"/>
    <x v="21"/>
    <n v="934.59"/>
    <n v="17"/>
    <x v="5"/>
    <n v="175.9"/>
    <x v="173"/>
    <x v="1"/>
    <x v="1"/>
  </r>
  <r>
    <s v="ORD-2613"/>
    <x v="285"/>
    <d v="2024-03-17T00:00:00"/>
    <x v="3"/>
    <x v="1"/>
    <x v="4"/>
    <x v="11"/>
    <n v="2627.31"/>
    <n v="5"/>
    <x v="0"/>
    <n v="551.24"/>
    <x v="212"/>
    <x v="0"/>
    <x v="11"/>
  </r>
  <r>
    <s v="ORD-2614"/>
    <x v="210"/>
    <d v="2024-05-23T00:00:00"/>
    <x v="1"/>
    <x v="1"/>
    <x v="4"/>
    <x v="11"/>
    <n v="1525.7"/>
    <n v="6"/>
    <x v="3"/>
    <n v="112.72"/>
    <x v="57"/>
    <x v="0"/>
    <x v="7"/>
  </r>
  <r>
    <s v="ORD-2615"/>
    <x v="311"/>
    <d v="2024-06-18T00:00:00"/>
    <x v="3"/>
    <x v="0"/>
    <x v="6"/>
    <x v="15"/>
    <n v="3677.33"/>
    <n v="11"/>
    <x v="5"/>
    <n v="368.85"/>
    <x v="21"/>
    <x v="0"/>
    <x v="6"/>
  </r>
  <r>
    <s v="ORD-2616"/>
    <x v="214"/>
    <d v="2024-07-28T00:00:00"/>
    <x v="1"/>
    <x v="2"/>
    <x v="2"/>
    <x v="2"/>
    <n v="1088.33"/>
    <n v="17"/>
    <x v="1"/>
    <n v="237.23"/>
    <x v="83"/>
    <x v="0"/>
    <x v="10"/>
  </r>
  <r>
    <s v="ORD-2617"/>
    <x v="247"/>
    <d v="2024-07-06T00:00:00"/>
    <x v="2"/>
    <x v="0"/>
    <x v="0"/>
    <x v="22"/>
    <n v="3810.91"/>
    <n v="18"/>
    <x v="3"/>
    <n v="208.42"/>
    <x v="195"/>
    <x v="1"/>
    <x v="10"/>
  </r>
  <r>
    <s v="ORD-2618"/>
    <x v="354"/>
    <d v="2024-09-10T00:00:00"/>
    <x v="3"/>
    <x v="1"/>
    <x v="1"/>
    <x v="1"/>
    <n v="1399.82"/>
    <n v="20"/>
    <x v="1"/>
    <n v="438.6"/>
    <x v="206"/>
    <x v="0"/>
    <x v="9"/>
  </r>
  <r>
    <s v="ORD-2619"/>
    <x v="278"/>
    <d v="2024-10-23T00:00:00"/>
    <x v="0"/>
    <x v="2"/>
    <x v="9"/>
    <x v="14"/>
    <n v="425.84"/>
    <n v="17"/>
    <x v="0"/>
    <n v="63.91"/>
    <x v="123"/>
    <x v="2"/>
    <x v="1"/>
  </r>
  <r>
    <s v="ORD-2620"/>
    <x v="35"/>
    <d v="2024-01-21T00:00:00"/>
    <x v="3"/>
    <x v="1"/>
    <x v="3"/>
    <x v="26"/>
    <n v="580.78"/>
    <n v="10"/>
    <x v="5"/>
    <n v="47.77"/>
    <x v="49"/>
    <x v="0"/>
    <x v="5"/>
  </r>
  <r>
    <s v="ORD-2621"/>
    <x v="224"/>
    <d v="2024-04-14T00:00:00"/>
    <x v="1"/>
    <x v="0"/>
    <x v="7"/>
    <x v="24"/>
    <n v="2572.67"/>
    <n v="7"/>
    <x v="5"/>
    <n v="495.9"/>
    <x v="29"/>
    <x v="1"/>
    <x v="3"/>
  </r>
  <r>
    <s v="ORD-2622"/>
    <x v="63"/>
    <d v="2024-09-26T00:00:00"/>
    <x v="1"/>
    <x v="2"/>
    <x v="9"/>
    <x v="27"/>
    <n v="421.72"/>
    <n v="20"/>
    <x v="3"/>
    <n v="-141.62"/>
    <x v="159"/>
    <x v="2"/>
    <x v="9"/>
  </r>
  <r>
    <s v="ORD-2623"/>
    <x v="115"/>
    <d v="2024-11-26T00:00:00"/>
    <x v="3"/>
    <x v="1"/>
    <x v="1"/>
    <x v="10"/>
    <n v="914.97"/>
    <n v="13"/>
    <x v="2"/>
    <n v="191.01"/>
    <x v="28"/>
    <x v="0"/>
    <x v="0"/>
  </r>
  <r>
    <s v="ORD-2624"/>
    <x v="112"/>
    <d v="2024-12-29T00:00:00"/>
    <x v="0"/>
    <x v="0"/>
    <x v="7"/>
    <x v="24"/>
    <n v="275.22000000000003"/>
    <n v="12"/>
    <x v="4"/>
    <n v="33.159999999999997"/>
    <x v="211"/>
    <x v="0"/>
    <x v="2"/>
  </r>
  <r>
    <s v="ORD-2625"/>
    <x v="154"/>
    <d v="2024-10-17T00:00:00"/>
    <x v="2"/>
    <x v="1"/>
    <x v="1"/>
    <x v="10"/>
    <n v="2340.27"/>
    <n v="14"/>
    <x v="5"/>
    <n v="157.99"/>
    <x v="80"/>
    <x v="0"/>
    <x v="1"/>
  </r>
  <r>
    <s v="ORD-2626"/>
    <x v="170"/>
    <d v="2024-10-31T00:00:00"/>
    <x v="2"/>
    <x v="0"/>
    <x v="6"/>
    <x v="7"/>
    <n v="1369.94"/>
    <n v="6"/>
    <x v="4"/>
    <n v="270.99"/>
    <x v="52"/>
    <x v="0"/>
    <x v="1"/>
  </r>
  <r>
    <s v="ORD-2627"/>
    <x v="144"/>
    <d v="2024-06-25T00:00:00"/>
    <x v="3"/>
    <x v="0"/>
    <x v="6"/>
    <x v="7"/>
    <n v="3237.26"/>
    <n v="11"/>
    <x v="0"/>
    <n v="979.18"/>
    <x v="162"/>
    <x v="1"/>
    <x v="6"/>
  </r>
  <r>
    <s v="ORD-2628"/>
    <x v="147"/>
    <d v="2024-09-16T00:00:00"/>
    <x v="3"/>
    <x v="0"/>
    <x v="5"/>
    <x v="18"/>
    <n v="3296.57"/>
    <n v="14"/>
    <x v="3"/>
    <n v="189.94"/>
    <x v="197"/>
    <x v="0"/>
    <x v="9"/>
  </r>
  <r>
    <s v="ORD-2629"/>
    <x v="326"/>
    <d v="2024-01-04T00:00:00"/>
    <x v="0"/>
    <x v="1"/>
    <x v="3"/>
    <x v="26"/>
    <n v="2646.87"/>
    <n v="19"/>
    <x v="0"/>
    <n v="-829.85"/>
    <x v="90"/>
    <x v="2"/>
    <x v="5"/>
  </r>
  <r>
    <s v="ORD-2630"/>
    <x v="21"/>
    <d v="2024-05-03T00:00:00"/>
    <x v="0"/>
    <x v="2"/>
    <x v="2"/>
    <x v="2"/>
    <n v="1031.29"/>
    <n v="11"/>
    <x v="3"/>
    <n v="200.23"/>
    <x v="165"/>
    <x v="1"/>
    <x v="7"/>
  </r>
  <r>
    <s v="ORD-2631"/>
    <x v="335"/>
    <d v="2024-11-26T00:00:00"/>
    <x v="1"/>
    <x v="0"/>
    <x v="5"/>
    <x v="19"/>
    <n v="1387.23"/>
    <n v="17"/>
    <x v="2"/>
    <n v="326.10000000000002"/>
    <x v="196"/>
    <x v="1"/>
    <x v="0"/>
  </r>
  <r>
    <s v="ORD-2632"/>
    <x v="231"/>
    <d v="2024-11-20T00:00:00"/>
    <x v="1"/>
    <x v="2"/>
    <x v="10"/>
    <x v="17"/>
    <n v="1933.77"/>
    <n v="15"/>
    <x v="0"/>
    <n v="647.5"/>
    <x v="2"/>
    <x v="1"/>
    <x v="0"/>
  </r>
  <r>
    <s v="ORD-2633"/>
    <x v="155"/>
    <d v="2024-03-17T00:00:00"/>
    <x v="1"/>
    <x v="2"/>
    <x v="10"/>
    <x v="17"/>
    <n v="1329.67"/>
    <n v="3"/>
    <x v="2"/>
    <n v="153.62"/>
    <x v="211"/>
    <x v="1"/>
    <x v="11"/>
  </r>
  <r>
    <s v="ORD-2634"/>
    <x v="159"/>
    <d v="2024-12-29T00:00:00"/>
    <x v="1"/>
    <x v="1"/>
    <x v="1"/>
    <x v="1"/>
    <n v="1000.68"/>
    <n v="5"/>
    <x v="0"/>
    <n v="52.16"/>
    <x v="68"/>
    <x v="1"/>
    <x v="2"/>
  </r>
  <r>
    <s v="ORD-2635"/>
    <x v="40"/>
    <d v="2024-02-17T00:00:00"/>
    <x v="2"/>
    <x v="0"/>
    <x v="5"/>
    <x v="18"/>
    <n v="2198.46"/>
    <n v="14"/>
    <x v="3"/>
    <n v="432.79"/>
    <x v="169"/>
    <x v="0"/>
    <x v="8"/>
  </r>
  <r>
    <s v="ORD-2636"/>
    <x v="61"/>
    <d v="2024-10-17T00:00:00"/>
    <x v="3"/>
    <x v="1"/>
    <x v="4"/>
    <x v="11"/>
    <n v="3126.01"/>
    <n v="13"/>
    <x v="2"/>
    <n v="818.55"/>
    <x v="73"/>
    <x v="1"/>
    <x v="1"/>
  </r>
  <r>
    <s v="ORD-2637"/>
    <x v="104"/>
    <d v="2024-04-02T00:00:00"/>
    <x v="3"/>
    <x v="2"/>
    <x v="9"/>
    <x v="27"/>
    <n v="1226.28"/>
    <n v="12"/>
    <x v="2"/>
    <n v="292.25"/>
    <x v="207"/>
    <x v="2"/>
    <x v="11"/>
  </r>
  <r>
    <s v="ORD-2638"/>
    <x v="38"/>
    <d v="2024-07-15T00:00:00"/>
    <x v="0"/>
    <x v="2"/>
    <x v="10"/>
    <x v="28"/>
    <n v="2165.98"/>
    <n v="15"/>
    <x v="5"/>
    <n v="692.89"/>
    <x v="30"/>
    <x v="0"/>
    <x v="10"/>
  </r>
  <r>
    <s v="ORD-2639"/>
    <x v="109"/>
    <d v="2024-02-28T00:00:00"/>
    <x v="0"/>
    <x v="0"/>
    <x v="7"/>
    <x v="12"/>
    <n v="1898.26"/>
    <n v="4"/>
    <x v="0"/>
    <n v="-361.87"/>
    <x v="52"/>
    <x v="1"/>
    <x v="8"/>
  </r>
  <r>
    <s v="ORD-2640"/>
    <x v="341"/>
    <d v="2024-12-20T00:00:00"/>
    <x v="1"/>
    <x v="2"/>
    <x v="10"/>
    <x v="28"/>
    <n v="3837.59"/>
    <n v="1"/>
    <x v="3"/>
    <n v="401.17"/>
    <x v="95"/>
    <x v="0"/>
    <x v="2"/>
  </r>
  <r>
    <s v="ORD-2641"/>
    <x v="8"/>
    <d v="2024-10-20T00:00:00"/>
    <x v="2"/>
    <x v="1"/>
    <x v="1"/>
    <x v="20"/>
    <n v="1851.63"/>
    <n v="11"/>
    <x v="0"/>
    <n v="-566.9"/>
    <x v="7"/>
    <x v="1"/>
    <x v="1"/>
  </r>
  <r>
    <s v="ORD-2642"/>
    <x v="169"/>
    <d v="2024-06-07T00:00:00"/>
    <x v="1"/>
    <x v="1"/>
    <x v="1"/>
    <x v="10"/>
    <n v="2699.95"/>
    <n v="8"/>
    <x v="2"/>
    <n v="828.1"/>
    <x v="157"/>
    <x v="0"/>
    <x v="6"/>
  </r>
  <r>
    <s v="ORD-2643"/>
    <x v="124"/>
    <d v="2024-06-16T00:00:00"/>
    <x v="3"/>
    <x v="2"/>
    <x v="8"/>
    <x v="23"/>
    <n v="2967.95"/>
    <n v="15"/>
    <x v="0"/>
    <n v="810.54"/>
    <x v="181"/>
    <x v="1"/>
    <x v="6"/>
  </r>
  <r>
    <s v="ORD-2644"/>
    <x v="237"/>
    <d v="2024-03-29T00:00:00"/>
    <x v="3"/>
    <x v="1"/>
    <x v="1"/>
    <x v="20"/>
    <n v="1497.34"/>
    <n v="9"/>
    <x v="2"/>
    <n v="439.06"/>
    <x v="79"/>
    <x v="0"/>
    <x v="11"/>
  </r>
  <r>
    <s v="ORD-2645"/>
    <x v="355"/>
    <d v="2024-11-09T00:00:00"/>
    <x v="1"/>
    <x v="2"/>
    <x v="9"/>
    <x v="14"/>
    <n v="950.48"/>
    <n v="6"/>
    <x v="5"/>
    <n v="-67.45"/>
    <x v="149"/>
    <x v="1"/>
    <x v="0"/>
  </r>
  <r>
    <s v="ORD-2646"/>
    <x v="16"/>
    <d v="2024-05-13T00:00:00"/>
    <x v="2"/>
    <x v="0"/>
    <x v="5"/>
    <x v="18"/>
    <n v="2088.73"/>
    <n v="11"/>
    <x v="4"/>
    <n v="467.61"/>
    <x v="95"/>
    <x v="2"/>
    <x v="7"/>
  </r>
  <r>
    <s v="ORD-2647"/>
    <x v="251"/>
    <d v="2024-09-25T00:00:00"/>
    <x v="1"/>
    <x v="1"/>
    <x v="1"/>
    <x v="20"/>
    <n v="3072.81"/>
    <n v="4"/>
    <x v="4"/>
    <n v="884.88"/>
    <x v="132"/>
    <x v="0"/>
    <x v="9"/>
  </r>
  <r>
    <s v="ORD-2648"/>
    <x v="19"/>
    <d v="2024-01-31T00:00:00"/>
    <x v="1"/>
    <x v="1"/>
    <x v="1"/>
    <x v="10"/>
    <n v="3103.74"/>
    <n v="16"/>
    <x v="2"/>
    <n v="910.17"/>
    <x v="222"/>
    <x v="2"/>
    <x v="5"/>
  </r>
  <r>
    <s v="ORD-2649"/>
    <x v="46"/>
    <d v="2024-09-02T00:00:00"/>
    <x v="3"/>
    <x v="0"/>
    <x v="7"/>
    <x v="12"/>
    <n v="3024.93"/>
    <n v="12"/>
    <x v="0"/>
    <n v="617.99"/>
    <x v="94"/>
    <x v="2"/>
    <x v="4"/>
  </r>
  <r>
    <s v="ORD-2650"/>
    <x v="44"/>
    <d v="2024-11-28T00:00:00"/>
    <x v="0"/>
    <x v="1"/>
    <x v="1"/>
    <x v="1"/>
    <n v="1292.99"/>
    <n v="10"/>
    <x v="4"/>
    <n v="422.5"/>
    <x v="56"/>
    <x v="2"/>
    <x v="0"/>
  </r>
  <r>
    <s v="ORD-2651"/>
    <x v="205"/>
    <d v="2024-10-25T00:00:00"/>
    <x v="0"/>
    <x v="2"/>
    <x v="8"/>
    <x v="23"/>
    <n v="3381.94"/>
    <n v="6"/>
    <x v="4"/>
    <n v="1053.82"/>
    <x v="16"/>
    <x v="0"/>
    <x v="1"/>
  </r>
  <r>
    <s v="ORD-2652"/>
    <x v="40"/>
    <d v="2024-02-17T00:00:00"/>
    <x v="1"/>
    <x v="0"/>
    <x v="7"/>
    <x v="12"/>
    <n v="3781.85"/>
    <n v="12"/>
    <x v="0"/>
    <n v="216.36"/>
    <x v="228"/>
    <x v="1"/>
    <x v="8"/>
  </r>
  <r>
    <s v="ORD-2653"/>
    <x v="336"/>
    <d v="2024-09-05T00:00:00"/>
    <x v="1"/>
    <x v="1"/>
    <x v="4"/>
    <x v="11"/>
    <n v="3668.7"/>
    <n v="19"/>
    <x v="5"/>
    <n v="-1275.44"/>
    <x v="172"/>
    <x v="0"/>
    <x v="9"/>
  </r>
  <r>
    <s v="ORD-2654"/>
    <x v="341"/>
    <d v="2024-12-24T00:00:00"/>
    <x v="0"/>
    <x v="0"/>
    <x v="5"/>
    <x v="18"/>
    <n v="1741.82"/>
    <n v="5"/>
    <x v="0"/>
    <n v="166.41"/>
    <x v="238"/>
    <x v="0"/>
    <x v="2"/>
  </r>
  <r>
    <s v="ORD-2655"/>
    <x v="157"/>
    <d v="2024-03-08T00:00:00"/>
    <x v="2"/>
    <x v="2"/>
    <x v="10"/>
    <x v="28"/>
    <n v="681.87"/>
    <n v="3"/>
    <x v="1"/>
    <n v="57.15"/>
    <x v="221"/>
    <x v="1"/>
    <x v="11"/>
  </r>
  <r>
    <s v="ORD-2656"/>
    <x v="228"/>
    <d v="2024-03-09T00:00:00"/>
    <x v="0"/>
    <x v="1"/>
    <x v="4"/>
    <x v="11"/>
    <n v="1924.34"/>
    <n v="11"/>
    <x v="0"/>
    <n v="524.91"/>
    <x v="94"/>
    <x v="1"/>
    <x v="11"/>
  </r>
  <r>
    <s v="ORD-2657"/>
    <x v="309"/>
    <d v="2024-08-15T00:00:00"/>
    <x v="1"/>
    <x v="0"/>
    <x v="7"/>
    <x v="29"/>
    <n v="1351.05"/>
    <n v="7"/>
    <x v="5"/>
    <n v="221.69"/>
    <x v="111"/>
    <x v="1"/>
    <x v="4"/>
  </r>
  <r>
    <s v="ORD-2658"/>
    <x v="342"/>
    <d v="2024-01-09T00:00:00"/>
    <x v="2"/>
    <x v="0"/>
    <x v="0"/>
    <x v="9"/>
    <n v="811.12"/>
    <n v="10"/>
    <x v="4"/>
    <n v="65"/>
    <x v="63"/>
    <x v="0"/>
    <x v="5"/>
  </r>
  <r>
    <s v="ORD-2659"/>
    <x v="154"/>
    <d v="2024-10-18T00:00:00"/>
    <x v="1"/>
    <x v="2"/>
    <x v="8"/>
    <x v="13"/>
    <n v="2743.46"/>
    <n v="5"/>
    <x v="4"/>
    <n v="627.97"/>
    <x v="29"/>
    <x v="2"/>
    <x v="1"/>
  </r>
  <r>
    <s v="ORD-2660"/>
    <x v="160"/>
    <d v="2024-01-12T00:00:00"/>
    <x v="3"/>
    <x v="2"/>
    <x v="9"/>
    <x v="14"/>
    <n v="3289.24"/>
    <n v="1"/>
    <x v="4"/>
    <n v="870.67"/>
    <x v="199"/>
    <x v="2"/>
    <x v="5"/>
  </r>
  <r>
    <s v="ORD-2661"/>
    <x v="351"/>
    <d v="2024-06-27T00:00:00"/>
    <x v="2"/>
    <x v="1"/>
    <x v="1"/>
    <x v="1"/>
    <n v="3883.32"/>
    <n v="4"/>
    <x v="4"/>
    <n v="515.08000000000004"/>
    <x v="177"/>
    <x v="1"/>
    <x v="6"/>
  </r>
  <r>
    <s v="ORD-2662"/>
    <x v="204"/>
    <d v="2024-07-07T00:00:00"/>
    <x v="3"/>
    <x v="2"/>
    <x v="2"/>
    <x v="2"/>
    <n v="1045.05"/>
    <n v="1"/>
    <x v="3"/>
    <n v="347.43"/>
    <x v="87"/>
    <x v="1"/>
    <x v="10"/>
  </r>
  <r>
    <s v="ORD-2663"/>
    <x v="191"/>
    <d v="2024-03-20T00:00:00"/>
    <x v="1"/>
    <x v="2"/>
    <x v="8"/>
    <x v="23"/>
    <n v="711.67"/>
    <n v="20"/>
    <x v="4"/>
    <n v="137.91999999999999"/>
    <x v="111"/>
    <x v="0"/>
    <x v="11"/>
  </r>
  <r>
    <s v="ORD-2664"/>
    <x v="20"/>
    <d v="2024-05-22T00:00:00"/>
    <x v="1"/>
    <x v="0"/>
    <x v="5"/>
    <x v="19"/>
    <n v="2945.65"/>
    <n v="3"/>
    <x v="5"/>
    <n v="523.91"/>
    <x v="25"/>
    <x v="2"/>
    <x v="7"/>
  </r>
  <r>
    <s v="ORD-2665"/>
    <x v="253"/>
    <d v="2024-08-02T00:00:00"/>
    <x v="1"/>
    <x v="1"/>
    <x v="3"/>
    <x v="3"/>
    <n v="1533.96"/>
    <n v="9"/>
    <x v="4"/>
    <n v="457.63"/>
    <x v="35"/>
    <x v="2"/>
    <x v="10"/>
  </r>
  <r>
    <s v="ORD-2666"/>
    <x v="209"/>
    <d v="2024-11-24T00:00:00"/>
    <x v="1"/>
    <x v="0"/>
    <x v="0"/>
    <x v="9"/>
    <n v="1186.3699999999999"/>
    <n v="4"/>
    <x v="1"/>
    <n v="278.61"/>
    <x v="188"/>
    <x v="1"/>
    <x v="0"/>
  </r>
  <r>
    <s v="ORD-2667"/>
    <x v="301"/>
    <d v="2024-08-02T00:00:00"/>
    <x v="2"/>
    <x v="2"/>
    <x v="9"/>
    <x v="27"/>
    <n v="2585.9"/>
    <n v="12"/>
    <x v="5"/>
    <n v="587.09"/>
    <x v="88"/>
    <x v="0"/>
    <x v="10"/>
  </r>
  <r>
    <s v="ORD-2668"/>
    <x v="172"/>
    <d v="2024-07-02T00:00:00"/>
    <x v="3"/>
    <x v="2"/>
    <x v="10"/>
    <x v="28"/>
    <n v="1192.3"/>
    <n v="4"/>
    <x v="4"/>
    <n v="358.92"/>
    <x v="65"/>
    <x v="1"/>
    <x v="6"/>
  </r>
  <r>
    <s v="ORD-2669"/>
    <x v="243"/>
    <d v="2024-08-10T00:00:00"/>
    <x v="0"/>
    <x v="1"/>
    <x v="4"/>
    <x v="11"/>
    <n v="3134.34"/>
    <n v="17"/>
    <x v="1"/>
    <n v="-193.14"/>
    <x v="176"/>
    <x v="2"/>
    <x v="4"/>
  </r>
  <r>
    <s v="ORD-2670"/>
    <x v="253"/>
    <d v="2024-08-02T00:00:00"/>
    <x v="0"/>
    <x v="2"/>
    <x v="9"/>
    <x v="27"/>
    <n v="3112.92"/>
    <n v="3"/>
    <x v="5"/>
    <n v="306.82"/>
    <x v="33"/>
    <x v="0"/>
    <x v="10"/>
  </r>
  <r>
    <s v="ORD-2671"/>
    <x v="238"/>
    <d v="2024-10-05T00:00:00"/>
    <x v="0"/>
    <x v="0"/>
    <x v="0"/>
    <x v="22"/>
    <n v="652.76"/>
    <n v="19"/>
    <x v="1"/>
    <n v="-202.7"/>
    <x v="180"/>
    <x v="0"/>
    <x v="1"/>
  </r>
  <r>
    <s v="ORD-2672"/>
    <x v="260"/>
    <d v="2024-06-24T00:00:00"/>
    <x v="2"/>
    <x v="1"/>
    <x v="1"/>
    <x v="20"/>
    <n v="409.19"/>
    <n v="15"/>
    <x v="1"/>
    <n v="50.72"/>
    <x v="11"/>
    <x v="2"/>
    <x v="6"/>
  </r>
  <r>
    <s v="ORD-2673"/>
    <x v="184"/>
    <d v="2024-05-02T00:00:00"/>
    <x v="0"/>
    <x v="1"/>
    <x v="3"/>
    <x v="26"/>
    <n v="3887.38"/>
    <n v="9"/>
    <x v="5"/>
    <n v="544.51"/>
    <x v="170"/>
    <x v="0"/>
    <x v="3"/>
  </r>
  <r>
    <s v="ORD-2674"/>
    <x v="290"/>
    <d v="2024-03-31T00:00:00"/>
    <x v="1"/>
    <x v="1"/>
    <x v="1"/>
    <x v="20"/>
    <n v="1881.61"/>
    <n v="12"/>
    <x v="2"/>
    <n v="579.20000000000005"/>
    <x v="193"/>
    <x v="0"/>
    <x v="11"/>
  </r>
  <r>
    <s v="ORD-2675"/>
    <x v="120"/>
    <d v="2024-08-22T00:00:00"/>
    <x v="2"/>
    <x v="0"/>
    <x v="0"/>
    <x v="22"/>
    <n v="361.32"/>
    <n v="4"/>
    <x v="2"/>
    <n v="18.66"/>
    <x v="54"/>
    <x v="2"/>
    <x v="4"/>
  </r>
  <r>
    <s v="ORD-2676"/>
    <x v="246"/>
    <d v="2024-12-12T00:00:00"/>
    <x v="2"/>
    <x v="1"/>
    <x v="3"/>
    <x v="26"/>
    <n v="3393.74"/>
    <n v="13"/>
    <x v="5"/>
    <n v="-1007.8"/>
    <x v="57"/>
    <x v="1"/>
    <x v="2"/>
  </r>
  <r>
    <s v="ORD-2677"/>
    <x v="158"/>
    <d v="2024-10-27T00:00:00"/>
    <x v="1"/>
    <x v="1"/>
    <x v="4"/>
    <x v="4"/>
    <n v="321.18"/>
    <n v="2"/>
    <x v="3"/>
    <n v="54.89"/>
    <x v="77"/>
    <x v="0"/>
    <x v="1"/>
  </r>
  <r>
    <s v="ORD-2678"/>
    <x v="54"/>
    <d v="2024-06-13T00:00:00"/>
    <x v="0"/>
    <x v="1"/>
    <x v="1"/>
    <x v="1"/>
    <n v="1925.99"/>
    <n v="16"/>
    <x v="0"/>
    <n v="366.34"/>
    <x v="228"/>
    <x v="2"/>
    <x v="6"/>
  </r>
  <r>
    <s v="ORD-2679"/>
    <x v="35"/>
    <d v="2024-01-20T00:00:00"/>
    <x v="3"/>
    <x v="0"/>
    <x v="7"/>
    <x v="12"/>
    <n v="3131.02"/>
    <n v="18"/>
    <x v="1"/>
    <n v="927.3"/>
    <x v="88"/>
    <x v="1"/>
    <x v="5"/>
  </r>
  <r>
    <s v="ORD-2680"/>
    <x v="212"/>
    <d v="2024-12-28T00:00:00"/>
    <x v="0"/>
    <x v="2"/>
    <x v="10"/>
    <x v="28"/>
    <n v="1437.5"/>
    <n v="6"/>
    <x v="1"/>
    <n v="182.07"/>
    <x v="191"/>
    <x v="0"/>
    <x v="2"/>
  </r>
  <r>
    <s v="ORD-2681"/>
    <x v="35"/>
    <d v="2024-01-24T00:00:00"/>
    <x v="2"/>
    <x v="2"/>
    <x v="9"/>
    <x v="30"/>
    <n v="1088.8"/>
    <n v="3"/>
    <x v="4"/>
    <n v="205.76"/>
    <x v="184"/>
    <x v="2"/>
    <x v="5"/>
  </r>
  <r>
    <s v="ORD-2682"/>
    <x v="196"/>
    <d v="2024-03-08T00:00:00"/>
    <x v="2"/>
    <x v="0"/>
    <x v="0"/>
    <x v="9"/>
    <n v="1790.83"/>
    <n v="13"/>
    <x v="1"/>
    <n v="169.29"/>
    <x v="103"/>
    <x v="1"/>
    <x v="11"/>
  </r>
  <r>
    <s v="ORD-2683"/>
    <x v="86"/>
    <d v="2024-02-02T00:00:00"/>
    <x v="2"/>
    <x v="0"/>
    <x v="0"/>
    <x v="0"/>
    <n v="1124.8699999999999"/>
    <n v="6"/>
    <x v="3"/>
    <n v="203.68"/>
    <x v="227"/>
    <x v="2"/>
    <x v="5"/>
  </r>
  <r>
    <s v="ORD-2684"/>
    <x v="67"/>
    <d v="2024-12-22T00:00:00"/>
    <x v="0"/>
    <x v="0"/>
    <x v="6"/>
    <x v="8"/>
    <n v="501.23"/>
    <n v="9"/>
    <x v="4"/>
    <n v="157.9"/>
    <x v="142"/>
    <x v="2"/>
    <x v="2"/>
  </r>
  <r>
    <s v="ORD-2685"/>
    <x v="152"/>
    <d v="2024-12-06T00:00:00"/>
    <x v="0"/>
    <x v="1"/>
    <x v="3"/>
    <x v="3"/>
    <n v="2183.39"/>
    <n v="18"/>
    <x v="4"/>
    <n v="178.4"/>
    <x v="219"/>
    <x v="2"/>
    <x v="2"/>
  </r>
  <r>
    <s v="ORD-2686"/>
    <x v="227"/>
    <d v="2024-03-22T00:00:00"/>
    <x v="3"/>
    <x v="1"/>
    <x v="4"/>
    <x v="11"/>
    <n v="1132.04"/>
    <n v="20"/>
    <x v="2"/>
    <n v="230.81"/>
    <x v="164"/>
    <x v="1"/>
    <x v="11"/>
  </r>
  <r>
    <s v="ORD-2687"/>
    <x v="158"/>
    <d v="2024-11-02T00:00:00"/>
    <x v="1"/>
    <x v="1"/>
    <x v="1"/>
    <x v="10"/>
    <n v="3859.45"/>
    <n v="18"/>
    <x v="2"/>
    <n v="917.73"/>
    <x v="41"/>
    <x v="1"/>
    <x v="1"/>
  </r>
  <r>
    <s v="ORD-2688"/>
    <x v="152"/>
    <d v="2024-12-04T00:00:00"/>
    <x v="0"/>
    <x v="0"/>
    <x v="6"/>
    <x v="7"/>
    <n v="1390.43"/>
    <n v="5"/>
    <x v="4"/>
    <n v="385.64"/>
    <x v="97"/>
    <x v="0"/>
    <x v="2"/>
  </r>
  <r>
    <s v="ORD-2689"/>
    <x v="201"/>
    <d v="2024-07-04T00:00:00"/>
    <x v="2"/>
    <x v="0"/>
    <x v="0"/>
    <x v="22"/>
    <n v="3746.9"/>
    <n v="18"/>
    <x v="4"/>
    <n v="-256.72000000000003"/>
    <x v="86"/>
    <x v="0"/>
    <x v="10"/>
  </r>
  <r>
    <s v="ORD-2690"/>
    <x v="45"/>
    <d v="2024-10-03T00:00:00"/>
    <x v="2"/>
    <x v="2"/>
    <x v="2"/>
    <x v="21"/>
    <n v="2749.69"/>
    <n v="6"/>
    <x v="4"/>
    <n v="-451.16"/>
    <x v="92"/>
    <x v="1"/>
    <x v="1"/>
  </r>
  <r>
    <s v="ORD-2691"/>
    <x v="106"/>
    <d v="2024-11-06T00:00:00"/>
    <x v="0"/>
    <x v="0"/>
    <x v="5"/>
    <x v="18"/>
    <n v="2165.87"/>
    <n v="16"/>
    <x v="0"/>
    <n v="639.24"/>
    <x v="80"/>
    <x v="2"/>
    <x v="1"/>
  </r>
  <r>
    <s v="ORD-2692"/>
    <x v="49"/>
    <d v="2024-03-31T00:00:00"/>
    <x v="1"/>
    <x v="2"/>
    <x v="9"/>
    <x v="30"/>
    <n v="3787.26"/>
    <n v="16"/>
    <x v="0"/>
    <n v="911.28"/>
    <x v="76"/>
    <x v="2"/>
    <x v="11"/>
  </r>
  <r>
    <s v="ORD-2693"/>
    <x v="233"/>
    <d v="2024-11-02T00:00:00"/>
    <x v="1"/>
    <x v="0"/>
    <x v="5"/>
    <x v="19"/>
    <n v="3642.71"/>
    <n v="3"/>
    <x v="2"/>
    <n v="644.97"/>
    <x v="30"/>
    <x v="2"/>
    <x v="1"/>
  </r>
  <r>
    <s v="ORD-2694"/>
    <x v="95"/>
    <d v="2024-01-30T00:00:00"/>
    <x v="1"/>
    <x v="1"/>
    <x v="3"/>
    <x v="26"/>
    <n v="2778.22"/>
    <n v="18"/>
    <x v="2"/>
    <n v="325.72000000000003"/>
    <x v="125"/>
    <x v="0"/>
    <x v="5"/>
  </r>
  <r>
    <s v="ORD-2695"/>
    <x v="6"/>
    <d v="2024-07-01T00:00:00"/>
    <x v="2"/>
    <x v="0"/>
    <x v="6"/>
    <x v="15"/>
    <n v="1348.19"/>
    <n v="2"/>
    <x v="2"/>
    <n v="442.03"/>
    <x v="171"/>
    <x v="1"/>
    <x v="6"/>
  </r>
  <r>
    <s v="ORD-2696"/>
    <x v="312"/>
    <d v="2024-05-30T00:00:00"/>
    <x v="2"/>
    <x v="0"/>
    <x v="7"/>
    <x v="12"/>
    <n v="1243.1199999999999"/>
    <n v="20"/>
    <x v="5"/>
    <n v="71.709999999999994"/>
    <x v="200"/>
    <x v="2"/>
    <x v="7"/>
  </r>
  <r>
    <s v="ORD-2697"/>
    <x v="54"/>
    <d v="2024-06-10T00:00:00"/>
    <x v="0"/>
    <x v="2"/>
    <x v="8"/>
    <x v="16"/>
    <n v="2353.12"/>
    <n v="4"/>
    <x v="5"/>
    <n v="218.14"/>
    <x v="112"/>
    <x v="0"/>
    <x v="6"/>
  </r>
  <r>
    <s v="ORD-2698"/>
    <x v="201"/>
    <d v="2024-07-04T00:00:00"/>
    <x v="2"/>
    <x v="2"/>
    <x v="10"/>
    <x v="28"/>
    <n v="2134.5"/>
    <n v="19"/>
    <x v="4"/>
    <n v="277.01"/>
    <x v="138"/>
    <x v="0"/>
    <x v="10"/>
  </r>
  <r>
    <s v="ORD-2699"/>
    <x v="112"/>
    <d v="2024-12-25T00:00:00"/>
    <x v="0"/>
    <x v="2"/>
    <x v="10"/>
    <x v="17"/>
    <n v="1731.96"/>
    <n v="5"/>
    <x v="2"/>
    <n v="317.91000000000003"/>
    <x v="143"/>
    <x v="1"/>
    <x v="2"/>
  </r>
  <r>
    <s v="ORD-2700"/>
    <x v="119"/>
    <d v="2024-08-05T00:00:00"/>
    <x v="0"/>
    <x v="1"/>
    <x v="3"/>
    <x v="3"/>
    <n v="1054.19"/>
    <n v="4"/>
    <x v="2"/>
    <n v="336.09"/>
    <x v="10"/>
    <x v="0"/>
    <x v="4"/>
  </r>
  <r>
    <s v="ORD-2701"/>
    <x v="33"/>
    <d v="2024-05-12T00:00:00"/>
    <x v="1"/>
    <x v="1"/>
    <x v="4"/>
    <x v="4"/>
    <n v="654.85"/>
    <n v="7"/>
    <x v="5"/>
    <n v="174.13"/>
    <x v="13"/>
    <x v="2"/>
    <x v="7"/>
  </r>
  <r>
    <s v="ORD-2702"/>
    <x v="305"/>
    <d v="2024-06-25T00:00:00"/>
    <x v="1"/>
    <x v="1"/>
    <x v="3"/>
    <x v="26"/>
    <n v="2336.1"/>
    <n v="4"/>
    <x v="5"/>
    <n v="349.8"/>
    <x v="74"/>
    <x v="1"/>
    <x v="6"/>
  </r>
  <r>
    <s v="ORD-2703"/>
    <x v="340"/>
    <d v="2024-01-14T00:00:00"/>
    <x v="3"/>
    <x v="2"/>
    <x v="2"/>
    <x v="21"/>
    <n v="792.42"/>
    <n v="4"/>
    <x v="2"/>
    <n v="62.77"/>
    <x v="158"/>
    <x v="2"/>
    <x v="5"/>
  </r>
  <r>
    <s v="ORD-2704"/>
    <x v="291"/>
    <d v="2024-01-20T00:00:00"/>
    <x v="3"/>
    <x v="2"/>
    <x v="8"/>
    <x v="13"/>
    <n v="1811.47"/>
    <n v="3"/>
    <x v="5"/>
    <n v="501.2"/>
    <x v="181"/>
    <x v="0"/>
    <x v="5"/>
  </r>
  <r>
    <s v="ORD-2705"/>
    <x v="332"/>
    <d v="2024-02-05T00:00:00"/>
    <x v="3"/>
    <x v="0"/>
    <x v="5"/>
    <x v="5"/>
    <n v="2278.91"/>
    <n v="1"/>
    <x v="5"/>
    <n v="429.61"/>
    <x v="225"/>
    <x v="2"/>
    <x v="8"/>
  </r>
  <r>
    <s v="ORD-2706"/>
    <x v="91"/>
    <d v="2024-02-23T00:00:00"/>
    <x v="0"/>
    <x v="2"/>
    <x v="2"/>
    <x v="21"/>
    <n v="2188.64"/>
    <n v="4"/>
    <x v="4"/>
    <n v="660.8"/>
    <x v="209"/>
    <x v="0"/>
    <x v="8"/>
  </r>
  <r>
    <s v="ORD-2707"/>
    <x v="359"/>
    <d v="2024-07-26T00:00:00"/>
    <x v="3"/>
    <x v="0"/>
    <x v="6"/>
    <x v="15"/>
    <n v="2870.8"/>
    <n v="19"/>
    <x v="5"/>
    <n v="743.38"/>
    <x v="17"/>
    <x v="2"/>
    <x v="10"/>
  </r>
  <r>
    <s v="ORD-2708"/>
    <x v="54"/>
    <d v="2024-06-14T00:00:00"/>
    <x v="3"/>
    <x v="0"/>
    <x v="5"/>
    <x v="19"/>
    <n v="1526.07"/>
    <n v="9"/>
    <x v="3"/>
    <n v="-444.2"/>
    <x v="202"/>
    <x v="1"/>
    <x v="6"/>
  </r>
  <r>
    <s v="ORD-2709"/>
    <x v="321"/>
    <d v="2024-03-06T00:00:00"/>
    <x v="1"/>
    <x v="1"/>
    <x v="4"/>
    <x v="4"/>
    <n v="3980.07"/>
    <n v="8"/>
    <x v="0"/>
    <n v="1307.95"/>
    <x v="228"/>
    <x v="0"/>
    <x v="11"/>
  </r>
  <r>
    <s v="ORD-2710"/>
    <x v="95"/>
    <d v="2024-01-28T00:00:00"/>
    <x v="0"/>
    <x v="1"/>
    <x v="3"/>
    <x v="3"/>
    <n v="1834.31"/>
    <n v="2"/>
    <x v="4"/>
    <n v="549.85"/>
    <x v="204"/>
    <x v="2"/>
    <x v="5"/>
  </r>
  <r>
    <s v="ORD-2711"/>
    <x v="202"/>
    <d v="2024-10-17T00:00:00"/>
    <x v="1"/>
    <x v="2"/>
    <x v="2"/>
    <x v="2"/>
    <n v="1790.46"/>
    <n v="5"/>
    <x v="1"/>
    <n v="365.97"/>
    <x v="33"/>
    <x v="0"/>
    <x v="1"/>
  </r>
  <r>
    <s v="ORD-2712"/>
    <x v="97"/>
    <d v="2024-07-09T00:00:00"/>
    <x v="2"/>
    <x v="2"/>
    <x v="8"/>
    <x v="16"/>
    <n v="342.9"/>
    <n v="19"/>
    <x v="3"/>
    <n v="100.16"/>
    <x v="122"/>
    <x v="2"/>
    <x v="10"/>
  </r>
  <r>
    <s v="ORD-2713"/>
    <x v="220"/>
    <d v="2024-10-28T00:00:00"/>
    <x v="1"/>
    <x v="1"/>
    <x v="3"/>
    <x v="25"/>
    <n v="3994.9"/>
    <n v="9"/>
    <x v="0"/>
    <n v="1232.3"/>
    <x v="213"/>
    <x v="0"/>
    <x v="1"/>
  </r>
  <r>
    <s v="ORD-2714"/>
    <x v="294"/>
    <d v="2024-08-15T00:00:00"/>
    <x v="2"/>
    <x v="1"/>
    <x v="3"/>
    <x v="25"/>
    <n v="1232.99"/>
    <n v="1"/>
    <x v="3"/>
    <n v="178.07"/>
    <x v="46"/>
    <x v="2"/>
    <x v="4"/>
  </r>
  <r>
    <s v="ORD-2715"/>
    <x v="56"/>
    <d v="2024-09-14T00:00:00"/>
    <x v="3"/>
    <x v="0"/>
    <x v="5"/>
    <x v="5"/>
    <n v="1939.83"/>
    <n v="10"/>
    <x v="3"/>
    <n v="658.43"/>
    <x v="156"/>
    <x v="2"/>
    <x v="9"/>
  </r>
  <r>
    <s v="ORD-2716"/>
    <x v="138"/>
    <d v="2024-09-16T00:00:00"/>
    <x v="2"/>
    <x v="1"/>
    <x v="1"/>
    <x v="10"/>
    <n v="1217.83"/>
    <n v="13"/>
    <x v="5"/>
    <n v="347.06"/>
    <x v="26"/>
    <x v="1"/>
    <x v="9"/>
  </r>
  <r>
    <s v="ORD-2717"/>
    <x v="145"/>
    <d v="2024-04-10T00:00:00"/>
    <x v="3"/>
    <x v="0"/>
    <x v="0"/>
    <x v="9"/>
    <n v="656.5"/>
    <n v="11"/>
    <x v="2"/>
    <n v="152.62"/>
    <x v="141"/>
    <x v="1"/>
    <x v="3"/>
  </r>
  <r>
    <s v="ORD-2718"/>
    <x v="19"/>
    <d v="2024-01-28T00:00:00"/>
    <x v="2"/>
    <x v="1"/>
    <x v="1"/>
    <x v="1"/>
    <n v="905.9"/>
    <n v="10"/>
    <x v="4"/>
    <n v="307.08999999999997"/>
    <x v="49"/>
    <x v="0"/>
    <x v="5"/>
  </r>
  <r>
    <s v="ORD-2719"/>
    <x v="187"/>
    <d v="2024-08-14T00:00:00"/>
    <x v="2"/>
    <x v="2"/>
    <x v="9"/>
    <x v="14"/>
    <n v="3114.28"/>
    <n v="20"/>
    <x v="1"/>
    <n v="-520.22"/>
    <x v="32"/>
    <x v="0"/>
    <x v="4"/>
  </r>
  <r>
    <s v="ORD-2720"/>
    <x v="104"/>
    <d v="2024-04-04T00:00:00"/>
    <x v="0"/>
    <x v="1"/>
    <x v="3"/>
    <x v="26"/>
    <n v="2250.2800000000002"/>
    <n v="17"/>
    <x v="0"/>
    <n v="-374.61"/>
    <x v="58"/>
    <x v="2"/>
    <x v="11"/>
  </r>
  <r>
    <s v="ORD-2721"/>
    <x v="264"/>
    <d v="2024-10-01T00:00:00"/>
    <x v="0"/>
    <x v="2"/>
    <x v="9"/>
    <x v="27"/>
    <n v="2916.13"/>
    <n v="18"/>
    <x v="4"/>
    <n v="-317.17"/>
    <x v="202"/>
    <x v="1"/>
    <x v="1"/>
  </r>
  <r>
    <s v="ORD-2722"/>
    <x v="278"/>
    <d v="2024-10-27T00:00:00"/>
    <x v="2"/>
    <x v="1"/>
    <x v="3"/>
    <x v="25"/>
    <n v="755.91"/>
    <n v="14"/>
    <x v="3"/>
    <n v="231.17"/>
    <x v="181"/>
    <x v="0"/>
    <x v="1"/>
  </r>
  <r>
    <s v="ORD-2723"/>
    <x v="119"/>
    <d v="2024-08-06T00:00:00"/>
    <x v="1"/>
    <x v="0"/>
    <x v="5"/>
    <x v="18"/>
    <n v="450.52"/>
    <n v="17"/>
    <x v="3"/>
    <n v="53.45"/>
    <x v="76"/>
    <x v="1"/>
    <x v="4"/>
  </r>
  <r>
    <s v="ORD-2724"/>
    <x v="207"/>
    <d v="2024-09-07T00:00:00"/>
    <x v="1"/>
    <x v="2"/>
    <x v="2"/>
    <x v="33"/>
    <n v="2457.7800000000002"/>
    <n v="13"/>
    <x v="2"/>
    <n v="158.35"/>
    <x v="170"/>
    <x v="1"/>
    <x v="9"/>
  </r>
  <r>
    <s v="ORD-2725"/>
    <x v="303"/>
    <d v="2024-11-23T00:00:00"/>
    <x v="3"/>
    <x v="2"/>
    <x v="10"/>
    <x v="17"/>
    <n v="729.69"/>
    <n v="18"/>
    <x v="0"/>
    <n v="200.92"/>
    <x v="139"/>
    <x v="1"/>
    <x v="0"/>
  </r>
  <r>
    <s v="ORD-2726"/>
    <x v="117"/>
    <d v="2024-05-14T00:00:00"/>
    <x v="3"/>
    <x v="1"/>
    <x v="1"/>
    <x v="20"/>
    <n v="3792.15"/>
    <n v="9"/>
    <x v="3"/>
    <n v="932.29"/>
    <x v="39"/>
    <x v="2"/>
    <x v="7"/>
  </r>
  <r>
    <s v="ORD-2727"/>
    <x v="317"/>
    <d v="2024-09-01T00:00:00"/>
    <x v="1"/>
    <x v="1"/>
    <x v="1"/>
    <x v="1"/>
    <n v="774.79"/>
    <n v="7"/>
    <x v="4"/>
    <n v="255.99"/>
    <x v="88"/>
    <x v="1"/>
    <x v="4"/>
  </r>
  <r>
    <s v="ORD-2728"/>
    <x v="105"/>
    <d v="2024-06-02T00:00:00"/>
    <x v="0"/>
    <x v="2"/>
    <x v="9"/>
    <x v="27"/>
    <n v="3115.59"/>
    <n v="8"/>
    <x v="0"/>
    <n v="430.08"/>
    <x v="121"/>
    <x v="2"/>
    <x v="7"/>
  </r>
  <r>
    <s v="ORD-2729"/>
    <x v="363"/>
    <d v="2024-04-02T00:00:00"/>
    <x v="1"/>
    <x v="1"/>
    <x v="1"/>
    <x v="20"/>
    <n v="2270.86"/>
    <n v="6"/>
    <x v="1"/>
    <n v="725.14"/>
    <x v="126"/>
    <x v="0"/>
    <x v="11"/>
  </r>
  <r>
    <s v="ORD-2730"/>
    <x v="342"/>
    <d v="2024-01-07T00:00:00"/>
    <x v="0"/>
    <x v="0"/>
    <x v="6"/>
    <x v="15"/>
    <n v="3350.13"/>
    <n v="9"/>
    <x v="3"/>
    <n v="885.87"/>
    <x v="205"/>
    <x v="1"/>
    <x v="5"/>
  </r>
  <r>
    <s v="ORD-2731"/>
    <x v="230"/>
    <d v="2024-07-19T00:00:00"/>
    <x v="3"/>
    <x v="0"/>
    <x v="7"/>
    <x v="24"/>
    <n v="2590.48"/>
    <n v="8"/>
    <x v="3"/>
    <n v="788.36"/>
    <x v="189"/>
    <x v="2"/>
    <x v="10"/>
  </r>
  <r>
    <s v="ORD-2732"/>
    <x v="342"/>
    <d v="2024-01-07T00:00:00"/>
    <x v="0"/>
    <x v="0"/>
    <x v="5"/>
    <x v="5"/>
    <n v="3522.2"/>
    <n v="15"/>
    <x v="5"/>
    <n v="709.89"/>
    <x v="69"/>
    <x v="1"/>
    <x v="5"/>
  </r>
  <r>
    <s v="ORD-2733"/>
    <x v="24"/>
    <d v="2024-02-10T00:00:00"/>
    <x v="3"/>
    <x v="1"/>
    <x v="3"/>
    <x v="26"/>
    <n v="1203.97"/>
    <n v="12"/>
    <x v="3"/>
    <n v="-154.79"/>
    <x v="210"/>
    <x v="1"/>
    <x v="8"/>
  </r>
  <r>
    <s v="ORD-2734"/>
    <x v="151"/>
    <d v="2024-10-02T00:00:00"/>
    <x v="3"/>
    <x v="0"/>
    <x v="5"/>
    <x v="19"/>
    <n v="2510.38"/>
    <n v="7"/>
    <x v="5"/>
    <n v="656.15"/>
    <x v="209"/>
    <x v="1"/>
    <x v="9"/>
  </r>
  <r>
    <s v="ORD-2735"/>
    <x v="74"/>
    <d v="2024-01-13T00:00:00"/>
    <x v="1"/>
    <x v="0"/>
    <x v="5"/>
    <x v="18"/>
    <n v="2262.37"/>
    <n v="17"/>
    <x v="2"/>
    <n v="561.79"/>
    <x v="116"/>
    <x v="2"/>
    <x v="5"/>
  </r>
  <r>
    <s v="ORD-2736"/>
    <x v="230"/>
    <d v="2024-07-22T00:00:00"/>
    <x v="1"/>
    <x v="0"/>
    <x v="5"/>
    <x v="19"/>
    <n v="3974.53"/>
    <n v="11"/>
    <x v="5"/>
    <n v="-888.83"/>
    <x v="82"/>
    <x v="0"/>
    <x v="10"/>
  </r>
  <r>
    <s v="ORD-2737"/>
    <x v="207"/>
    <d v="2024-09-03T00:00:00"/>
    <x v="3"/>
    <x v="2"/>
    <x v="10"/>
    <x v="17"/>
    <n v="1663.16"/>
    <n v="2"/>
    <x v="1"/>
    <n v="513.17999999999995"/>
    <x v="11"/>
    <x v="0"/>
    <x v="9"/>
  </r>
  <r>
    <s v="ORD-2738"/>
    <x v="45"/>
    <d v="2024-10-09T00:00:00"/>
    <x v="3"/>
    <x v="1"/>
    <x v="3"/>
    <x v="32"/>
    <n v="3642.09"/>
    <n v="18"/>
    <x v="0"/>
    <n v="429.46"/>
    <x v="5"/>
    <x v="1"/>
    <x v="1"/>
  </r>
  <r>
    <s v="ORD-2739"/>
    <x v="199"/>
    <d v="2024-09-26T00:00:00"/>
    <x v="1"/>
    <x v="0"/>
    <x v="5"/>
    <x v="18"/>
    <n v="3909.2"/>
    <n v="18"/>
    <x v="5"/>
    <n v="230.74"/>
    <x v="224"/>
    <x v="1"/>
    <x v="9"/>
  </r>
  <r>
    <s v="ORD-2740"/>
    <x v="252"/>
    <d v="2024-03-24T00:00:00"/>
    <x v="1"/>
    <x v="0"/>
    <x v="5"/>
    <x v="5"/>
    <n v="2417.7800000000002"/>
    <n v="7"/>
    <x v="4"/>
    <n v="-226.57"/>
    <x v="154"/>
    <x v="2"/>
    <x v="11"/>
  </r>
  <r>
    <s v="ORD-2741"/>
    <x v="148"/>
    <d v="2024-02-29T00:00:00"/>
    <x v="1"/>
    <x v="1"/>
    <x v="1"/>
    <x v="1"/>
    <n v="311.04000000000002"/>
    <n v="17"/>
    <x v="5"/>
    <n v="58.6"/>
    <x v="16"/>
    <x v="1"/>
    <x v="8"/>
  </r>
  <r>
    <s v="ORD-2742"/>
    <x v="5"/>
    <d v="2024-01-24T00:00:00"/>
    <x v="2"/>
    <x v="0"/>
    <x v="6"/>
    <x v="8"/>
    <n v="292.02"/>
    <n v="3"/>
    <x v="3"/>
    <n v="31.19"/>
    <x v="209"/>
    <x v="1"/>
    <x v="5"/>
  </r>
  <r>
    <s v="ORD-2743"/>
    <x v="40"/>
    <d v="2024-02-21T00:00:00"/>
    <x v="0"/>
    <x v="0"/>
    <x v="7"/>
    <x v="12"/>
    <n v="1335.11"/>
    <n v="11"/>
    <x v="0"/>
    <n v="164.47"/>
    <x v="214"/>
    <x v="0"/>
    <x v="8"/>
  </r>
  <r>
    <s v="ORD-2744"/>
    <x v="233"/>
    <d v="2024-10-28T00:00:00"/>
    <x v="2"/>
    <x v="2"/>
    <x v="9"/>
    <x v="30"/>
    <n v="2655.68"/>
    <n v="7"/>
    <x v="3"/>
    <n v="379.23"/>
    <x v="227"/>
    <x v="1"/>
    <x v="1"/>
  </r>
  <r>
    <s v="ORD-2745"/>
    <x v="233"/>
    <d v="2024-11-02T00:00:00"/>
    <x v="0"/>
    <x v="1"/>
    <x v="1"/>
    <x v="1"/>
    <n v="3000.01"/>
    <n v="1"/>
    <x v="5"/>
    <n v="901.77"/>
    <x v="94"/>
    <x v="2"/>
    <x v="1"/>
  </r>
  <r>
    <s v="ORD-2746"/>
    <x v="353"/>
    <d v="2024-04-03T00:00:00"/>
    <x v="3"/>
    <x v="2"/>
    <x v="2"/>
    <x v="33"/>
    <n v="2456.2199999999998"/>
    <n v="15"/>
    <x v="1"/>
    <n v="367.01"/>
    <x v="150"/>
    <x v="0"/>
    <x v="3"/>
  </r>
  <r>
    <s v="ORD-2747"/>
    <x v="5"/>
    <d v="2024-01-30T00:00:00"/>
    <x v="2"/>
    <x v="0"/>
    <x v="6"/>
    <x v="6"/>
    <n v="1257.52"/>
    <n v="3"/>
    <x v="1"/>
    <n v="404.29"/>
    <x v="74"/>
    <x v="1"/>
    <x v="5"/>
  </r>
  <r>
    <s v="ORD-2748"/>
    <x v="156"/>
    <d v="2024-07-12T00:00:00"/>
    <x v="0"/>
    <x v="0"/>
    <x v="5"/>
    <x v="5"/>
    <n v="3402.71"/>
    <n v="8"/>
    <x v="3"/>
    <n v="171.75"/>
    <x v="9"/>
    <x v="0"/>
    <x v="10"/>
  </r>
  <r>
    <s v="ORD-2749"/>
    <x v="346"/>
    <d v="2024-06-15T00:00:00"/>
    <x v="2"/>
    <x v="0"/>
    <x v="0"/>
    <x v="22"/>
    <n v="407.34"/>
    <n v="20"/>
    <x v="1"/>
    <n v="65.25"/>
    <x v="200"/>
    <x v="1"/>
    <x v="6"/>
  </r>
  <r>
    <s v="ORD-2750"/>
    <x v="298"/>
    <d v="2024-04-15T00:00:00"/>
    <x v="2"/>
    <x v="0"/>
    <x v="7"/>
    <x v="24"/>
    <n v="2327.35"/>
    <n v="13"/>
    <x v="2"/>
    <n v="623"/>
    <x v="33"/>
    <x v="1"/>
    <x v="3"/>
  </r>
  <r>
    <s v="ORD-2751"/>
    <x v="301"/>
    <d v="2024-07-28T00:00:00"/>
    <x v="2"/>
    <x v="0"/>
    <x v="6"/>
    <x v="8"/>
    <n v="2229.83"/>
    <n v="18"/>
    <x v="5"/>
    <n v="484.79"/>
    <x v="83"/>
    <x v="0"/>
    <x v="10"/>
  </r>
  <r>
    <s v="ORD-2752"/>
    <x v="303"/>
    <d v="2024-11-22T00:00:00"/>
    <x v="2"/>
    <x v="0"/>
    <x v="6"/>
    <x v="8"/>
    <n v="1615.32"/>
    <n v="12"/>
    <x v="2"/>
    <n v="288.54000000000002"/>
    <x v="137"/>
    <x v="2"/>
    <x v="0"/>
  </r>
  <r>
    <s v="ORD-2753"/>
    <x v="107"/>
    <d v="2024-02-16T00:00:00"/>
    <x v="2"/>
    <x v="1"/>
    <x v="4"/>
    <x v="11"/>
    <n v="724.39"/>
    <n v="3"/>
    <x v="4"/>
    <n v="130.02000000000001"/>
    <x v="120"/>
    <x v="2"/>
    <x v="8"/>
  </r>
  <r>
    <s v="ORD-2754"/>
    <x v="204"/>
    <d v="2024-07-09T00:00:00"/>
    <x v="1"/>
    <x v="2"/>
    <x v="8"/>
    <x v="23"/>
    <n v="3916.67"/>
    <n v="18"/>
    <x v="1"/>
    <n v="1090.07"/>
    <x v="104"/>
    <x v="1"/>
    <x v="10"/>
  </r>
  <r>
    <s v="ORD-2755"/>
    <x v="18"/>
    <d v="2024-10-24T00:00:00"/>
    <x v="1"/>
    <x v="1"/>
    <x v="3"/>
    <x v="26"/>
    <n v="1508.55"/>
    <n v="11"/>
    <x v="1"/>
    <n v="283.87"/>
    <x v="78"/>
    <x v="2"/>
    <x v="1"/>
  </r>
  <r>
    <s v="ORD-2756"/>
    <x v="75"/>
    <d v="2024-12-28T00:00:00"/>
    <x v="1"/>
    <x v="2"/>
    <x v="2"/>
    <x v="21"/>
    <n v="2507.96"/>
    <n v="3"/>
    <x v="1"/>
    <n v="533.04999999999995"/>
    <x v="210"/>
    <x v="2"/>
    <x v="2"/>
  </r>
  <r>
    <s v="ORD-2757"/>
    <x v="258"/>
    <d v="2024-11-28T00:00:00"/>
    <x v="3"/>
    <x v="1"/>
    <x v="4"/>
    <x v="4"/>
    <n v="3774.87"/>
    <n v="14"/>
    <x v="3"/>
    <n v="-389.22"/>
    <x v="175"/>
    <x v="0"/>
    <x v="0"/>
  </r>
  <r>
    <s v="ORD-2758"/>
    <x v="336"/>
    <d v="2024-09-06T00:00:00"/>
    <x v="0"/>
    <x v="2"/>
    <x v="8"/>
    <x v="13"/>
    <n v="3556.16"/>
    <n v="9"/>
    <x v="0"/>
    <n v="958.11"/>
    <x v="159"/>
    <x v="1"/>
    <x v="9"/>
  </r>
  <r>
    <s v="ORD-2759"/>
    <x v="275"/>
    <d v="2024-03-09T00:00:00"/>
    <x v="3"/>
    <x v="0"/>
    <x v="0"/>
    <x v="31"/>
    <n v="2072.9"/>
    <n v="2"/>
    <x v="3"/>
    <n v="374.23"/>
    <x v="100"/>
    <x v="1"/>
    <x v="11"/>
  </r>
  <r>
    <s v="ORD-2760"/>
    <x v="225"/>
    <d v="2024-01-04T00:00:00"/>
    <x v="1"/>
    <x v="2"/>
    <x v="9"/>
    <x v="14"/>
    <n v="2913.65"/>
    <n v="1"/>
    <x v="0"/>
    <n v="189.2"/>
    <x v="46"/>
    <x v="0"/>
    <x v="5"/>
  </r>
  <r>
    <s v="ORD-2761"/>
    <x v="177"/>
    <d v="2024-04-27T00:00:00"/>
    <x v="2"/>
    <x v="2"/>
    <x v="8"/>
    <x v="23"/>
    <n v="893.79"/>
    <n v="5"/>
    <x v="3"/>
    <n v="271.97000000000003"/>
    <x v="200"/>
    <x v="2"/>
    <x v="3"/>
  </r>
  <r>
    <s v="ORD-2762"/>
    <x v="104"/>
    <d v="2024-04-02T00:00:00"/>
    <x v="3"/>
    <x v="0"/>
    <x v="0"/>
    <x v="9"/>
    <n v="469.04"/>
    <n v="16"/>
    <x v="2"/>
    <n v="115.19"/>
    <x v="97"/>
    <x v="1"/>
    <x v="11"/>
  </r>
  <r>
    <s v="ORD-2763"/>
    <x v="248"/>
    <d v="2024-09-23T00:00:00"/>
    <x v="1"/>
    <x v="0"/>
    <x v="0"/>
    <x v="22"/>
    <n v="1151.3900000000001"/>
    <n v="5"/>
    <x v="5"/>
    <n v="82.61"/>
    <x v="206"/>
    <x v="0"/>
    <x v="9"/>
  </r>
  <r>
    <s v="ORD-2764"/>
    <x v="357"/>
    <d v="2024-10-09T00:00:00"/>
    <x v="0"/>
    <x v="2"/>
    <x v="8"/>
    <x v="16"/>
    <n v="3198.63"/>
    <n v="18"/>
    <x v="0"/>
    <n v="829.74"/>
    <x v="115"/>
    <x v="0"/>
    <x v="1"/>
  </r>
  <r>
    <s v="ORD-2765"/>
    <x v="72"/>
    <d v="2024-02-17T00:00:00"/>
    <x v="3"/>
    <x v="1"/>
    <x v="4"/>
    <x v="11"/>
    <n v="3414.4"/>
    <n v="4"/>
    <x v="0"/>
    <n v="258.99"/>
    <x v="140"/>
    <x v="2"/>
    <x v="8"/>
  </r>
  <r>
    <s v="ORD-2766"/>
    <x v="221"/>
    <d v="2024-02-11T00:00:00"/>
    <x v="3"/>
    <x v="1"/>
    <x v="3"/>
    <x v="3"/>
    <n v="3328.06"/>
    <n v="5"/>
    <x v="4"/>
    <n v="210.18"/>
    <x v="69"/>
    <x v="0"/>
    <x v="8"/>
  </r>
  <r>
    <s v="ORD-2767"/>
    <x v="294"/>
    <d v="2024-08-13T00:00:00"/>
    <x v="0"/>
    <x v="1"/>
    <x v="3"/>
    <x v="26"/>
    <n v="3647.69"/>
    <n v="3"/>
    <x v="2"/>
    <n v="810.52"/>
    <x v="143"/>
    <x v="2"/>
    <x v="4"/>
  </r>
  <r>
    <s v="ORD-2768"/>
    <x v="272"/>
    <d v="2025-01-04T00:00:00"/>
    <x v="3"/>
    <x v="1"/>
    <x v="4"/>
    <x v="11"/>
    <n v="3240.43"/>
    <n v="17"/>
    <x v="5"/>
    <n v="563.71"/>
    <x v="148"/>
    <x v="1"/>
    <x v="2"/>
  </r>
  <r>
    <s v="ORD-2769"/>
    <x v="360"/>
    <d v="2024-04-25T00:00:00"/>
    <x v="3"/>
    <x v="1"/>
    <x v="4"/>
    <x v="4"/>
    <n v="1296.3599999999999"/>
    <n v="16"/>
    <x v="1"/>
    <n v="225.6"/>
    <x v="17"/>
    <x v="2"/>
    <x v="3"/>
  </r>
  <r>
    <s v="ORD-2770"/>
    <x v="327"/>
    <d v="2024-11-17T00:00:00"/>
    <x v="2"/>
    <x v="1"/>
    <x v="3"/>
    <x v="3"/>
    <n v="1049.57"/>
    <n v="3"/>
    <x v="1"/>
    <n v="-133.66"/>
    <x v="28"/>
    <x v="0"/>
    <x v="0"/>
  </r>
  <r>
    <s v="ORD-2771"/>
    <x v="267"/>
    <d v="2024-07-05T00:00:00"/>
    <x v="1"/>
    <x v="0"/>
    <x v="7"/>
    <x v="29"/>
    <n v="2006.02"/>
    <n v="10"/>
    <x v="4"/>
    <n v="684.55"/>
    <x v="168"/>
    <x v="0"/>
    <x v="6"/>
  </r>
  <r>
    <s v="ORD-2772"/>
    <x v="190"/>
    <d v="2024-07-10T00:00:00"/>
    <x v="3"/>
    <x v="0"/>
    <x v="7"/>
    <x v="24"/>
    <n v="3517.59"/>
    <n v="5"/>
    <x v="5"/>
    <n v="735.11"/>
    <x v="130"/>
    <x v="2"/>
    <x v="10"/>
  </r>
  <r>
    <s v="ORD-2773"/>
    <x v="281"/>
    <d v="2024-05-25T00:00:00"/>
    <x v="0"/>
    <x v="0"/>
    <x v="6"/>
    <x v="6"/>
    <n v="976.59"/>
    <n v="18"/>
    <x v="4"/>
    <n v="338.8"/>
    <x v="136"/>
    <x v="1"/>
    <x v="7"/>
  </r>
  <r>
    <s v="ORD-2774"/>
    <x v="256"/>
    <d v="2024-06-05T00:00:00"/>
    <x v="3"/>
    <x v="1"/>
    <x v="3"/>
    <x v="32"/>
    <n v="1684.84"/>
    <n v="10"/>
    <x v="5"/>
    <n v="546.73"/>
    <x v="90"/>
    <x v="0"/>
    <x v="6"/>
  </r>
  <r>
    <s v="ORD-2775"/>
    <x v="142"/>
    <d v="2024-06-23T00:00:00"/>
    <x v="0"/>
    <x v="2"/>
    <x v="9"/>
    <x v="27"/>
    <n v="2892.58"/>
    <n v="13"/>
    <x v="3"/>
    <n v="534.25"/>
    <x v="74"/>
    <x v="0"/>
    <x v="6"/>
  </r>
  <r>
    <s v="ORD-2776"/>
    <x v="14"/>
    <d v="2024-02-15T00:00:00"/>
    <x v="2"/>
    <x v="1"/>
    <x v="1"/>
    <x v="20"/>
    <n v="935.4"/>
    <n v="1"/>
    <x v="2"/>
    <n v="56.32"/>
    <x v="143"/>
    <x v="2"/>
    <x v="8"/>
  </r>
  <r>
    <s v="ORD-2777"/>
    <x v="283"/>
    <d v="2024-06-16T00:00:00"/>
    <x v="0"/>
    <x v="2"/>
    <x v="2"/>
    <x v="33"/>
    <n v="353.34"/>
    <n v="20"/>
    <x v="1"/>
    <n v="-111.95"/>
    <x v="183"/>
    <x v="2"/>
    <x v="6"/>
  </r>
  <r>
    <s v="ORD-2778"/>
    <x v="289"/>
    <d v="2024-02-13T00:00:00"/>
    <x v="2"/>
    <x v="0"/>
    <x v="6"/>
    <x v="8"/>
    <n v="2503.85"/>
    <n v="1"/>
    <x v="4"/>
    <n v="371.97"/>
    <x v="35"/>
    <x v="0"/>
    <x v="8"/>
  </r>
  <r>
    <s v="ORD-2779"/>
    <x v="96"/>
    <d v="2024-08-21T00:00:00"/>
    <x v="0"/>
    <x v="0"/>
    <x v="7"/>
    <x v="29"/>
    <n v="2626.92"/>
    <n v="13"/>
    <x v="0"/>
    <n v="620.73"/>
    <x v="46"/>
    <x v="1"/>
    <x v="4"/>
  </r>
  <r>
    <s v="ORD-2780"/>
    <x v="26"/>
    <d v="2024-06-14T00:00:00"/>
    <x v="0"/>
    <x v="0"/>
    <x v="7"/>
    <x v="29"/>
    <n v="3598.63"/>
    <n v="5"/>
    <x v="4"/>
    <n v="652.51"/>
    <x v="194"/>
    <x v="0"/>
    <x v="6"/>
  </r>
  <r>
    <s v="ORD-2781"/>
    <x v="25"/>
    <d v="2024-10-21T00:00:00"/>
    <x v="0"/>
    <x v="1"/>
    <x v="1"/>
    <x v="10"/>
    <n v="3098.3"/>
    <n v="2"/>
    <x v="1"/>
    <n v="451.89"/>
    <x v="120"/>
    <x v="0"/>
    <x v="1"/>
  </r>
  <r>
    <s v="ORD-2782"/>
    <x v="353"/>
    <d v="2024-04-08T00:00:00"/>
    <x v="3"/>
    <x v="2"/>
    <x v="2"/>
    <x v="2"/>
    <n v="1892.73"/>
    <n v="2"/>
    <x v="5"/>
    <n v="151.36000000000001"/>
    <x v="80"/>
    <x v="2"/>
    <x v="3"/>
  </r>
  <r>
    <s v="ORD-2783"/>
    <x v="132"/>
    <d v="2024-04-09T00:00:00"/>
    <x v="2"/>
    <x v="0"/>
    <x v="5"/>
    <x v="19"/>
    <n v="2906.11"/>
    <n v="19"/>
    <x v="0"/>
    <n v="-464.53"/>
    <x v="67"/>
    <x v="1"/>
    <x v="3"/>
  </r>
  <r>
    <s v="ORD-2784"/>
    <x v="271"/>
    <d v="2024-04-29T00:00:00"/>
    <x v="0"/>
    <x v="1"/>
    <x v="3"/>
    <x v="26"/>
    <n v="3840.22"/>
    <n v="20"/>
    <x v="4"/>
    <n v="1309.32"/>
    <x v="19"/>
    <x v="2"/>
    <x v="3"/>
  </r>
  <r>
    <s v="ORD-2785"/>
    <x v="342"/>
    <d v="2024-01-10T00:00:00"/>
    <x v="0"/>
    <x v="1"/>
    <x v="3"/>
    <x v="26"/>
    <n v="722.71"/>
    <n v="2"/>
    <x v="4"/>
    <n v="129.02000000000001"/>
    <x v="154"/>
    <x v="1"/>
    <x v="5"/>
  </r>
  <r>
    <s v="ORD-2786"/>
    <x v="304"/>
    <d v="2024-12-27T00:00:00"/>
    <x v="0"/>
    <x v="1"/>
    <x v="4"/>
    <x v="4"/>
    <n v="2600.73"/>
    <n v="4"/>
    <x v="4"/>
    <n v="902.83"/>
    <x v="104"/>
    <x v="2"/>
    <x v="2"/>
  </r>
  <r>
    <s v="ORD-2787"/>
    <x v="57"/>
    <d v="2024-11-13T00:00:00"/>
    <x v="3"/>
    <x v="2"/>
    <x v="10"/>
    <x v="17"/>
    <n v="2822.59"/>
    <n v="11"/>
    <x v="4"/>
    <n v="179.83"/>
    <x v="33"/>
    <x v="2"/>
    <x v="0"/>
  </r>
  <r>
    <s v="ORD-2788"/>
    <x v="334"/>
    <d v="2024-01-18T00:00:00"/>
    <x v="2"/>
    <x v="2"/>
    <x v="8"/>
    <x v="13"/>
    <n v="322.08"/>
    <n v="19"/>
    <x v="5"/>
    <n v="107.21"/>
    <x v="94"/>
    <x v="1"/>
    <x v="5"/>
  </r>
  <r>
    <s v="ORD-2789"/>
    <x v="277"/>
    <d v="2024-10-07T00:00:00"/>
    <x v="0"/>
    <x v="0"/>
    <x v="6"/>
    <x v="6"/>
    <n v="2040.63"/>
    <n v="2"/>
    <x v="0"/>
    <n v="650.21"/>
    <x v="4"/>
    <x v="1"/>
    <x v="1"/>
  </r>
  <r>
    <s v="ORD-2790"/>
    <x v="171"/>
    <d v="2024-09-17T00:00:00"/>
    <x v="1"/>
    <x v="0"/>
    <x v="7"/>
    <x v="12"/>
    <n v="976.92"/>
    <n v="10"/>
    <x v="3"/>
    <n v="219.14"/>
    <x v="0"/>
    <x v="0"/>
    <x v="9"/>
  </r>
  <r>
    <s v="ORD-2791"/>
    <x v="215"/>
    <d v="2024-07-13T00:00:00"/>
    <x v="0"/>
    <x v="1"/>
    <x v="3"/>
    <x v="25"/>
    <n v="1969.29"/>
    <n v="6"/>
    <x v="3"/>
    <n v="292.3"/>
    <x v="138"/>
    <x v="1"/>
    <x v="10"/>
  </r>
  <r>
    <s v="ORD-2792"/>
    <x v="335"/>
    <d v="2024-11-25T00:00:00"/>
    <x v="0"/>
    <x v="1"/>
    <x v="3"/>
    <x v="32"/>
    <n v="3945.13"/>
    <n v="11"/>
    <x v="3"/>
    <n v="351.13"/>
    <x v="202"/>
    <x v="0"/>
    <x v="0"/>
  </r>
  <r>
    <s v="ORD-2793"/>
    <x v="105"/>
    <d v="2024-05-27T00:00:00"/>
    <x v="2"/>
    <x v="0"/>
    <x v="0"/>
    <x v="0"/>
    <n v="2432.92"/>
    <n v="6"/>
    <x v="0"/>
    <n v="812.86"/>
    <x v="103"/>
    <x v="1"/>
    <x v="7"/>
  </r>
  <r>
    <s v="ORD-2794"/>
    <x v="155"/>
    <d v="2024-03-20T00:00:00"/>
    <x v="1"/>
    <x v="2"/>
    <x v="2"/>
    <x v="2"/>
    <n v="511.54"/>
    <n v="2"/>
    <x v="2"/>
    <n v="31.69"/>
    <x v="176"/>
    <x v="1"/>
    <x v="11"/>
  </r>
  <r>
    <s v="ORD-2795"/>
    <x v="51"/>
    <d v="2024-08-03T00:00:00"/>
    <x v="3"/>
    <x v="1"/>
    <x v="1"/>
    <x v="20"/>
    <n v="3116.15"/>
    <n v="18"/>
    <x v="2"/>
    <n v="1009.81"/>
    <x v="8"/>
    <x v="0"/>
    <x v="4"/>
  </r>
  <r>
    <s v="ORD-2796"/>
    <x v="167"/>
    <d v="2024-05-04T00:00:00"/>
    <x v="1"/>
    <x v="1"/>
    <x v="1"/>
    <x v="10"/>
    <n v="1722.18"/>
    <n v="8"/>
    <x v="4"/>
    <n v="-404.51"/>
    <x v="105"/>
    <x v="2"/>
    <x v="7"/>
  </r>
  <r>
    <s v="ORD-2797"/>
    <x v="229"/>
    <d v="2024-12-18T00:00:00"/>
    <x v="2"/>
    <x v="2"/>
    <x v="9"/>
    <x v="27"/>
    <n v="3464.54"/>
    <n v="6"/>
    <x v="1"/>
    <n v="350.95"/>
    <x v="155"/>
    <x v="0"/>
    <x v="2"/>
  </r>
  <r>
    <s v="ORD-2798"/>
    <x v="149"/>
    <d v="2024-08-08T00:00:00"/>
    <x v="1"/>
    <x v="2"/>
    <x v="8"/>
    <x v="16"/>
    <n v="3824.69"/>
    <n v="8"/>
    <x v="5"/>
    <n v="961.19"/>
    <x v="18"/>
    <x v="0"/>
    <x v="4"/>
  </r>
  <r>
    <s v="ORD-2799"/>
    <x v="270"/>
    <d v="2024-01-07T00:00:00"/>
    <x v="2"/>
    <x v="2"/>
    <x v="2"/>
    <x v="33"/>
    <n v="949.52"/>
    <n v="9"/>
    <x v="5"/>
    <n v="327.58"/>
    <x v="119"/>
    <x v="0"/>
    <x v="5"/>
  </r>
  <r>
    <s v="ORD-2800"/>
    <x v="259"/>
    <d v="2024-12-23T00:00:00"/>
    <x v="0"/>
    <x v="2"/>
    <x v="8"/>
    <x v="16"/>
    <n v="3254.32"/>
    <n v="6"/>
    <x v="4"/>
    <n v="859.49"/>
    <x v="218"/>
    <x v="2"/>
    <x v="2"/>
  </r>
  <r>
    <s v="ORD-2801"/>
    <x v="83"/>
    <d v="2024-04-05T00:00:00"/>
    <x v="2"/>
    <x v="0"/>
    <x v="7"/>
    <x v="29"/>
    <n v="2676.38"/>
    <n v="20"/>
    <x v="0"/>
    <n v="-663.95"/>
    <x v="110"/>
    <x v="1"/>
    <x v="3"/>
  </r>
  <r>
    <s v="ORD-2802"/>
    <x v="63"/>
    <d v="2024-09-26T00:00:00"/>
    <x v="2"/>
    <x v="0"/>
    <x v="5"/>
    <x v="5"/>
    <n v="1622.66"/>
    <n v="4"/>
    <x v="5"/>
    <n v="-132.94"/>
    <x v="234"/>
    <x v="2"/>
    <x v="9"/>
  </r>
  <r>
    <s v="ORD-2803"/>
    <x v="164"/>
    <d v="2024-08-14T00:00:00"/>
    <x v="3"/>
    <x v="2"/>
    <x v="8"/>
    <x v="13"/>
    <n v="2457.0300000000002"/>
    <n v="11"/>
    <x v="2"/>
    <n v="675.41"/>
    <x v="169"/>
    <x v="2"/>
    <x v="4"/>
  </r>
  <r>
    <s v="ORD-2804"/>
    <x v="64"/>
    <d v="2024-08-30T00:00:00"/>
    <x v="0"/>
    <x v="2"/>
    <x v="8"/>
    <x v="13"/>
    <n v="438.79"/>
    <n v="11"/>
    <x v="4"/>
    <n v="84.96"/>
    <x v="30"/>
    <x v="0"/>
    <x v="4"/>
  </r>
  <r>
    <s v="ORD-2805"/>
    <x v="212"/>
    <d v="2024-12-27T00:00:00"/>
    <x v="0"/>
    <x v="0"/>
    <x v="6"/>
    <x v="15"/>
    <n v="2156.9499999999998"/>
    <n v="19"/>
    <x v="5"/>
    <n v="689.72"/>
    <x v="107"/>
    <x v="1"/>
    <x v="2"/>
  </r>
  <r>
    <s v="ORD-2806"/>
    <x v="30"/>
    <d v="2024-05-26T00:00:00"/>
    <x v="3"/>
    <x v="1"/>
    <x v="4"/>
    <x v="11"/>
    <n v="3982.86"/>
    <n v="5"/>
    <x v="4"/>
    <n v="1062.29"/>
    <x v="3"/>
    <x v="2"/>
    <x v="7"/>
  </r>
  <r>
    <s v="ORD-2807"/>
    <x v="13"/>
    <d v="2024-01-01T00:00:00"/>
    <x v="1"/>
    <x v="0"/>
    <x v="7"/>
    <x v="12"/>
    <n v="1354.55"/>
    <n v="5"/>
    <x v="0"/>
    <n v="444.27"/>
    <x v="86"/>
    <x v="0"/>
    <x v="5"/>
  </r>
  <r>
    <s v="ORD-2808"/>
    <x v="76"/>
    <d v="2024-03-12T00:00:00"/>
    <x v="0"/>
    <x v="2"/>
    <x v="8"/>
    <x v="23"/>
    <n v="1295.29"/>
    <n v="9"/>
    <x v="0"/>
    <n v="-146.91999999999999"/>
    <x v="47"/>
    <x v="0"/>
    <x v="11"/>
  </r>
  <r>
    <s v="ORD-2809"/>
    <x v="63"/>
    <d v="2024-09-26T00:00:00"/>
    <x v="0"/>
    <x v="2"/>
    <x v="2"/>
    <x v="33"/>
    <n v="2509.16"/>
    <n v="7"/>
    <x v="0"/>
    <n v="-133.13999999999999"/>
    <x v="61"/>
    <x v="2"/>
    <x v="9"/>
  </r>
  <r>
    <s v="ORD-2810"/>
    <x v="130"/>
    <d v="2024-11-17T00:00:00"/>
    <x v="1"/>
    <x v="1"/>
    <x v="4"/>
    <x v="11"/>
    <n v="3920.03"/>
    <n v="9"/>
    <x v="0"/>
    <n v="1014.36"/>
    <x v="168"/>
    <x v="1"/>
    <x v="0"/>
  </r>
  <r>
    <s v="ORD-2811"/>
    <x v="275"/>
    <d v="2024-03-10T00:00:00"/>
    <x v="2"/>
    <x v="2"/>
    <x v="2"/>
    <x v="2"/>
    <n v="2857.95"/>
    <n v="4"/>
    <x v="4"/>
    <n v="462.64"/>
    <x v="50"/>
    <x v="2"/>
    <x v="11"/>
  </r>
  <r>
    <s v="ORD-2812"/>
    <x v="228"/>
    <d v="2024-03-08T00:00:00"/>
    <x v="2"/>
    <x v="2"/>
    <x v="8"/>
    <x v="23"/>
    <n v="1200.5"/>
    <n v="7"/>
    <x v="1"/>
    <n v="305.70999999999998"/>
    <x v="232"/>
    <x v="0"/>
    <x v="11"/>
  </r>
  <r>
    <s v="ORD-2813"/>
    <x v="351"/>
    <d v="2024-06-28T00:00:00"/>
    <x v="2"/>
    <x v="2"/>
    <x v="9"/>
    <x v="27"/>
    <n v="1742.06"/>
    <n v="19"/>
    <x v="1"/>
    <n v="406.48"/>
    <x v="107"/>
    <x v="1"/>
    <x v="6"/>
  </r>
  <r>
    <s v="ORD-2814"/>
    <x v="244"/>
    <d v="2024-02-06T00:00:00"/>
    <x v="1"/>
    <x v="0"/>
    <x v="5"/>
    <x v="19"/>
    <n v="2809.89"/>
    <n v="3"/>
    <x v="5"/>
    <n v="392.15"/>
    <x v="33"/>
    <x v="1"/>
    <x v="8"/>
  </r>
  <r>
    <s v="ORD-2815"/>
    <x v="32"/>
    <d v="2024-01-23T00:00:00"/>
    <x v="1"/>
    <x v="1"/>
    <x v="1"/>
    <x v="10"/>
    <n v="1179.78"/>
    <n v="18"/>
    <x v="3"/>
    <n v="82.66"/>
    <x v="184"/>
    <x v="0"/>
    <x v="5"/>
  </r>
  <r>
    <s v="ORD-2816"/>
    <x v="217"/>
    <d v="2024-03-26T00:00:00"/>
    <x v="0"/>
    <x v="1"/>
    <x v="1"/>
    <x v="10"/>
    <n v="2075.6799999999998"/>
    <n v="17"/>
    <x v="1"/>
    <n v="332.25"/>
    <x v="65"/>
    <x v="2"/>
    <x v="11"/>
  </r>
  <r>
    <s v="ORD-2817"/>
    <x v="193"/>
    <d v="2024-07-13T00:00:00"/>
    <x v="2"/>
    <x v="2"/>
    <x v="8"/>
    <x v="23"/>
    <n v="1127"/>
    <n v="13"/>
    <x v="4"/>
    <n v="84.79"/>
    <x v="20"/>
    <x v="2"/>
    <x v="10"/>
  </r>
  <r>
    <s v="ORD-2818"/>
    <x v="359"/>
    <d v="2024-07-25T00:00:00"/>
    <x v="3"/>
    <x v="1"/>
    <x v="3"/>
    <x v="26"/>
    <n v="3170.51"/>
    <n v="9"/>
    <x v="3"/>
    <n v="782.51"/>
    <x v="29"/>
    <x v="0"/>
    <x v="10"/>
  </r>
  <r>
    <s v="ORD-2819"/>
    <x v="294"/>
    <d v="2024-08-14T00:00:00"/>
    <x v="1"/>
    <x v="0"/>
    <x v="0"/>
    <x v="0"/>
    <n v="2939.8"/>
    <n v="19"/>
    <x v="5"/>
    <n v="450.19"/>
    <x v="130"/>
    <x v="0"/>
    <x v="4"/>
  </r>
  <r>
    <s v="ORD-2820"/>
    <x v="29"/>
    <d v="2024-11-11T00:00:00"/>
    <x v="1"/>
    <x v="2"/>
    <x v="10"/>
    <x v="28"/>
    <n v="3424.41"/>
    <n v="13"/>
    <x v="4"/>
    <n v="616.91"/>
    <x v="191"/>
    <x v="1"/>
    <x v="0"/>
  </r>
  <r>
    <s v="ORD-2821"/>
    <x v="263"/>
    <d v="2024-02-19T00:00:00"/>
    <x v="1"/>
    <x v="2"/>
    <x v="10"/>
    <x v="17"/>
    <n v="2745.49"/>
    <n v="11"/>
    <x v="0"/>
    <n v="594.24"/>
    <x v="128"/>
    <x v="0"/>
    <x v="8"/>
  </r>
  <r>
    <s v="ORD-2822"/>
    <x v="292"/>
    <d v="2024-12-12T00:00:00"/>
    <x v="0"/>
    <x v="0"/>
    <x v="5"/>
    <x v="5"/>
    <n v="3006.07"/>
    <n v="20"/>
    <x v="0"/>
    <n v="707.36"/>
    <x v="81"/>
    <x v="0"/>
    <x v="2"/>
  </r>
  <r>
    <s v="ORD-2823"/>
    <x v="361"/>
    <d v="2024-07-29T00:00:00"/>
    <x v="1"/>
    <x v="0"/>
    <x v="0"/>
    <x v="9"/>
    <n v="2717.56"/>
    <n v="19"/>
    <x v="0"/>
    <n v="445.9"/>
    <x v="198"/>
    <x v="1"/>
    <x v="10"/>
  </r>
  <r>
    <s v="ORD-2824"/>
    <x v="339"/>
    <d v="2024-10-18T00:00:00"/>
    <x v="1"/>
    <x v="1"/>
    <x v="4"/>
    <x v="4"/>
    <n v="3802.13"/>
    <n v="6"/>
    <x v="3"/>
    <n v="950.58"/>
    <x v="100"/>
    <x v="0"/>
    <x v="1"/>
  </r>
  <r>
    <s v="ORD-2825"/>
    <x v="284"/>
    <d v="2024-05-03T00:00:00"/>
    <x v="1"/>
    <x v="2"/>
    <x v="10"/>
    <x v="28"/>
    <n v="3283.44"/>
    <n v="8"/>
    <x v="1"/>
    <n v="241.68"/>
    <x v="22"/>
    <x v="0"/>
    <x v="3"/>
  </r>
  <r>
    <s v="ORD-2826"/>
    <x v="102"/>
    <d v="2024-12-15T00:00:00"/>
    <x v="2"/>
    <x v="1"/>
    <x v="3"/>
    <x v="26"/>
    <n v="1636.73"/>
    <n v="15"/>
    <x v="0"/>
    <n v="273.52999999999997"/>
    <x v="222"/>
    <x v="2"/>
    <x v="2"/>
  </r>
  <r>
    <s v="ORD-2827"/>
    <x v="236"/>
    <d v="2024-12-15T00:00:00"/>
    <x v="2"/>
    <x v="2"/>
    <x v="9"/>
    <x v="27"/>
    <n v="2450.6"/>
    <n v="9"/>
    <x v="0"/>
    <n v="690.15"/>
    <x v="93"/>
    <x v="2"/>
    <x v="2"/>
  </r>
  <r>
    <s v="ORD-2828"/>
    <x v="303"/>
    <d v="2024-11-26T00:00:00"/>
    <x v="1"/>
    <x v="2"/>
    <x v="10"/>
    <x v="17"/>
    <n v="1640.2"/>
    <n v="16"/>
    <x v="3"/>
    <n v="275.39999999999998"/>
    <x v="136"/>
    <x v="2"/>
    <x v="0"/>
  </r>
  <r>
    <s v="ORD-2829"/>
    <x v="106"/>
    <d v="2024-11-06T00:00:00"/>
    <x v="0"/>
    <x v="2"/>
    <x v="10"/>
    <x v="17"/>
    <n v="724.27"/>
    <n v="6"/>
    <x v="3"/>
    <n v="-98.26"/>
    <x v="13"/>
    <x v="0"/>
    <x v="1"/>
  </r>
  <r>
    <s v="ORD-2830"/>
    <x v="304"/>
    <d v="2024-12-23T00:00:00"/>
    <x v="3"/>
    <x v="0"/>
    <x v="0"/>
    <x v="9"/>
    <n v="3305.37"/>
    <n v="6"/>
    <x v="5"/>
    <n v="756.21"/>
    <x v="39"/>
    <x v="1"/>
    <x v="2"/>
  </r>
  <r>
    <s v="ORD-2831"/>
    <x v="97"/>
    <d v="2024-07-15T00:00:00"/>
    <x v="2"/>
    <x v="2"/>
    <x v="9"/>
    <x v="14"/>
    <n v="673.16"/>
    <n v="8"/>
    <x v="1"/>
    <n v="125.18"/>
    <x v="178"/>
    <x v="0"/>
    <x v="10"/>
  </r>
  <r>
    <s v="ORD-2832"/>
    <x v="76"/>
    <d v="2024-03-13T00:00:00"/>
    <x v="3"/>
    <x v="0"/>
    <x v="5"/>
    <x v="19"/>
    <n v="930.97"/>
    <n v="4"/>
    <x v="3"/>
    <n v="61.25"/>
    <x v="3"/>
    <x v="2"/>
    <x v="11"/>
  </r>
  <r>
    <s v="ORD-2833"/>
    <x v="22"/>
    <d v="2024-05-18T00:00:00"/>
    <x v="1"/>
    <x v="1"/>
    <x v="3"/>
    <x v="3"/>
    <n v="1378.74"/>
    <n v="11"/>
    <x v="3"/>
    <n v="157.24"/>
    <x v="224"/>
    <x v="0"/>
    <x v="7"/>
  </r>
  <r>
    <s v="ORD-2834"/>
    <x v="322"/>
    <d v="2024-08-25T00:00:00"/>
    <x v="1"/>
    <x v="0"/>
    <x v="6"/>
    <x v="15"/>
    <n v="640.94000000000005"/>
    <n v="1"/>
    <x v="1"/>
    <n v="134.76"/>
    <x v="162"/>
    <x v="0"/>
    <x v="4"/>
  </r>
  <r>
    <s v="ORD-2835"/>
    <x v="262"/>
    <d v="2024-03-10T00:00:00"/>
    <x v="3"/>
    <x v="1"/>
    <x v="1"/>
    <x v="1"/>
    <n v="547.75"/>
    <n v="18"/>
    <x v="5"/>
    <n v="42.57"/>
    <x v="130"/>
    <x v="1"/>
    <x v="11"/>
  </r>
  <r>
    <s v="ORD-2836"/>
    <x v="328"/>
    <d v="2024-05-28T00:00:00"/>
    <x v="1"/>
    <x v="1"/>
    <x v="3"/>
    <x v="26"/>
    <n v="3021.72"/>
    <n v="6"/>
    <x v="5"/>
    <n v="957.14"/>
    <x v="136"/>
    <x v="1"/>
    <x v="7"/>
  </r>
  <r>
    <s v="ORD-2837"/>
    <x v="4"/>
    <d v="2024-08-27T00:00:00"/>
    <x v="3"/>
    <x v="0"/>
    <x v="6"/>
    <x v="8"/>
    <n v="671.61"/>
    <n v="7"/>
    <x v="0"/>
    <n v="227.99"/>
    <x v="149"/>
    <x v="1"/>
    <x v="4"/>
  </r>
  <r>
    <s v="ORD-2838"/>
    <x v="89"/>
    <d v="2024-12-12T00:00:00"/>
    <x v="2"/>
    <x v="2"/>
    <x v="10"/>
    <x v="28"/>
    <n v="3643.51"/>
    <n v="15"/>
    <x v="5"/>
    <n v="326.52"/>
    <x v="171"/>
    <x v="0"/>
    <x v="2"/>
  </r>
  <r>
    <s v="ORD-2839"/>
    <x v="168"/>
    <d v="2024-12-20T00:00:00"/>
    <x v="2"/>
    <x v="1"/>
    <x v="1"/>
    <x v="10"/>
    <n v="262.77"/>
    <n v="9"/>
    <x v="1"/>
    <n v="-64.040000000000006"/>
    <x v="102"/>
    <x v="2"/>
    <x v="2"/>
  </r>
  <r>
    <s v="ORD-2840"/>
    <x v="352"/>
    <d v="2024-11-23T00:00:00"/>
    <x v="1"/>
    <x v="2"/>
    <x v="8"/>
    <x v="16"/>
    <n v="3728.39"/>
    <n v="12"/>
    <x v="3"/>
    <n v="912.42"/>
    <x v="68"/>
    <x v="1"/>
    <x v="0"/>
  </r>
  <r>
    <s v="ORD-2841"/>
    <x v="5"/>
    <d v="2024-01-24T00:00:00"/>
    <x v="0"/>
    <x v="1"/>
    <x v="3"/>
    <x v="32"/>
    <n v="2985.58"/>
    <n v="3"/>
    <x v="3"/>
    <n v="316.14999999999998"/>
    <x v="207"/>
    <x v="0"/>
    <x v="5"/>
  </r>
  <r>
    <s v="ORD-2842"/>
    <x v="298"/>
    <d v="2024-04-10T00:00:00"/>
    <x v="2"/>
    <x v="1"/>
    <x v="4"/>
    <x v="4"/>
    <n v="1100.1600000000001"/>
    <n v="19"/>
    <x v="0"/>
    <n v="316.33"/>
    <x v="171"/>
    <x v="1"/>
    <x v="3"/>
  </r>
  <r>
    <s v="ORD-2843"/>
    <x v="53"/>
    <d v="2024-04-27T00:00:00"/>
    <x v="0"/>
    <x v="2"/>
    <x v="10"/>
    <x v="28"/>
    <n v="994.22"/>
    <n v="7"/>
    <x v="5"/>
    <n v="235.36"/>
    <x v="73"/>
    <x v="2"/>
    <x v="3"/>
  </r>
  <r>
    <s v="ORD-2844"/>
    <x v="166"/>
    <d v="2024-03-25T00:00:00"/>
    <x v="1"/>
    <x v="0"/>
    <x v="5"/>
    <x v="5"/>
    <n v="2668.28"/>
    <n v="19"/>
    <x v="0"/>
    <n v="638.65"/>
    <x v="188"/>
    <x v="1"/>
    <x v="11"/>
  </r>
  <r>
    <s v="ORD-2845"/>
    <x v="16"/>
    <d v="2024-05-11T00:00:00"/>
    <x v="1"/>
    <x v="0"/>
    <x v="0"/>
    <x v="31"/>
    <n v="3352.18"/>
    <n v="7"/>
    <x v="4"/>
    <n v="316.81"/>
    <x v="113"/>
    <x v="0"/>
    <x v="7"/>
  </r>
  <r>
    <s v="ORD-2846"/>
    <x v="279"/>
    <d v="2024-12-27T00:00:00"/>
    <x v="1"/>
    <x v="0"/>
    <x v="7"/>
    <x v="12"/>
    <n v="2512.71"/>
    <n v="6"/>
    <x v="1"/>
    <n v="342.23"/>
    <x v="103"/>
    <x v="2"/>
    <x v="2"/>
  </r>
  <r>
    <s v="ORD-2847"/>
    <x v="188"/>
    <d v="2024-12-22T00:00:00"/>
    <x v="3"/>
    <x v="1"/>
    <x v="1"/>
    <x v="1"/>
    <n v="1837.1"/>
    <n v="3"/>
    <x v="2"/>
    <n v="-284.75"/>
    <x v="223"/>
    <x v="2"/>
    <x v="2"/>
  </r>
  <r>
    <s v="ORD-2848"/>
    <x v="216"/>
    <d v="2024-07-23T00:00:00"/>
    <x v="0"/>
    <x v="0"/>
    <x v="6"/>
    <x v="8"/>
    <n v="2167.94"/>
    <n v="13"/>
    <x v="2"/>
    <n v="432.18"/>
    <x v="94"/>
    <x v="2"/>
    <x v="10"/>
  </r>
  <r>
    <s v="ORD-2849"/>
    <x v="143"/>
    <d v="2024-09-17T00:00:00"/>
    <x v="1"/>
    <x v="2"/>
    <x v="8"/>
    <x v="16"/>
    <n v="303.10000000000002"/>
    <n v="4"/>
    <x v="4"/>
    <n v="51.2"/>
    <x v="107"/>
    <x v="1"/>
    <x v="9"/>
  </r>
  <r>
    <s v="ORD-2850"/>
    <x v="61"/>
    <d v="2024-10-13T00:00:00"/>
    <x v="1"/>
    <x v="0"/>
    <x v="5"/>
    <x v="19"/>
    <n v="2748.33"/>
    <n v="14"/>
    <x v="0"/>
    <n v="765.72"/>
    <x v="73"/>
    <x v="0"/>
    <x v="1"/>
  </r>
  <r>
    <s v="ORD-2851"/>
    <x v="364"/>
    <d v="2024-05-18T00:00:00"/>
    <x v="2"/>
    <x v="1"/>
    <x v="3"/>
    <x v="25"/>
    <n v="3076.57"/>
    <n v="5"/>
    <x v="4"/>
    <n v="347.49"/>
    <x v="69"/>
    <x v="0"/>
    <x v="7"/>
  </r>
  <r>
    <s v="ORD-2852"/>
    <x v="3"/>
    <d v="2024-04-22T00:00:00"/>
    <x v="1"/>
    <x v="1"/>
    <x v="4"/>
    <x v="11"/>
    <n v="2630.28"/>
    <n v="20"/>
    <x v="3"/>
    <n v="331.75"/>
    <x v="237"/>
    <x v="1"/>
    <x v="3"/>
  </r>
  <r>
    <s v="ORD-2853"/>
    <x v="339"/>
    <d v="2024-10-15T00:00:00"/>
    <x v="1"/>
    <x v="1"/>
    <x v="4"/>
    <x v="4"/>
    <n v="1768.85"/>
    <n v="13"/>
    <x v="4"/>
    <n v="524.14"/>
    <x v="109"/>
    <x v="1"/>
    <x v="1"/>
  </r>
  <r>
    <s v="ORD-2854"/>
    <x v="144"/>
    <d v="2024-06-24T00:00:00"/>
    <x v="3"/>
    <x v="0"/>
    <x v="5"/>
    <x v="19"/>
    <n v="1158.4100000000001"/>
    <n v="16"/>
    <x v="4"/>
    <n v="81.09"/>
    <x v="192"/>
    <x v="1"/>
    <x v="6"/>
  </r>
  <r>
    <s v="ORD-2855"/>
    <x v="151"/>
    <d v="2024-09-29T00:00:00"/>
    <x v="3"/>
    <x v="2"/>
    <x v="9"/>
    <x v="27"/>
    <n v="642.03"/>
    <n v="8"/>
    <x v="1"/>
    <n v="125.63"/>
    <x v="158"/>
    <x v="1"/>
    <x v="9"/>
  </r>
  <r>
    <s v="ORD-2856"/>
    <x v="339"/>
    <d v="2024-10-17T00:00:00"/>
    <x v="0"/>
    <x v="0"/>
    <x v="0"/>
    <x v="0"/>
    <n v="300.82"/>
    <n v="3"/>
    <x v="4"/>
    <n v="84.96"/>
    <x v="80"/>
    <x v="2"/>
    <x v="1"/>
  </r>
  <r>
    <s v="ORD-2857"/>
    <x v="152"/>
    <d v="2024-12-04T00:00:00"/>
    <x v="3"/>
    <x v="0"/>
    <x v="6"/>
    <x v="15"/>
    <n v="2390.91"/>
    <n v="16"/>
    <x v="0"/>
    <n v="-381.62"/>
    <x v="143"/>
    <x v="0"/>
    <x v="2"/>
  </r>
  <r>
    <s v="ORD-2858"/>
    <x v="30"/>
    <d v="2024-05-28T00:00:00"/>
    <x v="0"/>
    <x v="2"/>
    <x v="2"/>
    <x v="21"/>
    <n v="2382.54"/>
    <n v="6"/>
    <x v="0"/>
    <n v="590.65"/>
    <x v="97"/>
    <x v="0"/>
    <x v="7"/>
  </r>
  <r>
    <s v="ORD-2859"/>
    <x v="187"/>
    <d v="2024-08-11T00:00:00"/>
    <x v="0"/>
    <x v="1"/>
    <x v="4"/>
    <x v="4"/>
    <n v="1487.31"/>
    <n v="9"/>
    <x v="1"/>
    <n v="328.51"/>
    <x v="30"/>
    <x v="1"/>
    <x v="4"/>
  </r>
  <r>
    <s v="ORD-2860"/>
    <x v="278"/>
    <d v="2024-10-28T00:00:00"/>
    <x v="1"/>
    <x v="0"/>
    <x v="0"/>
    <x v="22"/>
    <n v="2301.71"/>
    <n v="12"/>
    <x v="4"/>
    <n v="156.65"/>
    <x v="225"/>
    <x v="2"/>
    <x v="1"/>
  </r>
  <r>
    <s v="ORD-2861"/>
    <x v="141"/>
    <d v="2024-03-11T00:00:00"/>
    <x v="3"/>
    <x v="1"/>
    <x v="3"/>
    <x v="32"/>
    <n v="2749.99"/>
    <n v="3"/>
    <x v="2"/>
    <n v="852.67"/>
    <x v="45"/>
    <x v="1"/>
    <x v="11"/>
  </r>
  <r>
    <s v="ORD-2862"/>
    <x v="76"/>
    <d v="2024-03-11T00:00:00"/>
    <x v="1"/>
    <x v="2"/>
    <x v="8"/>
    <x v="16"/>
    <n v="2393.4"/>
    <n v="14"/>
    <x v="2"/>
    <n v="409.42"/>
    <x v="140"/>
    <x v="2"/>
    <x v="11"/>
  </r>
  <r>
    <s v="ORD-2863"/>
    <x v="90"/>
    <d v="2024-12-04T00:00:00"/>
    <x v="2"/>
    <x v="1"/>
    <x v="4"/>
    <x v="4"/>
    <n v="1058.57"/>
    <n v="6"/>
    <x v="5"/>
    <n v="208.71"/>
    <x v="198"/>
    <x v="1"/>
    <x v="0"/>
  </r>
  <r>
    <s v="ORD-2864"/>
    <x v="14"/>
    <d v="2024-02-12T00:00:00"/>
    <x v="1"/>
    <x v="2"/>
    <x v="9"/>
    <x v="30"/>
    <n v="3117.4"/>
    <n v="15"/>
    <x v="3"/>
    <n v="806.27"/>
    <x v="42"/>
    <x v="2"/>
    <x v="8"/>
  </r>
  <r>
    <s v="ORD-2865"/>
    <x v="129"/>
    <d v="2024-10-07T00:00:00"/>
    <x v="2"/>
    <x v="2"/>
    <x v="10"/>
    <x v="28"/>
    <n v="3777.64"/>
    <n v="19"/>
    <x v="0"/>
    <n v="974.22"/>
    <x v="24"/>
    <x v="0"/>
    <x v="9"/>
  </r>
  <r>
    <s v="ORD-2866"/>
    <x v="48"/>
    <d v="2024-11-05T00:00:00"/>
    <x v="2"/>
    <x v="2"/>
    <x v="2"/>
    <x v="2"/>
    <n v="365.79"/>
    <n v="17"/>
    <x v="0"/>
    <n v="97.86"/>
    <x v="45"/>
    <x v="1"/>
    <x v="0"/>
  </r>
  <r>
    <s v="ORD-2867"/>
    <x v="343"/>
    <d v="2024-06-22T00:00:00"/>
    <x v="1"/>
    <x v="1"/>
    <x v="1"/>
    <x v="1"/>
    <n v="844.52"/>
    <n v="19"/>
    <x v="1"/>
    <n v="-131.4"/>
    <x v="120"/>
    <x v="1"/>
    <x v="6"/>
  </r>
  <r>
    <s v="ORD-2868"/>
    <x v="172"/>
    <d v="2024-07-04T00:00:00"/>
    <x v="2"/>
    <x v="2"/>
    <x v="2"/>
    <x v="33"/>
    <n v="2650.31"/>
    <n v="10"/>
    <x v="5"/>
    <n v="-137.99"/>
    <x v="109"/>
    <x v="2"/>
    <x v="6"/>
  </r>
  <r>
    <s v="ORD-2869"/>
    <x v="285"/>
    <d v="2024-03-18T00:00:00"/>
    <x v="2"/>
    <x v="2"/>
    <x v="2"/>
    <x v="21"/>
    <n v="2292.83"/>
    <n v="14"/>
    <x v="5"/>
    <n v="390.41"/>
    <x v="103"/>
    <x v="2"/>
    <x v="11"/>
  </r>
  <r>
    <s v="ORD-2870"/>
    <x v="183"/>
    <d v="2024-11-06T00:00:00"/>
    <x v="3"/>
    <x v="1"/>
    <x v="3"/>
    <x v="32"/>
    <n v="1696.21"/>
    <n v="12"/>
    <x v="5"/>
    <n v="-436.24"/>
    <x v="125"/>
    <x v="0"/>
    <x v="1"/>
  </r>
  <r>
    <s v="ORD-2871"/>
    <x v="142"/>
    <d v="2024-06-18T00:00:00"/>
    <x v="0"/>
    <x v="2"/>
    <x v="10"/>
    <x v="17"/>
    <n v="1430.26"/>
    <n v="8"/>
    <x v="5"/>
    <n v="156.97999999999999"/>
    <x v="136"/>
    <x v="1"/>
    <x v="6"/>
  </r>
  <r>
    <s v="ORD-2872"/>
    <x v="230"/>
    <d v="2024-07-20T00:00:00"/>
    <x v="2"/>
    <x v="0"/>
    <x v="7"/>
    <x v="24"/>
    <n v="1905.17"/>
    <n v="4"/>
    <x v="0"/>
    <n v="418.43"/>
    <x v="12"/>
    <x v="2"/>
    <x v="10"/>
  </r>
  <r>
    <s v="ORD-2873"/>
    <x v="134"/>
    <d v="2024-10-24T00:00:00"/>
    <x v="1"/>
    <x v="2"/>
    <x v="10"/>
    <x v="28"/>
    <n v="2855.21"/>
    <n v="19"/>
    <x v="5"/>
    <n v="758.64"/>
    <x v="138"/>
    <x v="2"/>
    <x v="1"/>
  </r>
  <r>
    <s v="ORD-2874"/>
    <x v="34"/>
    <d v="2024-06-29T00:00:00"/>
    <x v="1"/>
    <x v="0"/>
    <x v="7"/>
    <x v="24"/>
    <n v="1800.72"/>
    <n v="7"/>
    <x v="5"/>
    <n v="251.94"/>
    <x v="121"/>
    <x v="2"/>
    <x v="6"/>
  </r>
  <r>
    <s v="ORD-2875"/>
    <x v="23"/>
    <d v="2024-06-13T00:00:00"/>
    <x v="3"/>
    <x v="0"/>
    <x v="6"/>
    <x v="7"/>
    <n v="3709.76"/>
    <n v="14"/>
    <x v="0"/>
    <n v="669.19"/>
    <x v="5"/>
    <x v="2"/>
    <x v="6"/>
  </r>
  <r>
    <s v="ORD-2876"/>
    <x v="142"/>
    <d v="2024-06-22T00:00:00"/>
    <x v="3"/>
    <x v="0"/>
    <x v="7"/>
    <x v="24"/>
    <n v="2908.89"/>
    <n v="3"/>
    <x v="3"/>
    <n v="679.51"/>
    <x v="12"/>
    <x v="1"/>
    <x v="6"/>
  </r>
  <r>
    <s v="ORD-2877"/>
    <x v="48"/>
    <d v="2024-11-07T00:00:00"/>
    <x v="1"/>
    <x v="0"/>
    <x v="0"/>
    <x v="31"/>
    <n v="2418.6999999999998"/>
    <n v="10"/>
    <x v="4"/>
    <n v="538.1"/>
    <x v="196"/>
    <x v="1"/>
    <x v="0"/>
  </r>
  <r>
    <s v="ORD-2878"/>
    <x v="250"/>
    <d v="2024-08-01T00:00:00"/>
    <x v="0"/>
    <x v="0"/>
    <x v="7"/>
    <x v="29"/>
    <n v="1091.98"/>
    <n v="19"/>
    <x v="3"/>
    <n v="-218.56"/>
    <x v="146"/>
    <x v="0"/>
    <x v="10"/>
  </r>
  <r>
    <s v="ORD-2879"/>
    <x v="336"/>
    <d v="2024-09-04T00:00:00"/>
    <x v="3"/>
    <x v="1"/>
    <x v="1"/>
    <x v="1"/>
    <n v="638.54"/>
    <n v="1"/>
    <x v="2"/>
    <n v="-117.28"/>
    <x v="4"/>
    <x v="0"/>
    <x v="9"/>
  </r>
  <r>
    <s v="ORD-2880"/>
    <x v="356"/>
    <d v="2024-03-30T00:00:00"/>
    <x v="2"/>
    <x v="1"/>
    <x v="3"/>
    <x v="26"/>
    <n v="1380.09"/>
    <n v="17"/>
    <x v="3"/>
    <n v="148.79"/>
    <x v="31"/>
    <x v="1"/>
    <x v="11"/>
  </r>
  <r>
    <s v="ORD-2881"/>
    <x v="253"/>
    <d v="2024-08-04T00:00:00"/>
    <x v="3"/>
    <x v="2"/>
    <x v="10"/>
    <x v="28"/>
    <n v="389.85"/>
    <n v="1"/>
    <x v="1"/>
    <n v="54.79"/>
    <x v="180"/>
    <x v="1"/>
    <x v="10"/>
  </r>
  <r>
    <s v="ORD-2882"/>
    <x v="169"/>
    <d v="2024-06-10T00:00:00"/>
    <x v="0"/>
    <x v="1"/>
    <x v="4"/>
    <x v="11"/>
    <n v="2374.65"/>
    <n v="1"/>
    <x v="4"/>
    <n v="757.92"/>
    <x v="48"/>
    <x v="0"/>
    <x v="6"/>
  </r>
  <r>
    <s v="ORD-2883"/>
    <x v="42"/>
    <d v="2024-02-26T00:00:00"/>
    <x v="0"/>
    <x v="1"/>
    <x v="4"/>
    <x v="4"/>
    <n v="1499.94"/>
    <n v="13"/>
    <x v="3"/>
    <n v="312.93"/>
    <x v="83"/>
    <x v="0"/>
    <x v="8"/>
  </r>
  <r>
    <s v="ORD-2884"/>
    <x v="132"/>
    <d v="2024-04-12T00:00:00"/>
    <x v="3"/>
    <x v="0"/>
    <x v="6"/>
    <x v="8"/>
    <n v="2332.66"/>
    <n v="14"/>
    <x v="1"/>
    <n v="762.34"/>
    <x v="202"/>
    <x v="2"/>
    <x v="3"/>
  </r>
  <r>
    <s v="ORD-2885"/>
    <x v="27"/>
    <d v="2024-02-09T00:00:00"/>
    <x v="3"/>
    <x v="0"/>
    <x v="0"/>
    <x v="0"/>
    <n v="1222.6600000000001"/>
    <n v="11"/>
    <x v="5"/>
    <n v="-203.41"/>
    <x v="49"/>
    <x v="2"/>
    <x v="8"/>
  </r>
  <r>
    <s v="ORD-2886"/>
    <x v="111"/>
    <d v="2024-04-29T00:00:00"/>
    <x v="0"/>
    <x v="1"/>
    <x v="3"/>
    <x v="32"/>
    <n v="964.35"/>
    <n v="14"/>
    <x v="4"/>
    <n v="318.08"/>
    <x v="171"/>
    <x v="2"/>
    <x v="3"/>
  </r>
  <r>
    <s v="ORD-2887"/>
    <x v="334"/>
    <d v="2024-01-21T00:00:00"/>
    <x v="1"/>
    <x v="2"/>
    <x v="9"/>
    <x v="27"/>
    <n v="936.67"/>
    <n v="14"/>
    <x v="4"/>
    <n v="-231.18"/>
    <x v="40"/>
    <x v="1"/>
    <x v="5"/>
  </r>
  <r>
    <s v="ORD-2888"/>
    <x v="271"/>
    <d v="2024-05-05T00:00:00"/>
    <x v="2"/>
    <x v="0"/>
    <x v="6"/>
    <x v="8"/>
    <n v="372.51"/>
    <n v="11"/>
    <x v="0"/>
    <n v="-97.73"/>
    <x v="21"/>
    <x v="2"/>
    <x v="3"/>
  </r>
  <r>
    <s v="ORD-2889"/>
    <x v="328"/>
    <d v="2024-05-29T00:00:00"/>
    <x v="0"/>
    <x v="1"/>
    <x v="4"/>
    <x v="11"/>
    <n v="2674.87"/>
    <n v="16"/>
    <x v="5"/>
    <n v="-847.35"/>
    <x v="110"/>
    <x v="1"/>
    <x v="7"/>
  </r>
  <r>
    <s v="ORD-2890"/>
    <x v="12"/>
    <d v="2024-05-17T00:00:00"/>
    <x v="0"/>
    <x v="2"/>
    <x v="10"/>
    <x v="17"/>
    <n v="469.17"/>
    <n v="8"/>
    <x v="2"/>
    <n v="135.21"/>
    <x v="75"/>
    <x v="0"/>
    <x v="7"/>
  </r>
  <r>
    <s v="ORD-2891"/>
    <x v="153"/>
    <d v="2024-01-27T00:00:00"/>
    <x v="1"/>
    <x v="0"/>
    <x v="0"/>
    <x v="22"/>
    <n v="1715.66"/>
    <n v="6"/>
    <x v="5"/>
    <n v="472.63"/>
    <x v="114"/>
    <x v="1"/>
    <x v="5"/>
  </r>
  <r>
    <s v="ORD-2892"/>
    <x v="227"/>
    <d v="2024-03-25T00:00:00"/>
    <x v="1"/>
    <x v="1"/>
    <x v="4"/>
    <x v="11"/>
    <n v="2588.5300000000002"/>
    <n v="8"/>
    <x v="1"/>
    <n v="-235.27"/>
    <x v="146"/>
    <x v="1"/>
    <x v="11"/>
  </r>
  <r>
    <s v="ORD-2893"/>
    <x v="331"/>
    <d v="2024-07-25T00:00:00"/>
    <x v="1"/>
    <x v="1"/>
    <x v="1"/>
    <x v="1"/>
    <n v="332.37"/>
    <n v="7"/>
    <x v="3"/>
    <n v="57.33"/>
    <x v="164"/>
    <x v="1"/>
    <x v="10"/>
  </r>
  <r>
    <s v="ORD-2894"/>
    <x v="279"/>
    <d v="2024-12-21T00:00:00"/>
    <x v="2"/>
    <x v="2"/>
    <x v="2"/>
    <x v="2"/>
    <n v="1890.77"/>
    <n v="14"/>
    <x v="4"/>
    <n v="534.66"/>
    <x v="147"/>
    <x v="1"/>
    <x v="2"/>
  </r>
  <r>
    <s v="ORD-2895"/>
    <x v="192"/>
    <d v="2024-07-01T00:00:00"/>
    <x v="1"/>
    <x v="0"/>
    <x v="5"/>
    <x v="18"/>
    <n v="1292.48"/>
    <n v="12"/>
    <x v="4"/>
    <n v="86.36"/>
    <x v="83"/>
    <x v="1"/>
    <x v="6"/>
  </r>
  <r>
    <s v="ORD-2896"/>
    <x v="356"/>
    <d v="2024-04-01T00:00:00"/>
    <x v="3"/>
    <x v="2"/>
    <x v="10"/>
    <x v="28"/>
    <n v="358.91"/>
    <n v="9"/>
    <x v="0"/>
    <n v="116.78"/>
    <x v="110"/>
    <x v="2"/>
    <x v="11"/>
  </r>
  <r>
    <s v="ORD-2897"/>
    <x v="5"/>
    <d v="2024-01-26T00:00:00"/>
    <x v="3"/>
    <x v="2"/>
    <x v="8"/>
    <x v="13"/>
    <n v="3285.62"/>
    <n v="1"/>
    <x v="1"/>
    <n v="612"/>
    <x v="200"/>
    <x v="1"/>
    <x v="5"/>
  </r>
  <r>
    <s v="ORD-2898"/>
    <x v="217"/>
    <d v="2024-03-26T00:00:00"/>
    <x v="3"/>
    <x v="1"/>
    <x v="3"/>
    <x v="3"/>
    <n v="1897.55"/>
    <n v="14"/>
    <x v="3"/>
    <n v="470.91"/>
    <x v="138"/>
    <x v="2"/>
    <x v="11"/>
  </r>
  <r>
    <s v="ORD-2899"/>
    <x v="109"/>
    <d v="2024-02-29T00:00:00"/>
    <x v="2"/>
    <x v="2"/>
    <x v="2"/>
    <x v="21"/>
    <n v="647.02"/>
    <n v="20"/>
    <x v="4"/>
    <n v="-212.03"/>
    <x v="225"/>
    <x v="1"/>
    <x v="8"/>
  </r>
  <r>
    <s v="ORD-2900"/>
    <x v="190"/>
    <d v="2024-07-06T00:00:00"/>
    <x v="2"/>
    <x v="1"/>
    <x v="4"/>
    <x v="4"/>
    <n v="2608.46"/>
    <n v="11"/>
    <x v="2"/>
    <n v="-812.96"/>
    <x v="123"/>
    <x v="0"/>
    <x v="10"/>
  </r>
  <r>
    <s v="ORD-2901"/>
    <x v="191"/>
    <d v="2024-03-25T00:00:00"/>
    <x v="0"/>
    <x v="0"/>
    <x v="0"/>
    <x v="22"/>
    <n v="1728.26"/>
    <n v="18"/>
    <x v="3"/>
    <n v="455.89"/>
    <x v="118"/>
    <x v="0"/>
    <x v="11"/>
  </r>
  <r>
    <s v="ORD-2902"/>
    <x v="313"/>
    <d v="2024-03-19T00:00:00"/>
    <x v="2"/>
    <x v="1"/>
    <x v="4"/>
    <x v="11"/>
    <n v="1942.64"/>
    <n v="3"/>
    <x v="4"/>
    <n v="-155.25"/>
    <x v="238"/>
    <x v="1"/>
    <x v="11"/>
  </r>
  <r>
    <s v="ORD-2903"/>
    <x v="153"/>
    <d v="2024-01-26T00:00:00"/>
    <x v="2"/>
    <x v="0"/>
    <x v="5"/>
    <x v="18"/>
    <n v="2863.33"/>
    <n v="18"/>
    <x v="5"/>
    <n v="836.67"/>
    <x v="214"/>
    <x v="1"/>
    <x v="5"/>
  </r>
  <r>
    <s v="ORD-2904"/>
    <x v="86"/>
    <d v="2024-01-27T00:00:00"/>
    <x v="2"/>
    <x v="1"/>
    <x v="3"/>
    <x v="26"/>
    <n v="2850.95"/>
    <n v="8"/>
    <x v="2"/>
    <n v="-271.74"/>
    <x v="172"/>
    <x v="2"/>
    <x v="5"/>
  </r>
  <r>
    <s v="ORD-2905"/>
    <x v="231"/>
    <d v="2024-11-17T00:00:00"/>
    <x v="3"/>
    <x v="1"/>
    <x v="4"/>
    <x v="4"/>
    <n v="3007.07"/>
    <n v="4"/>
    <x v="5"/>
    <n v="242.39"/>
    <x v="83"/>
    <x v="1"/>
    <x v="0"/>
  </r>
  <r>
    <s v="ORD-2906"/>
    <x v="276"/>
    <d v="2024-09-15T00:00:00"/>
    <x v="3"/>
    <x v="1"/>
    <x v="1"/>
    <x v="20"/>
    <n v="1954.01"/>
    <n v="6"/>
    <x v="1"/>
    <n v="309.14999999999998"/>
    <x v="142"/>
    <x v="2"/>
    <x v="9"/>
  </r>
  <r>
    <s v="ORD-2907"/>
    <x v="286"/>
    <d v="2024-03-15T00:00:00"/>
    <x v="2"/>
    <x v="1"/>
    <x v="3"/>
    <x v="26"/>
    <n v="2819.12"/>
    <n v="9"/>
    <x v="2"/>
    <n v="884.42"/>
    <x v="86"/>
    <x v="2"/>
    <x v="11"/>
  </r>
  <r>
    <s v="ORD-2908"/>
    <x v="62"/>
    <d v="2024-04-11T00:00:00"/>
    <x v="0"/>
    <x v="0"/>
    <x v="7"/>
    <x v="29"/>
    <n v="3910.61"/>
    <n v="10"/>
    <x v="3"/>
    <n v="715.04"/>
    <x v="58"/>
    <x v="1"/>
    <x v="3"/>
  </r>
  <r>
    <s v="ORD-2909"/>
    <x v="295"/>
    <d v="2024-01-14T00:00:00"/>
    <x v="2"/>
    <x v="0"/>
    <x v="0"/>
    <x v="9"/>
    <n v="1266.1099999999999"/>
    <n v="1"/>
    <x v="4"/>
    <n v="67.23"/>
    <x v="25"/>
    <x v="0"/>
    <x v="5"/>
  </r>
  <r>
    <s v="ORD-2910"/>
    <x v="168"/>
    <d v="2024-12-21T00:00:00"/>
    <x v="3"/>
    <x v="1"/>
    <x v="4"/>
    <x v="4"/>
    <n v="960.5"/>
    <n v="15"/>
    <x v="5"/>
    <n v="122.19"/>
    <x v="11"/>
    <x v="0"/>
    <x v="2"/>
  </r>
  <r>
    <s v="ORD-2911"/>
    <x v="353"/>
    <d v="2024-04-09T00:00:00"/>
    <x v="2"/>
    <x v="0"/>
    <x v="7"/>
    <x v="29"/>
    <n v="3803.61"/>
    <n v="20"/>
    <x v="0"/>
    <n v="551.37"/>
    <x v="203"/>
    <x v="0"/>
    <x v="3"/>
  </r>
  <r>
    <s v="ORD-2912"/>
    <x v="145"/>
    <d v="2024-04-11T00:00:00"/>
    <x v="2"/>
    <x v="2"/>
    <x v="2"/>
    <x v="2"/>
    <n v="850.07"/>
    <n v="12"/>
    <x v="2"/>
    <n v="81.680000000000007"/>
    <x v="18"/>
    <x v="1"/>
    <x v="3"/>
  </r>
  <r>
    <s v="ORD-2913"/>
    <x v="118"/>
    <d v="2024-07-28T00:00:00"/>
    <x v="0"/>
    <x v="1"/>
    <x v="4"/>
    <x v="11"/>
    <n v="354.16"/>
    <n v="12"/>
    <x v="2"/>
    <n v="94.75"/>
    <x v="193"/>
    <x v="1"/>
    <x v="10"/>
  </r>
  <r>
    <s v="ORD-2914"/>
    <x v="183"/>
    <d v="2024-11-03T00:00:00"/>
    <x v="0"/>
    <x v="1"/>
    <x v="3"/>
    <x v="25"/>
    <n v="1068.8699999999999"/>
    <n v="5"/>
    <x v="2"/>
    <n v="155.33000000000001"/>
    <x v="222"/>
    <x v="2"/>
    <x v="1"/>
  </r>
  <r>
    <s v="ORD-2915"/>
    <x v="212"/>
    <d v="2024-12-30T00:00:00"/>
    <x v="1"/>
    <x v="2"/>
    <x v="10"/>
    <x v="17"/>
    <n v="2756.41"/>
    <n v="5"/>
    <x v="0"/>
    <n v="475.71"/>
    <x v="165"/>
    <x v="0"/>
    <x v="2"/>
  </r>
  <r>
    <s v="ORD-2916"/>
    <x v="88"/>
    <d v="2024-06-02T00:00:00"/>
    <x v="0"/>
    <x v="2"/>
    <x v="9"/>
    <x v="14"/>
    <n v="1507.09"/>
    <n v="9"/>
    <x v="2"/>
    <n v="307.92"/>
    <x v="238"/>
    <x v="0"/>
    <x v="7"/>
  </r>
  <r>
    <s v="ORD-2917"/>
    <x v="127"/>
    <d v="2024-10-14T00:00:00"/>
    <x v="0"/>
    <x v="1"/>
    <x v="1"/>
    <x v="20"/>
    <n v="651.13"/>
    <n v="18"/>
    <x v="1"/>
    <n v="41.08"/>
    <x v="172"/>
    <x v="0"/>
    <x v="1"/>
  </r>
  <r>
    <s v="ORD-2918"/>
    <x v="111"/>
    <d v="2024-04-26T00:00:00"/>
    <x v="0"/>
    <x v="0"/>
    <x v="5"/>
    <x v="18"/>
    <n v="3439.39"/>
    <n v="4"/>
    <x v="4"/>
    <n v="978.96"/>
    <x v="72"/>
    <x v="1"/>
    <x v="3"/>
  </r>
  <r>
    <s v="ORD-2919"/>
    <x v="88"/>
    <d v="2024-06-01T00:00:00"/>
    <x v="3"/>
    <x v="0"/>
    <x v="7"/>
    <x v="24"/>
    <n v="2287.9"/>
    <n v="18"/>
    <x v="5"/>
    <n v="794.89"/>
    <x v="63"/>
    <x v="1"/>
    <x v="7"/>
  </r>
  <r>
    <s v="ORD-2920"/>
    <x v="270"/>
    <d v="2024-01-06T00:00:00"/>
    <x v="0"/>
    <x v="0"/>
    <x v="0"/>
    <x v="31"/>
    <n v="2336.02"/>
    <n v="2"/>
    <x v="5"/>
    <n v="333.56"/>
    <x v="151"/>
    <x v="0"/>
    <x v="5"/>
  </r>
  <r>
    <s v="ORD-2921"/>
    <x v="185"/>
    <d v="2024-03-09T00:00:00"/>
    <x v="0"/>
    <x v="2"/>
    <x v="10"/>
    <x v="17"/>
    <n v="1908.42"/>
    <n v="17"/>
    <x v="5"/>
    <n v="235.43"/>
    <x v="226"/>
    <x v="0"/>
    <x v="11"/>
  </r>
  <r>
    <s v="ORD-2922"/>
    <x v="311"/>
    <d v="2024-06-22T00:00:00"/>
    <x v="2"/>
    <x v="2"/>
    <x v="9"/>
    <x v="30"/>
    <n v="1415.47"/>
    <n v="4"/>
    <x v="2"/>
    <n v="-255.64"/>
    <x v="29"/>
    <x v="0"/>
    <x v="6"/>
  </r>
  <r>
    <s v="ORD-2923"/>
    <x v="88"/>
    <d v="2024-06-02T00:00:00"/>
    <x v="0"/>
    <x v="0"/>
    <x v="7"/>
    <x v="12"/>
    <n v="3738.11"/>
    <n v="5"/>
    <x v="4"/>
    <n v="271.13"/>
    <x v="136"/>
    <x v="2"/>
    <x v="7"/>
  </r>
  <r>
    <s v="ORD-2924"/>
    <x v="329"/>
    <d v="2024-06-06T00:00:00"/>
    <x v="0"/>
    <x v="2"/>
    <x v="10"/>
    <x v="17"/>
    <n v="2244.62"/>
    <n v="4"/>
    <x v="3"/>
    <n v="605.65"/>
    <x v="140"/>
    <x v="0"/>
    <x v="6"/>
  </r>
  <r>
    <s v="ORD-2925"/>
    <x v="8"/>
    <d v="2024-10-18T00:00:00"/>
    <x v="0"/>
    <x v="2"/>
    <x v="9"/>
    <x v="14"/>
    <n v="3345.18"/>
    <n v="14"/>
    <x v="2"/>
    <n v="778.84"/>
    <x v="114"/>
    <x v="0"/>
    <x v="1"/>
  </r>
  <r>
    <s v="ORD-2926"/>
    <x v="20"/>
    <d v="2024-05-23T00:00:00"/>
    <x v="1"/>
    <x v="0"/>
    <x v="7"/>
    <x v="29"/>
    <n v="3007.58"/>
    <n v="1"/>
    <x v="1"/>
    <n v="348.28"/>
    <x v="13"/>
    <x v="0"/>
    <x v="7"/>
  </r>
  <r>
    <s v="ORD-2927"/>
    <x v="250"/>
    <d v="2024-07-28T00:00:00"/>
    <x v="1"/>
    <x v="0"/>
    <x v="5"/>
    <x v="18"/>
    <n v="270.18"/>
    <n v="7"/>
    <x v="0"/>
    <n v="26.58"/>
    <x v="125"/>
    <x v="1"/>
    <x v="10"/>
  </r>
  <r>
    <s v="ORD-2928"/>
    <x v="238"/>
    <d v="2024-10-11T00:00:00"/>
    <x v="1"/>
    <x v="1"/>
    <x v="1"/>
    <x v="10"/>
    <n v="2619.2800000000002"/>
    <n v="11"/>
    <x v="4"/>
    <n v="343.25"/>
    <x v="161"/>
    <x v="1"/>
    <x v="1"/>
  </r>
  <r>
    <s v="ORD-2929"/>
    <x v="284"/>
    <d v="2024-04-30T00:00:00"/>
    <x v="3"/>
    <x v="0"/>
    <x v="7"/>
    <x v="24"/>
    <n v="3409.19"/>
    <n v="20"/>
    <x v="4"/>
    <n v="845.46"/>
    <x v="55"/>
    <x v="2"/>
    <x v="3"/>
  </r>
  <r>
    <s v="ORD-2930"/>
    <x v="126"/>
    <d v="2024-11-09T00:00:00"/>
    <x v="0"/>
    <x v="2"/>
    <x v="9"/>
    <x v="30"/>
    <n v="2865.65"/>
    <n v="6"/>
    <x v="5"/>
    <n v="793.46"/>
    <x v="181"/>
    <x v="0"/>
    <x v="0"/>
  </r>
  <r>
    <s v="ORD-2931"/>
    <x v="324"/>
    <d v="2024-04-28T00:00:00"/>
    <x v="1"/>
    <x v="0"/>
    <x v="6"/>
    <x v="15"/>
    <n v="1054.3399999999999"/>
    <n v="16"/>
    <x v="5"/>
    <n v="-337.43"/>
    <x v="63"/>
    <x v="1"/>
    <x v="3"/>
  </r>
  <r>
    <s v="ORD-2932"/>
    <x v="144"/>
    <d v="2024-06-22T00:00:00"/>
    <x v="2"/>
    <x v="1"/>
    <x v="3"/>
    <x v="25"/>
    <n v="642.83000000000004"/>
    <n v="14"/>
    <x v="2"/>
    <n v="90.9"/>
    <x v="191"/>
    <x v="2"/>
    <x v="6"/>
  </r>
  <r>
    <s v="ORD-2933"/>
    <x v="13"/>
    <d v="2024-01-02T00:00:00"/>
    <x v="1"/>
    <x v="1"/>
    <x v="4"/>
    <x v="11"/>
    <n v="1004.22"/>
    <n v="8"/>
    <x v="0"/>
    <n v="-233.61"/>
    <x v="184"/>
    <x v="1"/>
    <x v="5"/>
  </r>
  <r>
    <s v="ORD-2934"/>
    <x v="45"/>
    <d v="2024-10-06T00:00:00"/>
    <x v="3"/>
    <x v="1"/>
    <x v="3"/>
    <x v="3"/>
    <n v="2231.33"/>
    <n v="11"/>
    <x v="0"/>
    <n v="739.39"/>
    <x v="86"/>
    <x v="2"/>
    <x v="1"/>
  </r>
  <r>
    <s v="ORD-2935"/>
    <x v="212"/>
    <d v="2024-12-24T00:00:00"/>
    <x v="2"/>
    <x v="2"/>
    <x v="9"/>
    <x v="27"/>
    <n v="606.14"/>
    <n v="2"/>
    <x v="5"/>
    <n v="167.69"/>
    <x v="42"/>
    <x v="1"/>
    <x v="2"/>
  </r>
  <r>
    <s v="ORD-2936"/>
    <x v="220"/>
    <d v="2024-10-26T00:00:00"/>
    <x v="0"/>
    <x v="0"/>
    <x v="5"/>
    <x v="5"/>
    <n v="3299.57"/>
    <n v="8"/>
    <x v="1"/>
    <n v="779.86"/>
    <x v="128"/>
    <x v="0"/>
    <x v="1"/>
  </r>
  <r>
    <s v="ORD-2937"/>
    <x v="96"/>
    <d v="2024-08-21T00:00:00"/>
    <x v="0"/>
    <x v="2"/>
    <x v="8"/>
    <x v="23"/>
    <n v="3887.26"/>
    <n v="14"/>
    <x v="2"/>
    <n v="1189.3800000000001"/>
    <x v="196"/>
    <x v="0"/>
    <x v="4"/>
  </r>
  <r>
    <s v="ORD-2938"/>
    <x v="357"/>
    <d v="2024-10-08T00:00:00"/>
    <x v="3"/>
    <x v="0"/>
    <x v="6"/>
    <x v="15"/>
    <n v="3004.09"/>
    <n v="1"/>
    <x v="0"/>
    <n v="890.93"/>
    <x v="203"/>
    <x v="2"/>
    <x v="1"/>
  </r>
  <r>
    <s v="ORD-2939"/>
    <x v="245"/>
    <d v="2024-07-25T00:00:00"/>
    <x v="3"/>
    <x v="0"/>
    <x v="6"/>
    <x v="6"/>
    <n v="3113.95"/>
    <n v="20"/>
    <x v="3"/>
    <n v="-692.62"/>
    <x v="72"/>
    <x v="1"/>
    <x v="10"/>
  </r>
  <r>
    <s v="ORD-2940"/>
    <x v="346"/>
    <d v="2024-06-21T00:00:00"/>
    <x v="1"/>
    <x v="2"/>
    <x v="10"/>
    <x v="17"/>
    <n v="1473.06"/>
    <n v="20"/>
    <x v="3"/>
    <n v="370.25"/>
    <x v="133"/>
    <x v="0"/>
    <x v="6"/>
  </r>
  <r>
    <s v="ORD-2941"/>
    <x v="270"/>
    <d v="2024-01-12T00:00:00"/>
    <x v="3"/>
    <x v="1"/>
    <x v="4"/>
    <x v="11"/>
    <n v="1918.94"/>
    <n v="16"/>
    <x v="4"/>
    <n v="536.25"/>
    <x v="152"/>
    <x v="2"/>
    <x v="5"/>
  </r>
  <r>
    <s v="ORD-2942"/>
    <x v="1"/>
    <d v="2024-11-02T00:00:00"/>
    <x v="0"/>
    <x v="2"/>
    <x v="9"/>
    <x v="27"/>
    <n v="330.98"/>
    <n v="1"/>
    <x v="2"/>
    <n v="94.18"/>
    <x v="226"/>
    <x v="1"/>
    <x v="1"/>
  </r>
  <r>
    <s v="ORD-2943"/>
    <x v="341"/>
    <d v="2024-12-24T00:00:00"/>
    <x v="3"/>
    <x v="0"/>
    <x v="0"/>
    <x v="31"/>
    <n v="1771.11"/>
    <n v="3"/>
    <x v="2"/>
    <n v="191.39"/>
    <x v="55"/>
    <x v="0"/>
    <x v="2"/>
  </r>
  <r>
    <s v="ORD-2944"/>
    <x v="143"/>
    <d v="2024-09-19T00:00:00"/>
    <x v="0"/>
    <x v="2"/>
    <x v="9"/>
    <x v="14"/>
    <n v="1333.66"/>
    <n v="15"/>
    <x v="2"/>
    <n v="444.27"/>
    <x v="0"/>
    <x v="2"/>
    <x v="9"/>
  </r>
  <r>
    <s v="ORD-2945"/>
    <x v="118"/>
    <d v="2024-07-24T00:00:00"/>
    <x v="2"/>
    <x v="2"/>
    <x v="8"/>
    <x v="23"/>
    <n v="1337.56"/>
    <n v="1"/>
    <x v="2"/>
    <n v="133.76"/>
    <x v="229"/>
    <x v="1"/>
    <x v="10"/>
  </r>
  <r>
    <s v="ORD-2946"/>
    <x v="359"/>
    <d v="2024-07-20T00:00:00"/>
    <x v="3"/>
    <x v="1"/>
    <x v="1"/>
    <x v="1"/>
    <n v="865.1"/>
    <n v="5"/>
    <x v="5"/>
    <n v="53.4"/>
    <x v="74"/>
    <x v="2"/>
    <x v="10"/>
  </r>
  <r>
    <s v="ORD-2947"/>
    <x v="61"/>
    <d v="2024-10-10T00:00:00"/>
    <x v="0"/>
    <x v="0"/>
    <x v="7"/>
    <x v="24"/>
    <n v="2254.9"/>
    <n v="9"/>
    <x v="3"/>
    <n v="464.57"/>
    <x v="183"/>
    <x v="1"/>
    <x v="1"/>
  </r>
  <r>
    <s v="ORD-2948"/>
    <x v="13"/>
    <d v="2024-01-04T00:00:00"/>
    <x v="0"/>
    <x v="2"/>
    <x v="9"/>
    <x v="27"/>
    <n v="2750.34"/>
    <n v="18"/>
    <x v="2"/>
    <n v="333.03"/>
    <x v="10"/>
    <x v="0"/>
    <x v="5"/>
  </r>
  <r>
    <s v="ORD-2949"/>
    <x v="302"/>
    <d v="2024-09-03T00:00:00"/>
    <x v="0"/>
    <x v="0"/>
    <x v="0"/>
    <x v="22"/>
    <n v="3940.93"/>
    <n v="8"/>
    <x v="1"/>
    <n v="373.65"/>
    <x v="93"/>
    <x v="2"/>
    <x v="4"/>
  </r>
  <r>
    <s v="ORD-2950"/>
    <x v="156"/>
    <d v="2024-07-08T00:00:00"/>
    <x v="0"/>
    <x v="1"/>
    <x v="1"/>
    <x v="1"/>
    <n v="2798.71"/>
    <n v="13"/>
    <x v="0"/>
    <n v="478.55"/>
    <x v="67"/>
    <x v="0"/>
    <x v="10"/>
  </r>
  <r>
    <s v="ORD-2951"/>
    <x v="59"/>
    <d v="2024-11-06T00:00:00"/>
    <x v="1"/>
    <x v="1"/>
    <x v="3"/>
    <x v="25"/>
    <n v="1347.94"/>
    <n v="18"/>
    <x v="3"/>
    <n v="377.66"/>
    <x v="142"/>
    <x v="1"/>
    <x v="0"/>
  </r>
  <r>
    <s v="ORD-2952"/>
    <x v="309"/>
    <d v="2024-08-16T00:00:00"/>
    <x v="2"/>
    <x v="2"/>
    <x v="8"/>
    <x v="13"/>
    <n v="3104.39"/>
    <n v="1"/>
    <x v="0"/>
    <n v="265.41000000000003"/>
    <x v="231"/>
    <x v="1"/>
    <x v="4"/>
  </r>
  <r>
    <s v="ORD-2953"/>
    <x v="92"/>
    <d v="2024-07-31T00:00:00"/>
    <x v="0"/>
    <x v="1"/>
    <x v="4"/>
    <x v="11"/>
    <n v="1853.98"/>
    <n v="4"/>
    <x v="1"/>
    <n v="221.14"/>
    <x v="68"/>
    <x v="1"/>
    <x v="10"/>
  </r>
  <r>
    <s v="ORD-2954"/>
    <x v="169"/>
    <d v="2024-06-08T00:00:00"/>
    <x v="1"/>
    <x v="0"/>
    <x v="5"/>
    <x v="19"/>
    <n v="2064.8000000000002"/>
    <n v="11"/>
    <x v="5"/>
    <n v="449.28"/>
    <x v="34"/>
    <x v="1"/>
    <x v="6"/>
  </r>
  <r>
    <s v="ORD-2955"/>
    <x v="215"/>
    <d v="2024-07-12T00:00:00"/>
    <x v="3"/>
    <x v="1"/>
    <x v="3"/>
    <x v="32"/>
    <n v="3202.74"/>
    <n v="5"/>
    <x v="1"/>
    <n v="471.07"/>
    <x v="110"/>
    <x v="0"/>
    <x v="10"/>
  </r>
  <r>
    <s v="ORD-2956"/>
    <x v="59"/>
    <d v="2024-11-07T00:00:00"/>
    <x v="2"/>
    <x v="1"/>
    <x v="3"/>
    <x v="25"/>
    <n v="3130.44"/>
    <n v="6"/>
    <x v="4"/>
    <n v="-273.8"/>
    <x v="131"/>
    <x v="1"/>
    <x v="0"/>
  </r>
  <r>
    <s v="ORD-2957"/>
    <x v="284"/>
    <d v="2024-05-03T00:00:00"/>
    <x v="3"/>
    <x v="2"/>
    <x v="8"/>
    <x v="23"/>
    <n v="2120.89"/>
    <n v="16"/>
    <x v="5"/>
    <n v="299.2"/>
    <x v="34"/>
    <x v="1"/>
    <x v="3"/>
  </r>
  <r>
    <s v="ORD-2958"/>
    <x v="283"/>
    <d v="2024-06-20T00:00:00"/>
    <x v="1"/>
    <x v="0"/>
    <x v="6"/>
    <x v="7"/>
    <n v="890.21"/>
    <n v="8"/>
    <x v="2"/>
    <n v="-104.66"/>
    <x v="121"/>
    <x v="0"/>
    <x v="6"/>
  </r>
  <r>
    <s v="ORD-2959"/>
    <x v="221"/>
    <d v="2024-02-13T00:00:00"/>
    <x v="3"/>
    <x v="2"/>
    <x v="2"/>
    <x v="2"/>
    <n v="631.1"/>
    <n v="20"/>
    <x v="1"/>
    <n v="32.18"/>
    <x v="28"/>
    <x v="0"/>
    <x v="8"/>
  </r>
  <r>
    <s v="ORD-2960"/>
    <x v="345"/>
    <d v="2024-03-08T00:00:00"/>
    <x v="0"/>
    <x v="1"/>
    <x v="4"/>
    <x v="4"/>
    <n v="1138.1099999999999"/>
    <n v="5"/>
    <x v="0"/>
    <n v="388.06"/>
    <x v="165"/>
    <x v="1"/>
    <x v="11"/>
  </r>
  <r>
    <s v="ORD-2961"/>
    <x v="119"/>
    <d v="2024-08-09T00:00:00"/>
    <x v="1"/>
    <x v="0"/>
    <x v="0"/>
    <x v="31"/>
    <n v="2921.37"/>
    <n v="11"/>
    <x v="2"/>
    <n v="430.66"/>
    <x v="62"/>
    <x v="0"/>
    <x v="4"/>
  </r>
  <r>
    <s v="ORD-2962"/>
    <x v="102"/>
    <d v="2024-12-12T00:00:00"/>
    <x v="1"/>
    <x v="0"/>
    <x v="0"/>
    <x v="0"/>
    <n v="2923.01"/>
    <n v="11"/>
    <x v="1"/>
    <n v="502.24"/>
    <x v="122"/>
    <x v="0"/>
    <x v="2"/>
  </r>
  <r>
    <s v="ORD-2963"/>
    <x v="311"/>
    <d v="2024-06-23T00:00:00"/>
    <x v="3"/>
    <x v="0"/>
    <x v="5"/>
    <x v="19"/>
    <n v="499.6"/>
    <n v="11"/>
    <x v="1"/>
    <n v="104.28"/>
    <x v="168"/>
    <x v="1"/>
    <x v="6"/>
  </r>
  <r>
    <s v="ORD-2964"/>
    <x v="93"/>
    <d v="2024-07-08T00:00:00"/>
    <x v="0"/>
    <x v="2"/>
    <x v="9"/>
    <x v="27"/>
    <n v="1402.21"/>
    <n v="16"/>
    <x v="4"/>
    <n v="391.79"/>
    <x v="238"/>
    <x v="0"/>
    <x v="10"/>
  </r>
  <r>
    <s v="ORD-2965"/>
    <x v="201"/>
    <d v="2024-07-03T00:00:00"/>
    <x v="3"/>
    <x v="2"/>
    <x v="2"/>
    <x v="2"/>
    <n v="3374.75"/>
    <n v="15"/>
    <x v="1"/>
    <n v="529.57000000000005"/>
    <x v="102"/>
    <x v="2"/>
    <x v="10"/>
  </r>
  <r>
    <s v="ORD-2966"/>
    <x v="18"/>
    <d v="2024-10-26T00:00:00"/>
    <x v="1"/>
    <x v="2"/>
    <x v="2"/>
    <x v="33"/>
    <n v="1011.9"/>
    <n v="11"/>
    <x v="4"/>
    <n v="198.84"/>
    <x v="45"/>
    <x v="1"/>
    <x v="1"/>
  </r>
  <r>
    <s v="ORD-2967"/>
    <x v="110"/>
    <d v="2024-04-26T00:00:00"/>
    <x v="0"/>
    <x v="0"/>
    <x v="7"/>
    <x v="24"/>
    <n v="561.79999999999995"/>
    <n v="3"/>
    <x v="0"/>
    <n v="61.97"/>
    <x v="30"/>
    <x v="0"/>
    <x v="3"/>
  </r>
  <r>
    <s v="ORD-2968"/>
    <x v="199"/>
    <d v="2024-09-25T00:00:00"/>
    <x v="2"/>
    <x v="1"/>
    <x v="4"/>
    <x v="4"/>
    <n v="2147.6"/>
    <n v="6"/>
    <x v="2"/>
    <n v="151.4"/>
    <x v="220"/>
    <x v="0"/>
    <x v="9"/>
  </r>
  <r>
    <s v="ORD-2969"/>
    <x v="207"/>
    <d v="2024-09-09T00:00:00"/>
    <x v="1"/>
    <x v="1"/>
    <x v="3"/>
    <x v="25"/>
    <n v="939.83"/>
    <n v="3"/>
    <x v="3"/>
    <n v="98.18"/>
    <x v="158"/>
    <x v="1"/>
    <x v="9"/>
  </r>
  <r>
    <s v="ORD-2970"/>
    <x v="329"/>
    <d v="2024-06-11T00:00:00"/>
    <x v="3"/>
    <x v="0"/>
    <x v="7"/>
    <x v="24"/>
    <n v="2983.52"/>
    <n v="16"/>
    <x v="2"/>
    <n v="193.93"/>
    <x v="178"/>
    <x v="0"/>
    <x v="6"/>
  </r>
  <r>
    <s v="ORD-2971"/>
    <x v="42"/>
    <d v="2024-02-29T00:00:00"/>
    <x v="2"/>
    <x v="0"/>
    <x v="6"/>
    <x v="15"/>
    <n v="1347.02"/>
    <n v="13"/>
    <x v="5"/>
    <n v="102.76"/>
    <x v="37"/>
    <x v="1"/>
    <x v="8"/>
  </r>
  <r>
    <s v="ORD-2972"/>
    <x v="249"/>
    <d v="2024-07-14T00:00:00"/>
    <x v="2"/>
    <x v="0"/>
    <x v="5"/>
    <x v="19"/>
    <n v="1091.81"/>
    <n v="13"/>
    <x v="4"/>
    <n v="247.07"/>
    <x v="20"/>
    <x v="2"/>
    <x v="10"/>
  </r>
  <r>
    <s v="ORD-2973"/>
    <x v="165"/>
    <d v="2024-07-17T00:00:00"/>
    <x v="3"/>
    <x v="2"/>
    <x v="8"/>
    <x v="13"/>
    <n v="2453.2800000000002"/>
    <n v="19"/>
    <x v="1"/>
    <n v="-630.12"/>
    <x v="101"/>
    <x v="1"/>
    <x v="10"/>
  </r>
  <r>
    <s v="ORD-2974"/>
    <x v="151"/>
    <d v="2024-10-04T00:00:00"/>
    <x v="2"/>
    <x v="1"/>
    <x v="4"/>
    <x v="11"/>
    <n v="2242.34"/>
    <n v="8"/>
    <x v="0"/>
    <n v="588.98"/>
    <x v="37"/>
    <x v="1"/>
    <x v="9"/>
  </r>
  <r>
    <s v="ORD-2975"/>
    <x v="174"/>
    <d v="2024-12-27T00:00:00"/>
    <x v="2"/>
    <x v="0"/>
    <x v="0"/>
    <x v="31"/>
    <n v="888.25"/>
    <n v="10"/>
    <x v="5"/>
    <n v="118.21"/>
    <x v="156"/>
    <x v="1"/>
    <x v="2"/>
  </r>
  <r>
    <s v="ORD-2976"/>
    <x v="248"/>
    <d v="2024-09-25T00:00:00"/>
    <x v="2"/>
    <x v="0"/>
    <x v="0"/>
    <x v="22"/>
    <n v="890.11"/>
    <n v="12"/>
    <x v="5"/>
    <n v="132.25"/>
    <x v="186"/>
    <x v="1"/>
    <x v="9"/>
  </r>
  <r>
    <s v="ORD-2977"/>
    <x v="172"/>
    <d v="2024-06-29T00:00:00"/>
    <x v="0"/>
    <x v="0"/>
    <x v="5"/>
    <x v="18"/>
    <n v="787.97"/>
    <n v="15"/>
    <x v="0"/>
    <n v="177.41"/>
    <x v="167"/>
    <x v="2"/>
    <x v="6"/>
  </r>
  <r>
    <s v="ORD-2978"/>
    <x v="349"/>
    <d v="2024-11-08T00:00:00"/>
    <x v="1"/>
    <x v="2"/>
    <x v="10"/>
    <x v="17"/>
    <n v="3620.18"/>
    <n v="15"/>
    <x v="1"/>
    <n v="1186.95"/>
    <x v="1"/>
    <x v="2"/>
    <x v="0"/>
  </r>
  <r>
    <s v="ORD-2979"/>
    <x v="28"/>
    <d v="2024-10-01T00:00:00"/>
    <x v="3"/>
    <x v="2"/>
    <x v="8"/>
    <x v="23"/>
    <n v="3230.52"/>
    <n v="7"/>
    <x v="5"/>
    <n v="642.55999999999995"/>
    <x v="216"/>
    <x v="2"/>
    <x v="9"/>
  </r>
  <r>
    <s v="ORD-2980"/>
    <x v="350"/>
    <d v="2024-09-30T00:00:00"/>
    <x v="0"/>
    <x v="1"/>
    <x v="1"/>
    <x v="20"/>
    <n v="1066.1400000000001"/>
    <n v="1"/>
    <x v="4"/>
    <n v="222.24"/>
    <x v="201"/>
    <x v="2"/>
    <x v="9"/>
  </r>
  <r>
    <s v="ORD-2981"/>
    <x v="243"/>
    <d v="2024-08-11T00:00:00"/>
    <x v="0"/>
    <x v="0"/>
    <x v="7"/>
    <x v="12"/>
    <n v="3947.77"/>
    <n v="16"/>
    <x v="2"/>
    <n v="291.88"/>
    <x v="83"/>
    <x v="2"/>
    <x v="4"/>
  </r>
  <r>
    <s v="ORD-2982"/>
    <x v="144"/>
    <d v="2024-06-21T00:00:00"/>
    <x v="0"/>
    <x v="0"/>
    <x v="7"/>
    <x v="29"/>
    <n v="1919.86"/>
    <n v="19"/>
    <x v="1"/>
    <n v="-309.33"/>
    <x v="215"/>
    <x v="1"/>
    <x v="6"/>
  </r>
  <r>
    <s v="ORD-2983"/>
    <x v="119"/>
    <d v="2024-08-11T00:00:00"/>
    <x v="1"/>
    <x v="1"/>
    <x v="3"/>
    <x v="3"/>
    <n v="2605.02"/>
    <n v="11"/>
    <x v="0"/>
    <n v="524.59"/>
    <x v="134"/>
    <x v="2"/>
    <x v="4"/>
  </r>
  <r>
    <s v="ORD-2984"/>
    <x v="58"/>
    <d v="2024-08-25T00:00:00"/>
    <x v="3"/>
    <x v="1"/>
    <x v="1"/>
    <x v="20"/>
    <n v="1729.61"/>
    <n v="4"/>
    <x v="1"/>
    <n v="385.19"/>
    <x v="110"/>
    <x v="2"/>
    <x v="4"/>
  </r>
  <r>
    <s v="ORD-2985"/>
    <x v="14"/>
    <d v="2024-02-10T00:00:00"/>
    <x v="1"/>
    <x v="0"/>
    <x v="7"/>
    <x v="12"/>
    <n v="3942.85"/>
    <n v="10"/>
    <x v="4"/>
    <n v="961.64"/>
    <x v="32"/>
    <x v="2"/>
    <x v="8"/>
  </r>
  <r>
    <s v="ORD-2986"/>
    <x v="262"/>
    <d v="2024-03-06T00:00:00"/>
    <x v="2"/>
    <x v="1"/>
    <x v="4"/>
    <x v="11"/>
    <n v="2837.82"/>
    <n v="11"/>
    <x v="2"/>
    <n v="820.93"/>
    <x v="35"/>
    <x v="0"/>
    <x v="11"/>
  </r>
  <r>
    <s v="ORD-2987"/>
    <x v="262"/>
    <d v="2024-03-03T00:00:00"/>
    <x v="3"/>
    <x v="2"/>
    <x v="8"/>
    <x v="16"/>
    <n v="1372.51"/>
    <n v="15"/>
    <x v="4"/>
    <n v="233.52"/>
    <x v="188"/>
    <x v="1"/>
    <x v="11"/>
  </r>
  <r>
    <s v="ORD-2988"/>
    <x v="112"/>
    <d v="2024-12-29T00:00:00"/>
    <x v="1"/>
    <x v="2"/>
    <x v="9"/>
    <x v="14"/>
    <n v="3681.3"/>
    <n v="3"/>
    <x v="4"/>
    <n v="946.32"/>
    <x v="70"/>
    <x v="0"/>
    <x v="2"/>
  </r>
  <r>
    <s v="ORD-2989"/>
    <x v="70"/>
    <d v="2024-11-08T00:00:00"/>
    <x v="1"/>
    <x v="1"/>
    <x v="3"/>
    <x v="32"/>
    <n v="3244.3"/>
    <n v="2"/>
    <x v="0"/>
    <n v="169.14"/>
    <x v="91"/>
    <x v="1"/>
    <x v="0"/>
  </r>
  <r>
    <s v="ORD-2990"/>
    <x v="240"/>
    <d v="2024-06-19T00:00:00"/>
    <x v="0"/>
    <x v="2"/>
    <x v="2"/>
    <x v="21"/>
    <n v="2746.22"/>
    <n v="3"/>
    <x v="0"/>
    <n v="412.74"/>
    <x v="131"/>
    <x v="2"/>
    <x v="6"/>
  </r>
  <r>
    <s v="ORD-2991"/>
    <x v="165"/>
    <d v="2024-07-14T00:00:00"/>
    <x v="2"/>
    <x v="0"/>
    <x v="7"/>
    <x v="24"/>
    <n v="1550.19"/>
    <n v="4"/>
    <x v="1"/>
    <n v="254.15"/>
    <x v="121"/>
    <x v="1"/>
    <x v="10"/>
  </r>
  <r>
    <s v="ORD-2992"/>
    <x v="229"/>
    <d v="2024-12-13T00:00:00"/>
    <x v="1"/>
    <x v="0"/>
    <x v="7"/>
    <x v="24"/>
    <n v="2073.1"/>
    <n v="15"/>
    <x v="1"/>
    <n v="635.57000000000005"/>
    <x v="76"/>
    <x v="0"/>
    <x v="2"/>
  </r>
  <r>
    <s v="ORD-2993"/>
    <x v="51"/>
    <d v="2024-08-09T00:00:00"/>
    <x v="2"/>
    <x v="1"/>
    <x v="3"/>
    <x v="32"/>
    <n v="1356.19"/>
    <n v="17"/>
    <x v="1"/>
    <n v="221.48"/>
    <x v="152"/>
    <x v="1"/>
    <x v="4"/>
  </r>
  <r>
    <s v="ORD-2994"/>
    <x v="27"/>
    <d v="2024-02-11T00:00:00"/>
    <x v="0"/>
    <x v="1"/>
    <x v="1"/>
    <x v="20"/>
    <n v="3996.91"/>
    <n v="15"/>
    <x v="3"/>
    <n v="960.78"/>
    <x v="67"/>
    <x v="0"/>
    <x v="8"/>
  </r>
  <r>
    <s v="ORD-2995"/>
    <x v="264"/>
    <d v="2024-10-05T00:00:00"/>
    <x v="2"/>
    <x v="2"/>
    <x v="8"/>
    <x v="23"/>
    <n v="3862.5"/>
    <n v="2"/>
    <x v="4"/>
    <n v="968.65"/>
    <x v="198"/>
    <x v="0"/>
    <x v="1"/>
  </r>
  <r>
    <s v="ORD-2996"/>
    <x v="76"/>
    <d v="2024-03-17T00:00:00"/>
    <x v="1"/>
    <x v="1"/>
    <x v="3"/>
    <x v="32"/>
    <n v="2074.77"/>
    <n v="7"/>
    <x v="5"/>
    <n v="187.34"/>
    <x v="106"/>
    <x v="0"/>
    <x v="11"/>
  </r>
  <r>
    <s v="ORD-2997"/>
    <x v="109"/>
    <d v="2024-02-26T00:00:00"/>
    <x v="3"/>
    <x v="0"/>
    <x v="0"/>
    <x v="22"/>
    <n v="685.22"/>
    <n v="19"/>
    <x v="4"/>
    <n v="155.94999999999999"/>
    <x v="149"/>
    <x v="0"/>
    <x v="8"/>
  </r>
  <r>
    <s v="ORD-2998"/>
    <x v="340"/>
    <d v="2024-01-18T00:00:00"/>
    <x v="0"/>
    <x v="2"/>
    <x v="9"/>
    <x v="27"/>
    <n v="1225.48"/>
    <n v="20"/>
    <x v="0"/>
    <n v="416.12"/>
    <x v="73"/>
    <x v="1"/>
    <x v="5"/>
  </r>
  <r>
    <s v="ORD-2999"/>
    <x v="134"/>
    <d v="2024-10-20T00:00:00"/>
    <x v="1"/>
    <x v="0"/>
    <x v="0"/>
    <x v="22"/>
    <n v="3119.73"/>
    <n v="11"/>
    <x v="3"/>
    <n v="260.7"/>
    <x v="99"/>
    <x v="2"/>
    <x v="1"/>
  </r>
  <r>
    <s v="ORD-3000"/>
    <x v="337"/>
    <d v="2024-06-24T00:00:00"/>
    <x v="1"/>
    <x v="2"/>
    <x v="8"/>
    <x v="23"/>
    <n v="1247.06"/>
    <n v="7"/>
    <x v="1"/>
    <n v="302.45999999999998"/>
    <x v="132"/>
    <x v="2"/>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378876-8E8A-4FA0-AD67-6C04BF5173BC}" name="PivotTable10"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rowHeaderCaption="Products">
  <location ref="N7:O17" firstHeaderRow="1" firstDataRow="1" firstDataCol="1"/>
  <pivotFields count="14">
    <pivotField showAll="0"/>
    <pivotField showAll="0">
      <items count="366">
        <item x="13"/>
        <item x="225"/>
        <item x="223"/>
        <item x="326"/>
        <item x="270"/>
        <item x="11"/>
        <item x="342"/>
        <item x="74"/>
        <item x="160"/>
        <item x="295"/>
        <item x="71"/>
        <item x="340"/>
        <item x="197"/>
        <item x="219"/>
        <item x="82"/>
        <item x="100"/>
        <item x="291"/>
        <item x="334"/>
        <item x="323"/>
        <item x="35"/>
        <item x="32"/>
        <item x="254"/>
        <item x="95"/>
        <item x="5"/>
        <item x="153"/>
        <item x="86"/>
        <item x="182"/>
        <item x="19"/>
        <item x="308"/>
        <item x="121"/>
        <item x="17"/>
        <item x="319"/>
        <item x="113"/>
        <item x="332"/>
        <item x="24"/>
        <item x="27"/>
        <item x="244"/>
        <item x="65"/>
        <item x="362"/>
        <item x="107"/>
        <item x="14"/>
        <item x="221"/>
        <item x="289"/>
        <item x="315"/>
        <item x="263"/>
        <item x="72"/>
        <item x="40"/>
        <item x="358"/>
        <item x="91"/>
        <item x="66"/>
        <item x="213"/>
        <item x="109"/>
        <item x="293"/>
        <item x="42"/>
        <item x="330"/>
        <item x="10"/>
        <item x="31"/>
        <item x="98"/>
        <item x="148"/>
        <item x="157"/>
        <item x="196"/>
        <item x="262"/>
        <item x="321"/>
        <item x="320"/>
        <item x="345"/>
        <item x="228"/>
        <item x="275"/>
        <item x="185"/>
        <item x="76"/>
        <item x="141"/>
        <item x="285"/>
        <item x="348"/>
        <item x="286"/>
        <item x="261"/>
        <item x="313"/>
        <item x="155"/>
        <item x="186"/>
        <item x="166"/>
        <item x="191"/>
        <item x="252"/>
        <item x="227"/>
        <item x="237"/>
        <item x="217"/>
        <item x="49"/>
        <item x="363"/>
        <item x="222"/>
        <item x="208"/>
        <item x="356"/>
        <item x="290"/>
        <item x="104"/>
        <item x="150"/>
        <item x="83"/>
        <item x="353"/>
        <item x="145"/>
        <item x="122"/>
        <item x="78"/>
        <item x="132"/>
        <item x="62"/>
        <item x="298"/>
        <item x="325"/>
        <item x="136"/>
        <item x="125"/>
        <item x="224"/>
        <item x="139"/>
        <item x="273"/>
        <item x="94"/>
        <item x="269"/>
        <item x="344"/>
        <item x="360"/>
        <item x="3"/>
        <item x="53"/>
        <item x="177"/>
        <item x="110"/>
        <item x="111"/>
        <item x="128"/>
        <item x="324"/>
        <item x="184"/>
        <item x="271"/>
        <item x="280"/>
        <item x="284"/>
        <item x="21"/>
        <item x="189"/>
        <item x="299"/>
        <item x="167"/>
        <item x="194"/>
        <item x="16"/>
        <item x="33"/>
        <item x="296"/>
        <item x="117"/>
        <item x="36"/>
        <item x="226"/>
        <item x="364"/>
        <item x="288"/>
        <item x="12"/>
        <item x="22"/>
        <item x="73"/>
        <item x="210"/>
        <item x="7"/>
        <item x="281"/>
        <item x="140"/>
        <item x="30"/>
        <item x="20"/>
        <item x="328"/>
        <item x="312"/>
        <item x="180"/>
        <item x="105"/>
        <item x="300"/>
        <item x="101"/>
        <item x="232"/>
        <item x="116"/>
        <item x="88"/>
        <item x="175"/>
        <item x="256"/>
        <item x="146"/>
        <item x="169"/>
        <item x="329"/>
        <item x="69"/>
        <item x="99"/>
        <item x="54"/>
        <item x="23"/>
        <item x="26"/>
        <item x="200"/>
        <item x="124"/>
        <item x="240"/>
        <item x="346"/>
        <item x="283"/>
        <item x="311"/>
        <item x="337"/>
        <item x="142"/>
        <item x="310"/>
        <item x="343"/>
        <item x="144"/>
        <item x="80"/>
        <item x="305"/>
        <item x="260"/>
        <item x="351"/>
        <item x="192"/>
        <item x="172"/>
        <item x="34"/>
        <item x="267"/>
        <item x="6"/>
        <item x="201"/>
        <item x="204"/>
        <item x="190"/>
        <item x="93"/>
        <item x="307"/>
        <item x="247"/>
        <item x="193"/>
        <item x="156"/>
        <item x="97"/>
        <item x="215"/>
        <item x="165"/>
        <item x="249"/>
        <item x="38"/>
        <item x="85"/>
        <item x="234"/>
        <item x="230"/>
        <item x="203"/>
        <item x="163"/>
        <item x="245"/>
        <item x="359"/>
        <item x="338"/>
        <item x="216"/>
        <item x="118"/>
        <item x="331"/>
        <item x="214"/>
        <item x="301"/>
        <item x="361"/>
        <item x="250"/>
        <item x="179"/>
        <item x="253"/>
        <item x="92"/>
        <item x="268"/>
        <item x="176"/>
        <item x="51"/>
        <item x="149"/>
        <item x="119"/>
        <item x="266"/>
        <item x="187"/>
        <item x="294"/>
        <item x="173"/>
        <item x="243"/>
        <item x="164"/>
        <item x="309"/>
        <item x="282"/>
        <item x="39"/>
        <item x="96"/>
        <item x="120"/>
        <item x="108"/>
        <item x="257"/>
        <item x="322"/>
        <item x="274"/>
        <item x="41"/>
        <item x="133"/>
        <item x="4"/>
        <item x="50"/>
        <item x="58"/>
        <item x="46"/>
        <item x="317"/>
        <item x="64"/>
        <item x="297"/>
        <item x="302"/>
        <item x="60"/>
        <item x="336"/>
        <item x="207"/>
        <item x="287"/>
        <item x="131"/>
        <item x="316"/>
        <item x="354"/>
        <item x="56"/>
        <item x="123"/>
        <item x="276"/>
        <item x="306"/>
        <item x="206"/>
        <item x="162"/>
        <item x="171"/>
        <item x="147"/>
        <item x="143"/>
        <item x="138"/>
        <item x="241"/>
        <item x="255"/>
        <item x="235"/>
        <item x="137"/>
        <item x="248"/>
        <item x="251"/>
        <item x="199"/>
        <item x="350"/>
        <item x="63"/>
        <item x="79"/>
        <item x="28"/>
        <item x="198"/>
        <item x="151"/>
        <item x="129"/>
        <item x="264"/>
        <item x="242"/>
        <item x="45"/>
        <item x="357"/>
        <item x="238"/>
        <item x="347"/>
        <item x="277"/>
        <item x="178"/>
        <item x="127"/>
        <item x="61"/>
        <item x="202"/>
        <item x="154"/>
        <item x="339"/>
        <item x="9"/>
        <item x="314"/>
        <item x="25"/>
        <item x="8"/>
        <item x="134"/>
        <item x="18"/>
        <item x="205"/>
        <item x="47"/>
        <item x="278"/>
        <item x="77"/>
        <item x="220"/>
        <item x="170"/>
        <item x="158"/>
        <item x="84"/>
        <item x="233"/>
        <item x="1"/>
        <item x="183"/>
        <item x="106"/>
        <item x="59"/>
        <item x="70"/>
        <item x="218"/>
        <item x="48"/>
        <item x="29"/>
        <item x="15"/>
        <item x="349"/>
        <item x="355"/>
        <item x="126"/>
        <item x="114"/>
        <item x="57"/>
        <item x="239"/>
        <item x="231"/>
        <item x="318"/>
        <item x="327"/>
        <item x="68"/>
        <item x="130"/>
        <item x="352"/>
        <item x="81"/>
        <item x="335"/>
        <item x="303"/>
        <item x="44"/>
        <item x="0"/>
        <item x="209"/>
        <item x="115"/>
        <item x="258"/>
        <item x="90"/>
        <item x="181"/>
        <item x="52"/>
        <item x="161"/>
        <item x="195"/>
        <item x="265"/>
        <item x="87"/>
        <item x="152"/>
        <item x="37"/>
        <item x="333"/>
        <item x="43"/>
        <item x="102"/>
        <item x="246"/>
        <item x="292"/>
        <item x="236"/>
        <item x="89"/>
        <item x="229"/>
        <item x="135"/>
        <item x="168"/>
        <item x="55"/>
        <item x="341"/>
        <item x="67"/>
        <item x="188"/>
        <item x="279"/>
        <item x="259"/>
        <item x="112"/>
        <item x="304"/>
        <item x="212"/>
        <item x="2"/>
        <item x="174"/>
        <item x="75"/>
        <item x="159"/>
        <item x="103"/>
        <item x="272"/>
        <item x="211"/>
        <item t="default"/>
      </items>
    </pivotField>
    <pivotField showAll="0"/>
    <pivotField showAll="0">
      <items count="5">
        <item x="3"/>
        <item x="0"/>
        <item x="1"/>
        <item x="2"/>
        <item t="default"/>
      </items>
    </pivotField>
    <pivotField showAll="0">
      <items count="4">
        <item x="0"/>
        <item x="2"/>
        <item x="1"/>
        <item t="default"/>
      </items>
    </pivotField>
    <pivotField showAll="0"/>
    <pivotField axis="axisRow" showAll="0" measureFilter="1" sortType="descending">
      <items count="35">
        <item x="15"/>
        <item x="4"/>
        <item x="26"/>
        <item x="23"/>
        <item x="27"/>
        <item x="19"/>
        <item x="33"/>
        <item x="16"/>
        <item x="8"/>
        <item x="32"/>
        <item x="30"/>
        <item x="21"/>
        <item x="13"/>
        <item x="9"/>
        <item x="0"/>
        <item x="11"/>
        <item x="2"/>
        <item x="3"/>
        <item x="22"/>
        <item x="1"/>
        <item x="29"/>
        <item x="25"/>
        <item x="24"/>
        <item x="28"/>
        <item x="17"/>
        <item x="10"/>
        <item x="20"/>
        <item x="18"/>
        <item x="7"/>
        <item x="12"/>
        <item x="6"/>
        <item x="14"/>
        <item x="31"/>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4">
        <item x="2"/>
        <item x="1"/>
        <item x="0"/>
        <item t="default"/>
      </items>
    </pivotField>
    <pivotField showAll="0"/>
  </pivotFields>
  <rowFields count="1">
    <field x="6"/>
  </rowFields>
  <rowItems count="10">
    <i>
      <x v="15"/>
    </i>
    <i>
      <x v="1"/>
    </i>
    <i>
      <x v="23"/>
    </i>
    <i>
      <x v="25"/>
    </i>
    <i>
      <x v="19"/>
    </i>
    <i>
      <x v="24"/>
    </i>
    <i>
      <x v="4"/>
    </i>
    <i>
      <x v="22"/>
    </i>
    <i>
      <x v="3"/>
    </i>
    <i>
      <x v="27"/>
    </i>
  </rowItems>
  <colItems count="1">
    <i/>
  </colItems>
  <dataFields count="1">
    <dataField name="Total Quantity" fld="8" baseField="6" baseItem="15"/>
  </dataFields>
  <formats count="29">
    <format dxfId="4562">
      <pivotArea type="all" dataOnly="0" outline="0" fieldPosition="0"/>
    </format>
    <format dxfId="4561">
      <pivotArea outline="0" collapsedLevelsAreSubtotals="1" fieldPosition="0"/>
    </format>
    <format dxfId="4560">
      <pivotArea field="6" type="button" dataOnly="0" labelOnly="1" outline="0" axis="axisRow" fieldPosition="0"/>
    </format>
    <format dxfId="4559">
      <pivotArea dataOnly="0" labelOnly="1" fieldPosition="0">
        <references count="1">
          <reference field="6" count="10">
            <x v="1"/>
            <x v="3"/>
            <x v="4"/>
            <x v="15"/>
            <x v="19"/>
            <x v="22"/>
            <x v="23"/>
            <x v="24"/>
            <x v="25"/>
            <x v="27"/>
          </reference>
        </references>
      </pivotArea>
    </format>
    <format dxfId="4558">
      <pivotArea dataOnly="0" labelOnly="1" outline="0" axis="axisValues" fieldPosition="0"/>
    </format>
    <format dxfId="4557">
      <pivotArea field="6" type="button" dataOnly="0" labelOnly="1" outline="0" axis="axisRow" fieldPosition="0"/>
    </format>
    <format dxfId="4556">
      <pivotArea dataOnly="0" labelOnly="1" outline="0" axis="axisValues" fieldPosition="0"/>
    </format>
    <format dxfId="4555">
      <pivotArea field="6" type="button" dataOnly="0" labelOnly="1" outline="0" axis="axisRow" fieldPosition="0"/>
    </format>
    <format dxfId="4554">
      <pivotArea dataOnly="0" labelOnly="1" outline="0" axis="axisValues" fieldPosition="0"/>
    </format>
    <format dxfId="4553">
      <pivotArea field="6" type="button" dataOnly="0" labelOnly="1" outline="0" axis="axisRow" fieldPosition="0"/>
    </format>
    <format dxfId="4552">
      <pivotArea dataOnly="0" labelOnly="1" outline="0" axis="axisValues" fieldPosition="0"/>
    </format>
    <format dxfId="4551">
      <pivotArea field="6" type="button" dataOnly="0" labelOnly="1" outline="0" axis="axisRow" fieldPosition="0"/>
    </format>
    <format dxfId="4550">
      <pivotArea dataOnly="0" labelOnly="1" outline="0" axis="axisValues" fieldPosition="0"/>
    </format>
    <format dxfId="4549">
      <pivotArea field="6" type="button" dataOnly="0" labelOnly="1" outline="0" axis="axisRow" fieldPosition="0"/>
    </format>
    <format dxfId="4548">
      <pivotArea dataOnly="0" labelOnly="1" outline="0" axis="axisValues" fieldPosition="0"/>
    </format>
    <format dxfId="4547">
      <pivotArea type="all" dataOnly="0" outline="0" fieldPosition="0"/>
    </format>
    <format dxfId="4546">
      <pivotArea outline="0" collapsedLevelsAreSubtotals="1" fieldPosition="0"/>
    </format>
    <format dxfId="4545">
      <pivotArea field="6" type="button" dataOnly="0" labelOnly="1" outline="0" axis="axisRow" fieldPosition="0"/>
    </format>
    <format dxfId="4544">
      <pivotArea dataOnly="0" labelOnly="1" fieldPosition="0">
        <references count="1">
          <reference field="6" count="10">
            <x v="1"/>
            <x v="3"/>
            <x v="4"/>
            <x v="15"/>
            <x v="19"/>
            <x v="22"/>
            <x v="23"/>
            <x v="24"/>
            <x v="25"/>
            <x v="27"/>
          </reference>
        </references>
      </pivotArea>
    </format>
    <format dxfId="4543">
      <pivotArea dataOnly="0" labelOnly="1" outline="0" axis="axisValues" fieldPosition="0"/>
    </format>
    <format dxfId="4542">
      <pivotArea type="all" dataOnly="0" outline="0" fieldPosition="0"/>
    </format>
    <format dxfId="4541">
      <pivotArea outline="0" collapsedLevelsAreSubtotals="1" fieldPosition="0"/>
    </format>
    <format dxfId="4540">
      <pivotArea field="6" type="button" dataOnly="0" labelOnly="1" outline="0" axis="axisRow" fieldPosition="0"/>
    </format>
    <format dxfId="4539">
      <pivotArea dataOnly="0" labelOnly="1" fieldPosition="0">
        <references count="1">
          <reference field="6" count="10">
            <x v="1"/>
            <x v="3"/>
            <x v="4"/>
            <x v="15"/>
            <x v="19"/>
            <x v="22"/>
            <x v="23"/>
            <x v="24"/>
            <x v="25"/>
            <x v="27"/>
          </reference>
        </references>
      </pivotArea>
    </format>
    <format dxfId="4538">
      <pivotArea dataOnly="0" labelOnly="1" outline="0" axis="axisValues" fieldPosition="0"/>
    </format>
    <format dxfId="4537">
      <pivotArea outline="0" collapsedLevelsAreSubtotals="1" fieldPosition="0"/>
    </format>
    <format dxfId="4536">
      <pivotArea dataOnly="0" labelOnly="1" fieldPosition="0">
        <references count="1">
          <reference field="6" count="10">
            <x v="1"/>
            <x v="3"/>
            <x v="4"/>
            <x v="15"/>
            <x v="19"/>
            <x v="22"/>
            <x v="23"/>
            <x v="24"/>
            <x v="25"/>
            <x v="27"/>
          </reference>
        </references>
      </pivotArea>
    </format>
    <format dxfId="4535">
      <pivotArea field="6" type="button" dataOnly="0" labelOnly="1" outline="0" axis="axisRow" fieldPosition="0"/>
    </format>
    <format dxfId="4534">
      <pivotArea dataOnly="0" labelOnly="1" outline="0" axis="axisValues" fieldPosition="0"/>
    </format>
  </formats>
  <pivotTableStyleInfo name="PivotStyleMedium8" showRowHeaders="1" showColHeaders="1" showRowStripes="0" showColStripes="0" showLastColumn="1"/>
  <filters count="1">
    <filter fld="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482244-65FE-4E1B-827E-9C6D50B6B369}" name="PivotTable5"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rowHeaderCaption="Sub-Categories">
  <location ref="G22:I33" firstHeaderRow="0" firstDataRow="1" firstDataCol="1"/>
  <pivotFields count="14">
    <pivotField showAll="0"/>
    <pivotField showAll="0">
      <items count="366">
        <item x="13"/>
        <item x="225"/>
        <item x="223"/>
        <item x="326"/>
        <item x="270"/>
        <item x="11"/>
        <item x="342"/>
        <item x="74"/>
        <item x="160"/>
        <item x="295"/>
        <item x="71"/>
        <item x="340"/>
        <item x="197"/>
        <item x="219"/>
        <item x="82"/>
        <item x="100"/>
        <item x="291"/>
        <item x="334"/>
        <item x="323"/>
        <item x="35"/>
        <item x="32"/>
        <item x="254"/>
        <item x="95"/>
        <item x="5"/>
        <item x="153"/>
        <item x="86"/>
        <item x="182"/>
        <item x="19"/>
        <item x="308"/>
        <item x="121"/>
        <item x="17"/>
        <item x="319"/>
        <item x="113"/>
        <item x="332"/>
        <item x="24"/>
        <item x="27"/>
        <item x="244"/>
        <item x="65"/>
        <item x="362"/>
        <item x="107"/>
        <item x="14"/>
        <item x="221"/>
        <item x="289"/>
        <item x="315"/>
        <item x="263"/>
        <item x="72"/>
        <item x="40"/>
        <item x="358"/>
        <item x="91"/>
        <item x="66"/>
        <item x="213"/>
        <item x="109"/>
        <item x="293"/>
        <item x="42"/>
        <item x="330"/>
        <item x="10"/>
        <item x="31"/>
        <item x="98"/>
        <item x="148"/>
        <item x="157"/>
        <item x="196"/>
        <item x="262"/>
        <item x="321"/>
        <item x="320"/>
        <item x="345"/>
        <item x="228"/>
        <item x="275"/>
        <item x="185"/>
        <item x="76"/>
        <item x="141"/>
        <item x="285"/>
        <item x="348"/>
        <item x="286"/>
        <item x="261"/>
        <item x="313"/>
        <item x="155"/>
        <item x="186"/>
        <item x="166"/>
        <item x="191"/>
        <item x="252"/>
        <item x="227"/>
        <item x="237"/>
        <item x="217"/>
        <item x="49"/>
        <item x="363"/>
        <item x="222"/>
        <item x="208"/>
        <item x="356"/>
        <item x="290"/>
        <item x="104"/>
        <item x="150"/>
        <item x="83"/>
        <item x="353"/>
        <item x="145"/>
        <item x="122"/>
        <item x="78"/>
        <item x="132"/>
        <item x="62"/>
        <item x="298"/>
        <item x="325"/>
        <item x="136"/>
        <item x="125"/>
        <item x="224"/>
        <item x="139"/>
        <item x="273"/>
        <item x="94"/>
        <item x="269"/>
        <item x="344"/>
        <item x="360"/>
        <item x="3"/>
        <item x="53"/>
        <item x="177"/>
        <item x="110"/>
        <item x="111"/>
        <item x="128"/>
        <item x="324"/>
        <item x="184"/>
        <item x="271"/>
        <item x="280"/>
        <item x="284"/>
        <item x="21"/>
        <item x="189"/>
        <item x="299"/>
        <item x="167"/>
        <item x="194"/>
        <item x="16"/>
        <item x="33"/>
        <item x="296"/>
        <item x="117"/>
        <item x="36"/>
        <item x="226"/>
        <item x="364"/>
        <item x="288"/>
        <item x="12"/>
        <item x="22"/>
        <item x="73"/>
        <item x="210"/>
        <item x="7"/>
        <item x="281"/>
        <item x="140"/>
        <item x="30"/>
        <item x="20"/>
        <item x="328"/>
        <item x="312"/>
        <item x="180"/>
        <item x="105"/>
        <item x="300"/>
        <item x="101"/>
        <item x="232"/>
        <item x="116"/>
        <item x="88"/>
        <item x="175"/>
        <item x="256"/>
        <item x="146"/>
        <item x="169"/>
        <item x="329"/>
        <item x="69"/>
        <item x="99"/>
        <item x="54"/>
        <item x="23"/>
        <item x="26"/>
        <item x="200"/>
        <item x="124"/>
        <item x="240"/>
        <item x="346"/>
        <item x="283"/>
        <item x="311"/>
        <item x="337"/>
        <item x="142"/>
        <item x="310"/>
        <item x="343"/>
        <item x="144"/>
        <item x="80"/>
        <item x="305"/>
        <item x="260"/>
        <item x="351"/>
        <item x="192"/>
        <item x="172"/>
        <item x="34"/>
        <item x="267"/>
        <item x="6"/>
        <item x="201"/>
        <item x="204"/>
        <item x="190"/>
        <item x="93"/>
        <item x="307"/>
        <item x="247"/>
        <item x="193"/>
        <item x="156"/>
        <item x="97"/>
        <item x="215"/>
        <item x="165"/>
        <item x="249"/>
        <item x="38"/>
        <item x="85"/>
        <item x="234"/>
        <item x="230"/>
        <item x="203"/>
        <item x="163"/>
        <item x="245"/>
        <item x="359"/>
        <item x="338"/>
        <item x="216"/>
        <item x="118"/>
        <item x="331"/>
        <item x="214"/>
        <item x="301"/>
        <item x="361"/>
        <item x="250"/>
        <item x="179"/>
        <item x="253"/>
        <item x="92"/>
        <item x="268"/>
        <item x="176"/>
        <item x="51"/>
        <item x="149"/>
        <item x="119"/>
        <item x="266"/>
        <item x="187"/>
        <item x="294"/>
        <item x="173"/>
        <item x="243"/>
        <item x="164"/>
        <item x="309"/>
        <item x="282"/>
        <item x="39"/>
        <item x="96"/>
        <item x="120"/>
        <item x="108"/>
        <item x="257"/>
        <item x="322"/>
        <item x="274"/>
        <item x="41"/>
        <item x="133"/>
        <item x="4"/>
        <item x="50"/>
        <item x="58"/>
        <item x="46"/>
        <item x="317"/>
        <item x="64"/>
        <item x="297"/>
        <item x="302"/>
        <item x="60"/>
        <item x="336"/>
        <item x="207"/>
        <item x="287"/>
        <item x="131"/>
        <item x="316"/>
        <item x="354"/>
        <item x="56"/>
        <item x="123"/>
        <item x="276"/>
        <item x="306"/>
        <item x="206"/>
        <item x="162"/>
        <item x="171"/>
        <item x="147"/>
        <item x="143"/>
        <item x="138"/>
        <item x="241"/>
        <item x="255"/>
        <item x="235"/>
        <item x="137"/>
        <item x="248"/>
        <item x="251"/>
        <item x="199"/>
        <item x="350"/>
        <item x="63"/>
        <item x="79"/>
        <item x="28"/>
        <item x="198"/>
        <item x="151"/>
        <item x="129"/>
        <item x="264"/>
        <item x="242"/>
        <item x="45"/>
        <item x="357"/>
        <item x="238"/>
        <item x="347"/>
        <item x="277"/>
        <item x="178"/>
        <item x="127"/>
        <item x="61"/>
        <item x="202"/>
        <item x="154"/>
        <item x="339"/>
        <item x="9"/>
        <item x="314"/>
        <item x="25"/>
        <item x="8"/>
        <item x="134"/>
        <item x="18"/>
        <item x="205"/>
        <item x="47"/>
        <item x="278"/>
        <item x="77"/>
        <item x="220"/>
        <item x="170"/>
        <item x="158"/>
        <item x="84"/>
        <item x="233"/>
        <item x="1"/>
        <item x="183"/>
        <item x="106"/>
        <item x="59"/>
        <item x="70"/>
        <item x="218"/>
        <item x="48"/>
        <item x="29"/>
        <item x="15"/>
        <item x="349"/>
        <item x="355"/>
        <item x="126"/>
        <item x="114"/>
        <item x="57"/>
        <item x="239"/>
        <item x="231"/>
        <item x="318"/>
        <item x="327"/>
        <item x="68"/>
        <item x="130"/>
        <item x="352"/>
        <item x="81"/>
        <item x="335"/>
        <item x="303"/>
        <item x="44"/>
        <item x="0"/>
        <item x="209"/>
        <item x="115"/>
        <item x="258"/>
        <item x="90"/>
        <item x="181"/>
        <item x="52"/>
        <item x="161"/>
        <item x="195"/>
        <item x="265"/>
        <item x="87"/>
        <item x="152"/>
        <item x="37"/>
        <item x="333"/>
        <item x="43"/>
        <item x="102"/>
        <item x="246"/>
        <item x="292"/>
        <item x="236"/>
        <item x="89"/>
        <item x="229"/>
        <item x="135"/>
        <item x="168"/>
        <item x="55"/>
        <item x="341"/>
        <item x="67"/>
        <item x="188"/>
        <item x="279"/>
        <item x="259"/>
        <item x="112"/>
        <item x="304"/>
        <item x="212"/>
        <item x="2"/>
        <item x="174"/>
        <item x="75"/>
        <item x="159"/>
        <item x="103"/>
        <item x="272"/>
        <item x="211"/>
        <item t="default"/>
      </items>
    </pivotField>
    <pivotField showAll="0"/>
    <pivotField showAll="0">
      <items count="5">
        <item x="3"/>
        <item x="0"/>
        <item x="1"/>
        <item x="2"/>
        <item t="default"/>
      </items>
    </pivotField>
    <pivotField showAll="0">
      <items count="4">
        <item x="0"/>
        <item x="2"/>
        <item x="1"/>
        <item t="default"/>
      </items>
    </pivotField>
    <pivotField axis="axisRow" showAll="0">
      <items count="12">
        <item x="4"/>
        <item x="9"/>
        <item x="5"/>
        <item x="0"/>
        <item x="10"/>
        <item x="8"/>
        <item x="3"/>
        <item x="2"/>
        <item x="1"/>
        <item x="7"/>
        <item x="6"/>
        <item t="default"/>
      </items>
    </pivotField>
    <pivotField showAll="0"/>
    <pivotField dataField="1" showAll="0"/>
    <pivotField showAll="0"/>
    <pivotField showAll="0"/>
    <pivotField dataField="1" showAll="0"/>
    <pivotField showAll="0"/>
    <pivotField showAll="0">
      <items count="4">
        <item x="2"/>
        <item x="1"/>
        <item x="0"/>
        <item t="default"/>
      </items>
    </pivotField>
    <pivotField showAll="0"/>
  </pivotFields>
  <rowFields count="1">
    <field x="5"/>
  </rowFields>
  <rowItems count="11">
    <i>
      <x/>
    </i>
    <i>
      <x v="1"/>
    </i>
    <i>
      <x v="2"/>
    </i>
    <i>
      <x v="3"/>
    </i>
    <i>
      <x v="4"/>
    </i>
    <i>
      <x v="5"/>
    </i>
    <i>
      <x v="6"/>
    </i>
    <i>
      <x v="7"/>
    </i>
    <i>
      <x v="8"/>
    </i>
    <i>
      <x v="9"/>
    </i>
    <i>
      <x v="10"/>
    </i>
  </rowItems>
  <colFields count="1">
    <field x="-2"/>
  </colFields>
  <colItems count="2">
    <i>
      <x/>
    </i>
    <i i="1">
      <x v="1"/>
    </i>
  </colItems>
  <dataFields count="2">
    <dataField name="Average Sales" fld="7" subtotal="average" baseField="5" baseItem="0"/>
    <dataField name="Average Profit" fld="10" subtotal="average" baseField="5" baseItem="0"/>
  </dataFields>
  <formats count="30">
    <format dxfId="4592">
      <pivotArea outline="0" collapsedLevelsAreSubtotals="1" fieldPosition="0"/>
    </format>
    <format dxfId="4591">
      <pivotArea type="all" dataOnly="0" outline="0" fieldPosition="0"/>
    </format>
    <format dxfId="4590">
      <pivotArea outline="0" collapsedLevelsAreSubtotals="1" fieldPosition="0"/>
    </format>
    <format dxfId="4589">
      <pivotArea field="5" type="button" dataOnly="0" labelOnly="1" outline="0" axis="axisRow" fieldPosition="0"/>
    </format>
    <format dxfId="4588">
      <pivotArea dataOnly="0" labelOnly="1" fieldPosition="0">
        <references count="1">
          <reference field="5" count="0"/>
        </references>
      </pivotArea>
    </format>
    <format dxfId="4587">
      <pivotArea dataOnly="0" labelOnly="1" outline="0" fieldPosition="0">
        <references count="1">
          <reference field="4294967294" count="2">
            <x v="0"/>
            <x v="1"/>
          </reference>
        </references>
      </pivotArea>
    </format>
    <format dxfId="4586">
      <pivotArea field="5" type="button" dataOnly="0" labelOnly="1" outline="0" axis="axisRow" fieldPosition="0"/>
    </format>
    <format dxfId="4585">
      <pivotArea dataOnly="0" labelOnly="1" outline="0" fieldPosition="0">
        <references count="1">
          <reference field="4294967294" count="2">
            <x v="0"/>
            <x v="1"/>
          </reference>
        </references>
      </pivotArea>
    </format>
    <format dxfId="4584">
      <pivotArea field="5" type="button" dataOnly="0" labelOnly="1" outline="0" axis="axisRow" fieldPosition="0"/>
    </format>
    <format dxfId="4583">
      <pivotArea dataOnly="0" labelOnly="1" outline="0" fieldPosition="0">
        <references count="1">
          <reference field="4294967294" count="2">
            <x v="0"/>
            <x v="1"/>
          </reference>
        </references>
      </pivotArea>
    </format>
    <format dxfId="4582">
      <pivotArea field="5" type="button" dataOnly="0" labelOnly="1" outline="0" axis="axisRow" fieldPosition="0"/>
    </format>
    <format dxfId="4581">
      <pivotArea dataOnly="0" labelOnly="1" outline="0" fieldPosition="0">
        <references count="1">
          <reference field="4294967294" count="2">
            <x v="0"/>
            <x v="1"/>
          </reference>
        </references>
      </pivotArea>
    </format>
    <format dxfId="4580">
      <pivotArea field="5" type="button" dataOnly="0" labelOnly="1" outline="0" axis="axisRow" fieldPosition="0"/>
    </format>
    <format dxfId="4579">
      <pivotArea dataOnly="0" labelOnly="1" outline="0" fieldPosition="0">
        <references count="1">
          <reference field="4294967294" count="2">
            <x v="0"/>
            <x v="1"/>
          </reference>
        </references>
      </pivotArea>
    </format>
    <format dxfId="4578">
      <pivotArea field="5" type="button" dataOnly="0" labelOnly="1" outline="0" axis="axisRow" fieldPosition="0"/>
    </format>
    <format dxfId="4577">
      <pivotArea dataOnly="0" labelOnly="1" outline="0" fieldPosition="0">
        <references count="1">
          <reference field="4294967294" count="2">
            <x v="0"/>
            <x v="1"/>
          </reference>
        </references>
      </pivotArea>
    </format>
    <format dxfId="4576">
      <pivotArea type="all" dataOnly="0" outline="0" fieldPosition="0"/>
    </format>
    <format dxfId="4575">
      <pivotArea outline="0" collapsedLevelsAreSubtotals="1" fieldPosition="0"/>
    </format>
    <format dxfId="4574">
      <pivotArea field="5" type="button" dataOnly="0" labelOnly="1" outline="0" axis="axisRow" fieldPosition="0"/>
    </format>
    <format dxfId="4573">
      <pivotArea dataOnly="0" labelOnly="1" fieldPosition="0">
        <references count="1">
          <reference field="5" count="0"/>
        </references>
      </pivotArea>
    </format>
    <format dxfId="4572">
      <pivotArea dataOnly="0" labelOnly="1" outline="0" fieldPosition="0">
        <references count="1">
          <reference field="4294967294" count="2">
            <x v="0"/>
            <x v="1"/>
          </reference>
        </references>
      </pivotArea>
    </format>
    <format dxfId="4571">
      <pivotArea type="all" dataOnly="0" outline="0" fieldPosition="0"/>
    </format>
    <format dxfId="4570">
      <pivotArea outline="0" collapsedLevelsAreSubtotals="1" fieldPosition="0"/>
    </format>
    <format dxfId="4569">
      <pivotArea field="5" type="button" dataOnly="0" labelOnly="1" outline="0" axis="axisRow" fieldPosition="0"/>
    </format>
    <format dxfId="4568">
      <pivotArea dataOnly="0" labelOnly="1" fieldPosition="0">
        <references count="1">
          <reference field="5" count="0"/>
        </references>
      </pivotArea>
    </format>
    <format dxfId="4567">
      <pivotArea dataOnly="0" labelOnly="1" outline="0" fieldPosition="0">
        <references count="1">
          <reference field="4294967294" count="2">
            <x v="0"/>
            <x v="1"/>
          </reference>
        </references>
      </pivotArea>
    </format>
    <format dxfId="4566">
      <pivotArea outline="0" collapsedLevelsAreSubtotals="1" fieldPosition="0"/>
    </format>
    <format dxfId="4565">
      <pivotArea dataOnly="0" labelOnly="1" fieldPosition="0">
        <references count="1">
          <reference field="5" count="0"/>
        </references>
      </pivotArea>
    </format>
    <format dxfId="4564">
      <pivotArea field="5" type="button" dataOnly="0" labelOnly="1" outline="0" axis="axisRow" fieldPosition="0"/>
    </format>
    <format dxfId="4563">
      <pivotArea dataOnly="0" labelOnly="1" outline="0" fieldPosition="0">
        <references count="1">
          <reference field="4294967294" count="2">
            <x v="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BDFFBE-D041-41BB-8F18-1AD693D1E177}" name="PivotTable9"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rowHeaderCaption="Discount">
  <location ref="K23:L29" firstHeaderRow="1" firstDataRow="1" firstDataCol="1"/>
  <pivotFields count="14">
    <pivotField showAll="0"/>
    <pivotField showAll="0">
      <items count="366">
        <item x="13"/>
        <item x="225"/>
        <item x="223"/>
        <item x="326"/>
        <item x="270"/>
        <item x="11"/>
        <item x="342"/>
        <item x="74"/>
        <item x="160"/>
        <item x="295"/>
        <item x="71"/>
        <item x="340"/>
        <item x="197"/>
        <item x="219"/>
        <item x="82"/>
        <item x="100"/>
        <item x="291"/>
        <item x="334"/>
        <item x="323"/>
        <item x="35"/>
        <item x="32"/>
        <item x="254"/>
        <item x="95"/>
        <item x="5"/>
        <item x="153"/>
        <item x="86"/>
        <item x="182"/>
        <item x="19"/>
        <item x="308"/>
        <item x="121"/>
        <item x="17"/>
        <item x="319"/>
        <item x="113"/>
        <item x="332"/>
        <item x="24"/>
        <item x="27"/>
        <item x="244"/>
        <item x="65"/>
        <item x="362"/>
        <item x="107"/>
        <item x="14"/>
        <item x="221"/>
        <item x="289"/>
        <item x="315"/>
        <item x="263"/>
        <item x="72"/>
        <item x="40"/>
        <item x="358"/>
        <item x="91"/>
        <item x="66"/>
        <item x="213"/>
        <item x="109"/>
        <item x="293"/>
        <item x="42"/>
        <item x="330"/>
        <item x="10"/>
        <item x="31"/>
        <item x="98"/>
        <item x="148"/>
        <item x="157"/>
        <item x="196"/>
        <item x="262"/>
        <item x="321"/>
        <item x="320"/>
        <item x="345"/>
        <item x="228"/>
        <item x="275"/>
        <item x="185"/>
        <item x="76"/>
        <item x="141"/>
        <item x="285"/>
        <item x="348"/>
        <item x="286"/>
        <item x="261"/>
        <item x="313"/>
        <item x="155"/>
        <item x="186"/>
        <item x="166"/>
        <item x="191"/>
        <item x="252"/>
        <item x="227"/>
        <item x="237"/>
        <item x="217"/>
        <item x="49"/>
        <item x="363"/>
        <item x="222"/>
        <item x="208"/>
        <item x="356"/>
        <item x="290"/>
        <item x="104"/>
        <item x="150"/>
        <item x="83"/>
        <item x="353"/>
        <item x="145"/>
        <item x="122"/>
        <item x="78"/>
        <item x="132"/>
        <item x="62"/>
        <item x="298"/>
        <item x="325"/>
        <item x="136"/>
        <item x="125"/>
        <item x="224"/>
        <item x="139"/>
        <item x="273"/>
        <item x="94"/>
        <item x="269"/>
        <item x="344"/>
        <item x="360"/>
        <item x="3"/>
        <item x="53"/>
        <item x="177"/>
        <item x="110"/>
        <item x="111"/>
        <item x="128"/>
        <item x="324"/>
        <item x="184"/>
        <item x="271"/>
        <item x="280"/>
        <item x="284"/>
        <item x="21"/>
        <item x="189"/>
        <item x="299"/>
        <item x="167"/>
        <item x="194"/>
        <item x="16"/>
        <item x="33"/>
        <item x="296"/>
        <item x="117"/>
        <item x="36"/>
        <item x="226"/>
        <item x="364"/>
        <item x="288"/>
        <item x="12"/>
        <item x="22"/>
        <item x="73"/>
        <item x="210"/>
        <item x="7"/>
        <item x="281"/>
        <item x="140"/>
        <item x="30"/>
        <item x="20"/>
        <item x="328"/>
        <item x="312"/>
        <item x="180"/>
        <item x="105"/>
        <item x="300"/>
        <item x="101"/>
        <item x="232"/>
        <item x="116"/>
        <item x="88"/>
        <item x="175"/>
        <item x="256"/>
        <item x="146"/>
        <item x="169"/>
        <item x="329"/>
        <item x="69"/>
        <item x="99"/>
        <item x="54"/>
        <item x="23"/>
        <item x="26"/>
        <item x="200"/>
        <item x="124"/>
        <item x="240"/>
        <item x="346"/>
        <item x="283"/>
        <item x="311"/>
        <item x="337"/>
        <item x="142"/>
        <item x="310"/>
        <item x="343"/>
        <item x="144"/>
        <item x="80"/>
        <item x="305"/>
        <item x="260"/>
        <item x="351"/>
        <item x="192"/>
        <item x="172"/>
        <item x="34"/>
        <item x="267"/>
        <item x="6"/>
        <item x="201"/>
        <item x="204"/>
        <item x="190"/>
        <item x="93"/>
        <item x="307"/>
        <item x="247"/>
        <item x="193"/>
        <item x="156"/>
        <item x="97"/>
        <item x="215"/>
        <item x="165"/>
        <item x="249"/>
        <item x="38"/>
        <item x="85"/>
        <item x="234"/>
        <item x="230"/>
        <item x="203"/>
        <item x="163"/>
        <item x="245"/>
        <item x="359"/>
        <item x="338"/>
        <item x="216"/>
        <item x="118"/>
        <item x="331"/>
        <item x="214"/>
        <item x="301"/>
        <item x="361"/>
        <item x="250"/>
        <item x="179"/>
        <item x="253"/>
        <item x="92"/>
        <item x="268"/>
        <item x="176"/>
        <item x="51"/>
        <item x="149"/>
        <item x="119"/>
        <item x="266"/>
        <item x="187"/>
        <item x="294"/>
        <item x="173"/>
        <item x="243"/>
        <item x="164"/>
        <item x="309"/>
        <item x="282"/>
        <item x="39"/>
        <item x="96"/>
        <item x="120"/>
        <item x="108"/>
        <item x="257"/>
        <item x="322"/>
        <item x="274"/>
        <item x="41"/>
        <item x="133"/>
        <item x="4"/>
        <item x="50"/>
        <item x="58"/>
        <item x="46"/>
        <item x="317"/>
        <item x="64"/>
        <item x="297"/>
        <item x="302"/>
        <item x="60"/>
        <item x="336"/>
        <item x="207"/>
        <item x="287"/>
        <item x="131"/>
        <item x="316"/>
        <item x="354"/>
        <item x="56"/>
        <item x="123"/>
        <item x="276"/>
        <item x="306"/>
        <item x="206"/>
        <item x="162"/>
        <item x="171"/>
        <item x="147"/>
        <item x="143"/>
        <item x="138"/>
        <item x="241"/>
        <item x="255"/>
        <item x="235"/>
        <item x="137"/>
        <item x="248"/>
        <item x="251"/>
        <item x="199"/>
        <item x="350"/>
        <item x="63"/>
        <item x="79"/>
        <item x="28"/>
        <item x="198"/>
        <item x="151"/>
        <item x="129"/>
        <item x="264"/>
        <item x="242"/>
        <item x="45"/>
        <item x="357"/>
        <item x="238"/>
        <item x="347"/>
        <item x="277"/>
        <item x="178"/>
        <item x="127"/>
        <item x="61"/>
        <item x="202"/>
        <item x="154"/>
        <item x="339"/>
        <item x="9"/>
        <item x="314"/>
        <item x="25"/>
        <item x="8"/>
        <item x="134"/>
        <item x="18"/>
        <item x="205"/>
        <item x="47"/>
        <item x="278"/>
        <item x="77"/>
        <item x="220"/>
        <item x="170"/>
        <item x="158"/>
        <item x="84"/>
        <item x="233"/>
        <item x="1"/>
        <item x="183"/>
        <item x="106"/>
        <item x="59"/>
        <item x="70"/>
        <item x="218"/>
        <item x="48"/>
        <item x="29"/>
        <item x="15"/>
        <item x="349"/>
        <item x="355"/>
        <item x="126"/>
        <item x="114"/>
        <item x="57"/>
        <item x="239"/>
        <item x="231"/>
        <item x="318"/>
        <item x="327"/>
        <item x="68"/>
        <item x="130"/>
        <item x="352"/>
        <item x="81"/>
        <item x="335"/>
        <item x="303"/>
        <item x="44"/>
        <item x="0"/>
        <item x="209"/>
        <item x="115"/>
        <item x="258"/>
        <item x="90"/>
        <item x="181"/>
        <item x="52"/>
        <item x="161"/>
        <item x="195"/>
        <item x="265"/>
        <item x="87"/>
        <item x="152"/>
        <item x="37"/>
        <item x="333"/>
        <item x="43"/>
        <item x="102"/>
        <item x="246"/>
        <item x="292"/>
        <item x="236"/>
        <item x="89"/>
        <item x="229"/>
        <item x="135"/>
        <item x="168"/>
        <item x="55"/>
        <item x="341"/>
        <item x="67"/>
        <item x="188"/>
        <item x="279"/>
        <item x="259"/>
        <item x="112"/>
        <item x="304"/>
        <item x="212"/>
        <item x="2"/>
        <item x="174"/>
        <item x="75"/>
        <item x="159"/>
        <item x="103"/>
        <item x="272"/>
        <item x="211"/>
        <item t="default"/>
      </items>
    </pivotField>
    <pivotField showAll="0"/>
    <pivotField showAll="0">
      <items count="5">
        <item x="3"/>
        <item x="0"/>
        <item x="1"/>
        <item x="2"/>
        <item t="default"/>
      </items>
    </pivotField>
    <pivotField showAll="0">
      <items count="4">
        <item x="0"/>
        <item x="2"/>
        <item x="1"/>
        <item t="default"/>
      </items>
    </pivotField>
    <pivotField showAll="0"/>
    <pivotField showAll="0"/>
    <pivotField showAll="0"/>
    <pivotField showAll="0"/>
    <pivotField axis="axisRow" showAll="0">
      <items count="7">
        <item x="1"/>
        <item x="3"/>
        <item x="5"/>
        <item x="2"/>
        <item x="0"/>
        <item x="4"/>
        <item t="default"/>
      </items>
    </pivotField>
    <pivotField dataField="1" showAll="0"/>
    <pivotField showAll="0"/>
    <pivotField showAll="0">
      <items count="4">
        <item x="2"/>
        <item x="1"/>
        <item x="0"/>
        <item t="default"/>
      </items>
    </pivotField>
    <pivotField showAll="0"/>
  </pivotFields>
  <rowFields count="1">
    <field x="9"/>
  </rowFields>
  <rowItems count="6">
    <i>
      <x/>
    </i>
    <i>
      <x v="1"/>
    </i>
    <i>
      <x v="2"/>
    </i>
    <i>
      <x v="3"/>
    </i>
    <i>
      <x v="4"/>
    </i>
    <i>
      <x v="5"/>
    </i>
  </rowItems>
  <colItems count="1">
    <i/>
  </colItems>
  <dataFields count="1">
    <dataField name="Total Profit" fld="10" baseField="9" baseItem="0" numFmtId="164"/>
  </dataFields>
  <formats count="30">
    <format dxfId="4622">
      <pivotArea outline="0" collapsedLevelsAreSubtotals="1" fieldPosition="0"/>
    </format>
    <format dxfId="4621">
      <pivotArea type="all" dataOnly="0" outline="0" fieldPosition="0"/>
    </format>
    <format dxfId="4620">
      <pivotArea outline="0" collapsedLevelsAreSubtotals="1" fieldPosition="0"/>
    </format>
    <format dxfId="4619">
      <pivotArea field="9" type="button" dataOnly="0" labelOnly="1" outline="0" axis="axisRow" fieldPosition="0"/>
    </format>
    <format dxfId="4618">
      <pivotArea dataOnly="0" labelOnly="1" fieldPosition="0">
        <references count="1">
          <reference field="9" count="0"/>
        </references>
      </pivotArea>
    </format>
    <format dxfId="4617">
      <pivotArea dataOnly="0" labelOnly="1" outline="0" axis="axisValues" fieldPosition="0"/>
    </format>
    <format dxfId="4616">
      <pivotArea field="9" type="button" dataOnly="0" labelOnly="1" outline="0" axis="axisRow" fieldPosition="0"/>
    </format>
    <format dxfId="4615">
      <pivotArea dataOnly="0" labelOnly="1" outline="0" axis="axisValues" fieldPosition="0"/>
    </format>
    <format dxfId="4614">
      <pivotArea field="9" type="button" dataOnly="0" labelOnly="1" outline="0" axis="axisRow" fieldPosition="0"/>
    </format>
    <format dxfId="4613">
      <pivotArea dataOnly="0" labelOnly="1" outline="0" axis="axisValues" fieldPosition="0"/>
    </format>
    <format dxfId="4612">
      <pivotArea field="9" type="button" dataOnly="0" labelOnly="1" outline="0" axis="axisRow" fieldPosition="0"/>
    </format>
    <format dxfId="4611">
      <pivotArea dataOnly="0" labelOnly="1" outline="0" axis="axisValues" fieldPosition="0"/>
    </format>
    <format dxfId="4610">
      <pivotArea field="9" type="button" dataOnly="0" labelOnly="1" outline="0" axis="axisRow" fieldPosition="0"/>
    </format>
    <format dxfId="4609">
      <pivotArea dataOnly="0" labelOnly="1" outline="0" axis="axisValues" fieldPosition="0"/>
    </format>
    <format dxfId="4608">
      <pivotArea field="9" type="button" dataOnly="0" labelOnly="1" outline="0" axis="axisRow" fieldPosition="0"/>
    </format>
    <format dxfId="4607">
      <pivotArea dataOnly="0" labelOnly="1" outline="0" axis="axisValues" fieldPosition="0"/>
    </format>
    <format dxfId="4606">
      <pivotArea type="all" dataOnly="0" outline="0" fieldPosition="0"/>
    </format>
    <format dxfId="4605">
      <pivotArea outline="0" collapsedLevelsAreSubtotals="1" fieldPosition="0"/>
    </format>
    <format dxfId="4604">
      <pivotArea field="9" type="button" dataOnly="0" labelOnly="1" outline="0" axis="axisRow" fieldPosition="0"/>
    </format>
    <format dxfId="4603">
      <pivotArea dataOnly="0" labelOnly="1" fieldPosition="0">
        <references count="1">
          <reference field="9" count="0"/>
        </references>
      </pivotArea>
    </format>
    <format dxfId="4602">
      <pivotArea dataOnly="0" labelOnly="1" outline="0" axis="axisValues" fieldPosition="0"/>
    </format>
    <format dxfId="4601">
      <pivotArea type="all" dataOnly="0" outline="0" fieldPosition="0"/>
    </format>
    <format dxfId="4600">
      <pivotArea outline="0" collapsedLevelsAreSubtotals="1" fieldPosition="0"/>
    </format>
    <format dxfId="4599">
      <pivotArea field="9" type="button" dataOnly="0" labelOnly="1" outline="0" axis="axisRow" fieldPosition="0"/>
    </format>
    <format dxfId="4598">
      <pivotArea dataOnly="0" labelOnly="1" fieldPosition="0">
        <references count="1">
          <reference field="9" count="0"/>
        </references>
      </pivotArea>
    </format>
    <format dxfId="4597">
      <pivotArea dataOnly="0" labelOnly="1" outline="0" axis="axisValues" fieldPosition="0"/>
    </format>
    <format dxfId="4596">
      <pivotArea outline="0" collapsedLevelsAreSubtotals="1" fieldPosition="0"/>
    </format>
    <format dxfId="4595">
      <pivotArea dataOnly="0" labelOnly="1" fieldPosition="0">
        <references count="1">
          <reference field="9" count="0"/>
        </references>
      </pivotArea>
    </format>
    <format dxfId="4594">
      <pivotArea field="9" type="button" dataOnly="0" labelOnly="1" outline="0" axis="axisRow" fieldPosition="0"/>
    </format>
    <format dxfId="4593">
      <pivotArea dataOnly="0" labelOnly="1" outline="0" axis="axisValues" fieldPosition="0"/>
    </format>
  </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089EDE-BFE0-4C2F-A173-AD1B9BBC12D2}" name="PivotTable1"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rowHeaderCaption="Region">
  <location ref="D7:E11" firstHeaderRow="1" firstDataRow="1" firstDataCol="1"/>
  <pivotFields count="14">
    <pivotField showAll="0"/>
    <pivotField showAll="0">
      <items count="366">
        <item x="13"/>
        <item x="225"/>
        <item x="223"/>
        <item x="326"/>
        <item x="270"/>
        <item x="11"/>
        <item x="342"/>
        <item x="74"/>
        <item x="160"/>
        <item x="295"/>
        <item x="71"/>
        <item x="340"/>
        <item x="197"/>
        <item x="219"/>
        <item x="82"/>
        <item x="100"/>
        <item x="291"/>
        <item x="334"/>
        <item x="323"/>
        <item x="35"/>
        <item x="32"/>
        <item x="254"/>
        <item x="95"/>
        <item x="5"/>
        <item x="153"/>
        <item x="86"/>
        <item x="182"/>
        <item x="19"/>
        <item x="308"/>
        <item x="121"/>
        <item x="17"/>
        <item x="319"/>
        <item x="113"/>
        <item x="332"/>
        <item x="24"/>
        <item x="27"/>
        <item x="244"/>
        <item x="65"/>
        <item x="362"/>
        <item x="107"/>
        <item x="14"/>
        <item x="221"/>
        <item x="289"/>
        <item x="315"/>
        <item x="263"/>
        <item x="72"/>
        <item x="40"/>
        <item x="358"/>
        <item x="91"/>
        <item x="66"/>
        <item x="213"/>
        <item x="109"/>
        <item x="293"/>
        <item x="42"/>
        <item x="330"/>
        <item x="10"/>
        <item x="31"/>
        <item x="98"/>
        <item x="148"/>
        <item x="157"/>
        <item x="196"/>
        <item x="262"/>
        <item x="321"/>
        <item x="320"/>
        <item x="345"/>
        <item x="228"/>
        <item x="275"/>
        <item x="185"/>
        <item x="76"/>
        <item x="141"/>
        <item x="285"/>
        <item x="348"/>
        <item x="286"/>
        <item x="261"/>
        <item x="313"/>
        <item x="155"/>
        <item x="186"/>
        <item x="166"/>
        <item x="191"/>
        <item x="252"/>
        <item x="227"/>
        <item x="237"/>
        <item x="217"/>
        <item x="49"/>
        <item x="363"/>
        <item x="222"/>
        <item x="208"/>
        <item x="356"/>
        <item x="290"/>
        <item x="104"/>
        <item x="150"/>
        <item x="83"/>
        <item x="353"/>
        <item x="145"/>
        <item x="122"/>
        <item x="78"/>
        <item x="132"/>
        <item x="62"/>
        <item x="298"/>
        <item x="325"/>
        <item x="136"/>
        <item x="125"/>
        <item x="224"/>
        <item x="139"/>
        <item x="273"/>
        <item x="94"/>
        <item x="269"/>
        <item x="344"/>
        <item x="360"/>
        <item x="3"/>
        <item x="53"/>
        <item x="177"/>
        <item x="110"/>
        <item x="111"/>
        <item x="128"/>
        <item x="324"/>
        <item x="184"/>
        <item x="271"/>
        <item x="280"/>
        <item x="284"/>
        <item x="21"/>
        <item x="189"/>
        <item x="299"/>
        <item x="167"/>
        <item x="194"/>
        <item x="16"/>
        <item x="33"/>
        <item x="296"/>
        <item x="117"/>
        <item x="36"/>
        <item x="226"/>
        <item x="364"/>
        <item x="288"/>
        <item x="12"/>
        <item x="22"/>
        <item x="73"/>
        <item x="210"/>
        <item x="7"/>
        <item x="281"/>
        <item x="140"/>
        <item x="30"/>
        <item x="20"/>
        <item x="328"/>
        <item x="312"/>
        <item x="180"/>
        <item x="105"/>
        <item x="300"/>
        <item x="101"/>
        <item x="232"/>
        <item x="116"/>
        <item x="88"/>
        <item x="175"/>
        <item x="256"/>
        <item x="146"/>
        <item x="169"/>
        <item x="329"/>
        <item x="69"/>
        <item x="99"/>
        <item x="54"/>
        <item x="23"/>
        <item x="26"/>
        <item x="200"/>
        <item x="124"/>
        <item x="240"/>
        <item x="346"/>
        <item x="283"/>
        <item x="311"/>
        <item x="337"/>
        <item x="142"/>
        <item x="310"/>
        <item x="343"/>
        <item x="144"/>
        <item x="80"/>
        <item x="305"/>
        <item x="260"/>
        <item x="351"/>
        <item x="192"/>
        <item x="172"/>
        <item x="34"/>
        <item x="267"/>
        <item x="6"/>
        <item x="201"/>
        <item x="204"/>
        <item x="190"/>
        <item x="93"/>
        <item x="307"/>
        <item x="247"/>
        <item x="193"/>
        <item x="156"/>
        <item x="97"/>
        <item x="215"/>
        <item x="165"/>
        <item x="249"/>
        <item x="38"/>
        <item x="85"/>
        <item x="234"/>
        <item x="230"/>
        <item x="203"/>
        <item x="163"/>
        <item x="245"/>
        <item x="359"/>
        <item x="338"/>
        <item x="216"/>
        <item x="118"/>
        <item x="331"/>
        <item x="214"/>
        <item x="301"/>
        <item x="361"/>
        <item x="250"/>
        <item x="179"/>
        <item x="253"/>
        <item x="92"/>
        <item x="268"/>
        <item x="176"/>
        <item x="51"/>
        <item x="149"/>
        <item x="119"/>
        <item x="266"/>
        <item x="187"/>
        <item x="294"/>
        <item x="173"/>
        <item x="243"/>
        <item x="164"/>
        <item x="309"/>
        <item x="282"/>
        <item x="39"/>
        <item x="96"/>
        <item x="120"/>
        <item x="108"/>
        <item x="257"/>
        <item x="322"/>
        <item x="274"/>
        <item x="41"/>
        <item x="133"/>
        <item x="4"/>
        <item x="50"/>
        <item x="58"/>
        <item x="46"/>
        <item x="317"/>
        <item x="64"/>
        <item x="297"/>
        <item x="302"/>
        <item x="60"/>
        <item x="336"/>
        <item x="207"/>
        <item x="287"/>
        <item x="131"/>
        <item x="316"/>
        <item x="354"/>
        <item x="56"/>
        <item x="123"/>
        <item x="276"/>
        <item x="306"/>
        <item x="206"/>
        <item x="162"/>
        <item x="171"/>
        <item x="147"/>
        <item x="143"/>
        <item x="138"/>
        <item x="241"/>
        <item x="255"/>
        <item x="235"/>
        <item x="137"/>
        <item x="248"/>
        <item x="251"/>
        <item x="199"/>
        <item x="350"/>
        <item x="63"/>
        <item x="79"/>
        <item x="28"/>
        <item x="198"/>
        <item x="151"/>
        <item x="129"/>
        <item x="264"/>
        <item x="242"/>
        <item x="45"/>
        <item x="357"/>
        <item x="238"/>
        <item x="347"/>
        <item x="277"/>
        <item x="178"/>
        <item x="127"/>
        <item x="61"/>
        <item x="202"/>
        <item x="154"/>
        <item x="339"/>
        <item x="9"/>
        <item x="314"/>
        <item x="25"/>
        <item x="8"/>
        <item x="134"/>
        <item x="18"/>
        <item x="205"/>
        <item x="47"/>
        <item x="278"/>
        <item x="77"/>
        <item x="220"/>
        <item x="170"/>
        <item x="158"/>
        <item x="84"/>
        <item x="233"/>
        <item x="1"/>
        <item x="183"/>
        <item x="106"/>
        <item x="59"/>
        <item x="70"/>
        <item x="218"/>
        <item x="48"/>
        <item x="29"/>
        <item x="15"/>
        <item x="349"/>
        <item x="355"/>
        <item x="126"/>
        <item x="114"/>
        <item x="57"/>
        <item x="239"/>
        <item x="231"/>
        <item x="318"/>
        <item x="327"/>
        <item x="68"/>
        <item x="130"/>
        <item x="352"/>
        <item x="81"/>
        <item x="335"/>
        <item x="303"/>
        <item x="44"/>
        <item x="0"/>
        <item x="209"/>
        <item x="115"/>
        <item x="258"/>
        <item x="90"/>
        <item x="181"/>
        <item x="52"/>
        <item x="161"/>
        <item x="195"/>
        <item x="265"/>
        <item x="87"/>
        <item x="152"/>
        <item x="37"/>
        <item x="333"/>
        <item x="43"/>
        <item x="102"/>
        <item x="246"/>
        <item x="292"/>
        <item x="236"/>
        <item x="89"/>
        <item x="229"/>
        <item x="135"/>
        <item x="168"/>
        <item x="55"/>
        <item x="341"/>
        <item x="67"/>
        <item x="188"/>
        <item x="279"/>
        <item x="259"/>
        <item x="112"/>
        <item x="304"/>
        <item x="212"/>
        <item x="2"/>
        <item x="174"/>
        <item x="75"/>
        <item x="159"/>
        <item x="103"/>
        <item x="272"/>
        <item x="211"/>
        <item t="default"/>
      </items>
    </pivotField>
    <pivotField showAll="0"/>
    <pivotField axis="axisRow" showAll="0">
      <items count="5">
        <item x="3"/>
        <item x="0"/>
        <item x="1"/>
        <item x="2"/>
        <item t="default"/>
      </items>
    </pivotField>
    <pivotField showAll="0">
      <items count="4">
        <item x="0"/>
        <item x="2"/>
        <item x="1"/>
        <item t="default"/>
      </items>
    </pivotField>
    <pivotField showAll="0"/>
    <pivotField showAll="0"/>
    <pivotField showAll="0"/>
    <pivotField dataField="1" showAll="0"/>
    <pivotField showAll="0"/>
    <pivotField showAll="0"/>
    <pivotField showAll="0"/>
    <pivotField showAll="0">
      <items count="4">
        <item x="2"/>
        <item x="1"/>
        <item x="0"/>
        <item t="default"/>
      </items>
    </pivotField>
    <pivotField showAll="0"/>
  </pivotFields>
  <rowFields count="1">
    <field x="3"/>
  </rowFields>
  <rowItems count="4">
    <i>
      <x/>
    </i>
    <i>
      <x v="1"/>
    </i>
    <i>
      <x v="2"/>
    </i>
    <i>
      <x v="3"/>
    </i>
  </rowItems>
  <colItems count="1">
    <i/>
  </colItems>
  <dataFields count="1">
    <dataField name="Total Quantity" fld="8" baseField="3" baseItem="0"/>
  </dataFields>
  <formats count="29">
    <format dxfId="4651">
      <pivotArea type="all" dataOnly="0" outline="0" fieldPosition="0"/>
    </format>
    <format dxfId="4650">
      <pivotArea outline="0" collapsedLevelsAreSubtotals="1" fieldPosition="0"/>
    </format>
    <format dxfId="4649">
      <pivotArea field="3" type="button" dataOnly="0" labelOnly="1" outline="0" axis="axisRow" fieldPosition="0"/>
    </format>
    <format dxfId="4648">
      <pivotArea dataOnly="0" labelOnly="1" fieldPosition="0">
        <references count="1">
          <reference field="3" count="0"/>
        </references>
      </pivotArea>
    </format>
    <format dxfId="4647">
      <pivotArea dataOnly="0" labelOnly="1" outline="0" axis="axisValues" fieldPosition="0"/>
    </format>
    <format dxfId="4646">
      <pivotArea field="3" type="button" dataOnly="0" labelOnly="1" outline="0" axis="axisRow" fieldPosition="0"/>
    </format>
    <format dxfId="4645">
      <pivotArea dataOnly="0" labelOnly="1" outline="0" axis="axisValues" fieldPosition="0"/>
    </format>
    <format dxfId="4644">
      <pivotArea field="3" type="button" dataOnly="0" labelOnly="1" outline="0" axis="axisRow" fieldPosition="0"/>
    </format>
    <format dxfId="4643">
      <pivotArea dataOnly="0" labelOnly="1" outline="0" axis="axisValues" fieldPosition="0"/>
    </format>
    <format dxfId="4642">
      <pivotArea field="3" type="button" dataOnly="0" labelOnly="1" outline="0" axis="axisRow" fieldPosition="0"/>
    </format>
    <format dxfId="4641">
      <pivotArea dataOnly="0" labelOnly="1" outline="0" axis="axisValues" fieldPosition="0"/>
    </format>
    <format dxfId="4640">
      <pivotArea field="3" type="button" dataOnly="0" labelOnly="1" outline="0" axis="axisRow" fieldPosition="0"/>
    </format>
    <format dxfId="4639">
      <pivotArea dataOnly="0" labelOnly="1" outline="0" axis="axisValues" fieldPosition="0"/>
    </format>
    <format dxfId="4638">
      <pivotArea field="3" type="button" dataOnly="0" labelOnly="1" outline="0" axis="axisRow" fieldPosition="0"/>
    </format>
    <format dxfId="4637">
      <pivotArea dataOnly="0" labelOnly="1" outline="0" axis="axisValues" fieldPosition="0"/>
    </format>
    <format dxfId="4636">
      <pivotArea type="all" dataOnly="0" outline="0" fieldPosition="0"/>
    </format>
    <format dxfId="4635">
      <pivotArea outline="0" collapsedLevelsAreSubtotals="1" fieldPosition="0"/>
    </format>
    <format dxfId="4634">
      <pivotArea field="3" type="button" dataOnly="0" labelOnly="1" outline="0" axis="axisRow" fieldPosition="0"/>
    </format>
    <format dxfId="4633">
      <pivotArea dataOnly="0" labelOnly="1" fieldPosition="0">
        <references count="1">
          <reference field="3" count="0"/>
        </references>
      </pivotArea>
    </format>
    <format dxfId="4632">
      <pivotArea dataOnly="0" labelOnly="1" outline="0" axis="axisValues" fieldPosition="0"/>
    </format>
    <format dxfId="4631">
      <pivotArea type="all" dataOnly="0" outline="0" fieldPosition="0"/>
    </format>
    <format dxfId="4630">
      <pivotArea outline="0" collapsedLevelsAreSubtotals="1" fieldPosition="0"/>
    </format>
    <format dxfId="4629">
      <pivotArea field="3" type="button" dataOnly="0" labelOnly="1" outline="0" axis="axisRow" fieldPosition="0"/>
    </format>
    <format dxfId="4628">
      <pivotArea dataOnly="0" labelOnly="1" fieldPosition="0">
        <references count="1">
          <reference field="3" count="0"/>
        </references>
      </pivotArea>
    </format>
    <format dxfId="4627">
      <pivotArea dataOnly="0" labelOnly="1" outline="0" axis="axisValues" fieldPosition="0"/>
    </format>
    <format dxfId="4626">
      <pivotArea outline="0" collapsedLevelsAreSubtotals="1" fieldPosition="0"/>
    </format>
    <format dxfId="4625">
      <pivotArea dataOnly="0" labelOnly="1" fieldPosition="0">
        <references count="1">
          <reference field="3" count="0"/>
        </references>
      </pivotArea>
    </format>
    <format dxfId="4624">
      <pivotArea field="3" type="button" dataOnly="0" labelOnly="1" outline="0" axis="axisRow" fieldPosition="0"/>
    </format>
    <format dxfId="4623">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85887B-B95B-4179-8955-225B791E14DF}" name="PivotTable3" cacheId="2"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rowHeaderCaption="Segments/Categories">
  <location ref="N21:O33" firstHeaderRow="1" firstDataRow="1" firstDataCol="1"/>
  <pivotFields count="14">
    <pivotField showAll="0"/>
    <pivotField showAll="0">
      <items count="366">
        <item x="13"/>
        <item x="225"/>
        <item x="223"/>
        <item x="326"/>
        <item x="270"/>
        <item x="11"/>
        <item x="342"/>
        <item x="74"/>
        <item x="160"/>
        <item x="295"/>
        <item x="71"/>
        <item x="340"/>
        <item x="197"/>
        <item x="219"/>
        <item x="82"/>
        <item x="100"/>
        <item x="291"/>
        <item x="334"/>
        <item x="323"/>
        <item x="35"/>
        <item x="32"/>
        <item x="254"/>
        <item x="95"/>
        <item x="5"/>
        <item x="153"/>
        <item x="86"/>
        <item x="182"/>
        <item x="19"/>
        <item x="308"/>
        <item x="121"/>
        <item x="17"/>
        <item x="319"/>
        <item x="113"/>
        <item x="332"/>
        <item x="24"/>
        <item x="27"/>
        <item x="244"/>
        <item x="65"/>
        <item x="362"/>
        <item x="107"/>
        <item x="14"/>
        <item x="221"/>
        <item x="289"/>
        <item x="315"/>
        <item x="263"/>
        <item x="72"/>
        <item x="40"/>
        <item x="358"/>
        <item x="91"/>
        <item x="66"/>
        <item x="213"/>
        <item x="109"/>
        <item x="293"/>
        <item x="42"/>
        <item x="330"/>
        <item x="10"/>
        <item x="31"/>
        <item x="98"/>
        <item x="148"/>
        <item x="157"/>
        <item x="196"/>
        <item x="262"/>
        <item x="321"/>
        <item x="320"/>
        <item x="345"/>
        <item x="228"/>
        <item x="275"/>
        <item x="185"/>
        <item x="76"/>
        <item x="141"/>
        <item x="285"/>
        <item x="348"/>
        <item x="286"/>
        <item x="261"/>
        <item x="313"/>
        <item x="155"/>
        <item x="186"/>
        <item x="166"/>
        <item x="191"/>
        <item x="252"/>
        <item x="227"/>
        <item x="237"/>
        <item x="217"/>
        <item x="49"/>
        <item x="363"/>
        <item x="222"/>
        <item x="208"/>
        <item x="356"/>
        <item x="290"/>
        <item x="104"/>
        <item x="150"/>
        <item x="83"/>
        <item x="353"/>
        <item x="145"/>
        <item x="122"/>
        <item x="78"/>
        <item x="132"/>
        <item x="62"/>
        <item x="298"/>
        <item x="325"/>
        <item x="136"/>
        <item x="125"/>
        <item x="224"/>
        <item x="139"/>
        <item x="273"/>
        <item x="94"/>
        <item x="269"/>
        <item x="344"/>
        <item x="360"/>
        <item x="3"/>
        <item x="53"/>
        <item x="177"/>
        <item x="110"/>
        <item x="111"/>
        <item x="128"/>
        <item x="324"/>
        <item x="184"/>
        <item x="271"/>
        <item x="280"/>
        <item x="284"/>
        <item x="21"/>
        <item x="189"/>
        <item x="299"/>
        <item x="167"/>
        <item x="194"/>
        <item x="16"/>
        <item x="33"/>
        <item x="296"/>
        <item x="117"/>
        <item x="36"/>
        <item x="226"/>
        <item x="364"/>
        <item x="288"/>
        <item x="12"/>
        <item x="22"/>
        <item x="73"/>
        <item x="210"/>
        <item x="7"/>
        <item x="281"/>
        <item x="140"/>
        <item x="30"/>
        <item x="20"/>
        <item x="328"/>
        <item x="312"/>
        <item x="180"/>
        <item x="105"/>
        <item x="300"/>
        <item x="101"/>
        <item x="232"/>
        <item x="116"/>
        <item x="88"/>
        <item x="175"/>
        <item x="256"/>
        <item x="146"/>
        <item x="169"/>
        <item x="329"/>
        <item x="69"/>
        <item x="99"/>
        <item x="54"/>
        <item x="23"/>
        <item x="26"/>
        <item x="200"/>
        <item x="124"/>
        <item x="240"/>
        <item x="346"/>
        <item x="283"/>
        <item x="311"/>
        <item x="337"/>
        <item x="142"/>
        <item x="310"/>
        <item x="343"/>
        <item x="144"/>
        <item x="80"/>
        <item x="305"/>
        <item x="260"/>
        <item x="351"/>
        <item x="192"/>
        <item x="172"/>
        <item x="34"/>
        <item x="267"/>
        <item x="6"/>
        <item x="201"/>
        <item x="204"/>
        <item x="190"/>
        <item x="93"/>
        <item x="307"/>
        <item x="247"/>
        <item x="193"/>
        <item x="156"/>
        <item x="97"/>
        <item x="215"/>
        <item x="165"/>
        <item x="249"/>
        <item x="38"/>
        <item x="85"/>
        <item x="234"/>
        <item x="230"/>
        <item x="203"/>
        <item x="163"/>
        <item x="245"/>
        <item x="359"/>
        <item x="338"/>
        <item x="216"/>
        <item x="118"/>
        <item x="331"/>
        <item x="214"/>
        <item x="301"/>
        <item x="361"/>
        <item x="250"/>
        <item x="179"/>
        <item x="253"/>
        <item x="92"/>
        <item x="268"/>
        <item x="176"/>
        <item x="51"/>
        <item x="149"/>
        <item x="119"/>
        <item x="266"/>
        <item x="187"/>
        <item x="294"/>
        <item x="173"/>
        <item x="243"/>
        <item x="164"/>
        <item x="309"/>
        <item x="282"/>
        <item x="39"/>
        <item x="96"/>
        <item x="120"/>
        <item x="108"/>
        <item x="257"/>
        <item x="322"/>
        <item x="274"/>
        <item x="41"/>
        <item x="133"/>
        <item x="4"/>
        <item x="50"/>
        <item x="58"/>
        <item x="46"/>
        <item x="317"/>
        <item x="64"/>
        <item x="297"/>
        <item x="302"/>
        <item x="60"/>
        <item x="336"/>
        <item x="207"/>
        <item x="287"/>
        <item x="131"/>
        <item x="316"/>
        <item x="354"/>
        <item x="56"/>
        <item x="123"/>
        <item x="276"/>
        <item x="306"/>
        <item x="206"/>
        <item x="162"/>
        <item x="171"/>
        <item x="147"/>
        <item x="143"/>
        <item x="138"/>
        <item x="241"/>
        <item x="255"/>
        <item x="235"/>
        <item x="137"/>
        <item x="248"/>
        <item x="251"/>
        <item x="199"/>
        <item x="350"/>
        <item x="63"/>
        <item x="79"/>
        <item x="28"/>
        <item x="198"/>
        <item x="151"/>
        <item x="129"/>
        <item x="264"/>
        <item x="242"/>
        <item x="45"/>
        <item x="357"/>
        <item x="238"/>
        <item x="347"/>
        <item x="277"/>
        <item x="178"/>
        <item x="127"/>
        <item x="61"/>
        <item x="202"/>
        <item x="154"/>
        <item x="339"/>
        <item x="9"/>
        <item x="314"/>
        <item x="25"/>
        <item x="8"/>
        <item x="134"/>
        <item x="18"/>
        <item x="205"/>
        <item x="47"/>
        <item x="278"/>
        <item x="77"/>
        <item x="220"/>
        <item x="170"/>
        <item x="158"/>
        <item x="84"/>
        <item x="233"/>
        <item x="1"/>
        <item x="183"/>
        <item x="106"/>
        <item x="59"/>
        <item x="70"/>
        <item x="218"/>
        <item x="48"/>
        <item x="29"/>
        <item x="15"/>
        <item x="349"/>
        <item x="355"/>
        <item x="126"/>
        <item x="114"/>
        <item x="57"/>
        <item x="239"/>
        <item x="231"/>
        <item x="318"/>
        <item x="327"/>
        <item x="68"/>
        <item x="130"/>
        <item x="352"/>
        <item x="81"/>
        <item x="335"/>
        <item x="303"/>
        <item x="44"/>
        <item x="0"/>
        <item x="209"/>
        <item x="115"/>
        <item x="258"/>
        <item x="90"/>
        <item x="181"/>
        <item x="52"/>
        <item x="161"/>
        <item x="195"/>
        <item x="265"/>
        <item x="87"/>
        <item x="152"/>
        <item x="37"/>
        <item x="333"/>
        <item x="43"/>
        <item x="102"/>
        <item x="246"/>
        <item x="292"/>
        <item x="236"/>
        <item x="89"/>
        <item x="229"/>
        <item x="135"/>
        <item x="168"/>
        <item x="55"/>
        <item x="341"/>
        <item x="67"/>
        <item x="188"/>
        <item x="279"/>
        <item x="259"/>
        <item x="112"/>
        <item x="304"/>
        <item x="212"/>
        <item x="2"/>
        <item x="174"/>
        <item x="75"/>
        <item x="159"/>
        <item x="103"/>
        <item x="272"/>
        <item x="211"/>
        <item t="default"/>
      </items>
    </pivotField>
    <pivotField showAll="0"/>
    <pivotField showAll="0">
      <items count="5">
        <item x="3"/>
        <item x="0"/>
        <item x="1"/>
        <item x="2"/>
        <item t="default"/>
      </items>
    </pivotField>
    <pivotField axis="axisRow" showAll="0">
      <items count="4">
        <item x="0"/>
        <item x="2"/>
        <item x="1"/>
        <item t="default"/>
      </items>
    </pivotField>
    <pivotField showAll="0"/>
    <pivotField showAll="0"/>
    <pivotField dataField="1" showAll="0"/>
    <pivotField showAll="0"/>
    <pivotField showAll="0"/>
    <pivotField showAll="0"/>
    <pivotField showAll="0"/>
    <pivotField axis="axisRow" showAll="0">
      <items count="4">
        <item x="2"/>
        <item x="1"/>
        <item x="0"/>
        <item t="default"/>
      </items>
    </pivotField>
    <pivotField showAll="0"/>
  </pivotFields>
  <rowFields count="2">
    <field x="12"/>
    <field x="4"/>
  </rowFields>
  <rowItems count="12">
    <i>
      <x/>
    </i>
    <i r="1">
      <x/>
    </i>
    <i r="1">
      <x v="1"/>
    </i>
    <i r="1">
      <x v="2"/>
    </i>
    <i>
      <x v="1"/>
    </i>
    <i r="1">
      <x/>
    </i>
    <i r="1">
      <x v="1"/>
    </i>
    <i r="1">
      <x v="2"/>
    </i>
    <i>
      <x v="2"/>
    </i>
    <i r="1">
      <x/>
    </i>
    <i r="1">
      <x v="1"/>
    </i>
    <i r="1">
      <x v="2"/>
    </i>
  </rowItems>
  <colItems count="1">
    <i/>
  </colItems>
  <dataFields count="1">
    <dataField name="Total Sales" fld="7" baseField="12" baseItem="0" numFmtId="164"/>
  </dataFields>
  <formats count="43">
    <format dxfId="4694">
      <pivotArea outline="0" collapsedLevelsAreSubtotals="1" fieldPosition="0"/>
    </format>
    <format dxfId="4693">
      <pivotArea type="all" dataOnly="0" outline="0" fieldPosition="0"/>
    </format>
    <format dxfId="4692">
      <pivotArea outline="0" collapsedLevelsAreSubtotals="1" fieldPosition="0"/>
    </format>
    <format dxfId="4691">
      <pivotArea field="12" type="button" dataOnly="0" labelOnly="1" outline="0" axis="axisRow" fieldPosition="0"/>
    </format>
    <format dxfId="4690">
      <pivotArea dataOnly="0" labelOnly="1" fieldPosition="0">
        <references count="1">
          <reference field="12" count="0"/>
        </references>
      </pivotArea>
    </format>
    <format dxfId="4689">
      <pivotArea dataOnly="0" labelOnly="1" fieldPosition="0">
        <references count="2">
          <reference field="4" count="0"/>
          <reference field="12" count="1" selected="0">
            <x v="0"/>
          </reference>
        </references>
      </pivotArea>
    </format>
    <format dxfId="4688">
      <pivotArea dataOnly="0" labelOnly="1" fieldPosition="0">
        <references count="2">
          <reference field="4" count="0"/>
          <reference field="12" count="1" selected="0">
            <x v="1"/>
          </reference>
        </references>
      </pivotArea>
    </format>
    <format dxfId="4687">
      <pivotArea dataOnly="0" labelOnly="1" fieldPosition="0">
        <references count="2">
          <reference field="4" count="0"/>
          <reference field="12" count="1" selected="0">
            <x v="2"/>
          </reference>
        </references>
      </pivotArea>
    </format>
    <format dxfId="4686">
      <pivotArea dataOnly="0" labelOnly="1" outline="0" axis="axisValues" fieldPosition="0"/>
    </format>
    <format dxfId="4685">
      <pivotArea field="12" type="button" dataOnly="0" labelOnly="1" outline="0" axis="axisRow" fieldPosition="0"/>
    </format>
    <format dxfId="4684">
      <pivotArea dataOnly="0" labelOnly="1" outline="0" axis="axisValues" fieldPosition="0"/>
    </format>
    <format dxfId="4683">
      <pivotArea field="12" type="button" dataOnly="0" labelOnly="1" outline="0" axis="axisRow" fieldPosition="0"/>
    </format>
    <format dxfId="4682">
      <pivotArea dataOnly="0" labelOnly="1" outline="0" axis="axisValues" fieldPosition="0"/>
    </format>
    <format dxfId="4681">
      <pivotArea field="12" type="button" dataOnly="0" labelOnly="1" outline="0" axis="axisRow" fieldPosition="0"/>
    </format>
    <format dxfId="4680">
      <pivotArea dataOnly="0" labelOnly="1" outline="0" axis="axisValues" fieldPosition="0"/>
    </format>
    <format dxfId="4679">
      <pivotArea field="12" type="button" dataOnly="0" labelOnly="1" outline="0" axis="axisRow" fieldPosition="0"/>
    </format>
    <format dxfId="4678">
      <pivotArea dataOnly="0" labelOnly="1" outline="0" axis="axisValues" fieldPosition="0"/>
    </format>
    <format dxfId="4677">
      <pivotArea field="12" type="button" dataOnly="0" labelOnly="1" outline="0" axis="axisRow" fieldPosition="0"/>
    </format>
    <format dxfId="4676">
      <pivotArea dataOnly="0" labelOnly="1" outline="0" axis="axisValues" fieldPosition="0"/>
    </format>
    <format dxfId="4675">
      <pivotArea type="all" dataOnly="0" outline="0" fieldPosition="0"/>
    </format>
    <format dxfId="4674">
      <pivotArea outline="0" collapsedLevelsAreSubtotals="1" fieldPosition="0"/>
    </format>
    <format dxfId="4673">
      <pivotArea field="12" type="button" dataOnly="0" labelOnly="1" outline="0" axis="axisRow" fieldPosition="0"/>
    </format>
    <format dxfId="4672">
      <pivotArea dataOnly="0" labelOnly="1" fieldPosition="0">
        <references count="1">
          <reference field="12" count="0"/>
        </references>
      </pivotArea>
    </format>
    <format dxfId="4671">
      <pivotArea dataOnly="0" labelOnly="1" fieldPosition="0">
        <references count="2">
          <reference field="4" count="0"/>
          <reference field="12" count="1" selected="0">
            <x v="0"/>
          </reference>
        </references>
      </pivotArea>
    </format>
    <format dxfId="4670">
      <pivotArea dataOnly="0" labelOnly="1" fieldPosition="0">
        <references count="2">
          <reference field="4" count="0"/>
          <reference field="12" count="1" selected="0">
            <x v="1"/>
          </reference>
        </references>
      </pivotArea>
    </format>
    <format dxfId="4669">
      <pivotArea dataOnly="0" labelOnly="1" fieldPosition="0">
        <references count="2">
          <reference field="4" count="0"/>
          <reference field="12" count="1" selected="0">
            <x v="2"/>
          </reference>
        </references>
      </pivotArea>
    </format>
    <format dxfId="4668">
      <pivotArea dataOnly="0" labelOnly="1" outline="0" axis="axisValues" fieldPosition="0"/>
    </format>
    <format dxfId="4667">
      <pivotArea type="all" dataOnly="0" outline="0" fieldPosition="0"/>
    </format>
    <format dxfId="4666">
      <pivotArea outline="0" collapsedLevelsAreSubtotals="1" fieldPosition="0"/>
    </format>
    <format dxfId="4665">
      <pivotArea field="12" type="button" dataOnly="0" labelOnly="1" outline="0" axis="axisRow" fieldPosition="0"/>
    </format>
    <format dxfId="4664">
      <pivotArea dataOnly="0" labelOnly="1" fieldPosition="0">
        <references count="1">
          <reference field="12" count="0"/>
        </references>
      </pivotArea>
    </format>
    <format dxfId="4663">
      <pivotArea dataOnly="0" labelOnly="1" fieldPosition="0">
        <references count="2">
          <reference field="4" count="0"/>
          <reference field="12" count="1" selected="0">
            <x v="0"/>
          </reference>
        </references>
      </pivotArea>
    </format>
    <format dxfId="4662">
      <pivotArea dataOnly="0" labelOnly="1" fieldPosition="0">
        <references count="2">
          <reference field="4" count="0"/>
          <reference field="12" count="1" selected="0">
            <x v="1"/>
          </reference>
        </references>
      </pivotArea>
    </format>
    <format dxfId="4661">
      <pivotArea dataOnly="0" labelOnly="1" fieldPosition="0">
        <references count="2">
          <reference field="4" count="0"/>
          <reference field="12" count="1" selected="0">
            <x v="2"/>
          </reference>
        </references>
      </pivotArea>
    </format>
    <format dxfId="4660">
      <pivotArea dataOnly="0" labelOnly="1" outline="0" axis="axisValues" fieldPosition="0"/>
    </format>
    <format dxfId="4659">
      <pivotArea collapsedLevelsAreSubtotals="1" fieldPosition="0">
        <references count="2">
          <reference field="4" count="0"/>
          <reference field="12" count="1" selected="0">
            <x v="0"/>
          </reference>
        </references>
      </pivotArea>
    </format>
    <format dxfId="4658">
      <pivotArea dataOnly="0" labelOnly="1" fieldPosition="0">
        <references count="2">
          <reference field="4" count="0"/>
          <reference field="12" count="1" selected="0">
            <x v="0"/>
          </reference>
        </references>
      </pivotArea>
    </format>
    <format dxfId="4657">
      <pivotArea collapsedLevelsAreSubtotals="1" fieldPosition="0">
        <references count="2">
          <reference field="4" count="0"/>
          <reference field="12" count="1" selected="0">
            <x v="1"/>
          </reference>
        </references>
      </pivotArea>
    </format>
    <format dxfId="4656">
      <pivotArea dataOnly="0" labelOnly="1" fieldPosition="0">
        <references count="2">
          <reference field="4" count="0"/>
          <reference field="12" count="1" selected="0">
            <x v="1"/>
          </reference>
        </references>
      </pivotArea>
    </format>
    <format dxfId="4655">
      <pivotArea collapsedLevelsAreSubtotals="1" fieldPosition="0">
        <references count="2">
          <reference field="4" count="0"/>
          <reference field="12" count="1" selected="0">
            <x v="2"/>
          </reference>
        </references>
      </pivotArea>
    </format>
    <format dxfId="4654">
      <pivotArea dataOnly="0" labelOnly="1" fieldPosition="0">
        <references count="2">
          <reference field="4" count="0"/>
          <reference field="12" count="1" selected="0">
            <x v="2"/>
          </reference>
        </references>
      </pivotArea>
    </format>
    <format dxfId="4653">
      <pivotArea field="12" type="button" dataOnly="0" labelOnly="1" outline="0" axis="axisRow" fieldPosition="0"/>
    </format>
    <format dxfId="4652">
      <pivotArea dataOnly="0" labelOnly="1" outline="0" axis="axisValues" fieldPosition="0"/>
    </format>
  </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AA7518-A639-42B1-8ACB-5B39ED8BD79E}" name="PivotTable8"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rowHeaderCaption="Customer Name">
  <location ref="D22:E32" firstHeaderRow="1" firstDataRow="1" firstDataCol="1"/>
  <pivotFields count="14">
    <pivotField showAll="0"/>
    <pivotField showAll="0">
      <items count="366">
        <item x="13"/>
        <item x="225"/>
        <item x="223"/>
        <item x="326"/>
        <item x="270"/>
        <item x="11"/>
        <item x="342"/>
        <item x="74"/>
        <item x="160"/>
        <item x="295"/>
        <item x="71"/>
        <item x="340"/>
        <item x="197"/>
        <item x="219"/>
        <item x="82"/>
        <item x="100"/>
        <item x="291"/>
        <item x="334"/>
        <item x="323"/>
        <item x="35"/>
        <item x="32"/>
        <item x="254"/>
        <item x="95"/>
        <item x="5"/>
        <item x="153"/>
        <item x="86"/>
        <item x="182"/>
        <item x="19"/>
        <item x="308"/>
        <item x="121"/>
        <item x="17"/>
        <item x="319"/>
        <item x="113"/>
        <item x="332"/>
        <item x="24"/>
        <item x="27"/>
        <item x="244"/>
        <item x="65"/>
        <item x="362"/>
        <item x="107"/>
        <item x="14"/>
        <item x="221"/>
        <item x="289"/>
        <item x="315"/>
        <item x="263"/>
        <item x="72"/>
        <item x="40"/>
        <item x="358"/>
        <item x="91"/>
        <item x="66"/>
        <item x="213"/>
        <item x="109"/>
        <item x="293"/>
        <item x="42"/>
        <item x="330"/>
        <item x="10"/>
        <item x="31"/>
        <item x="98"/>
        <item x="148"/>
        <item x="157"/>
        <item x="196"/>
        <item x="262"/>
        <item x="321"/>
        <item x="320"/>
        <item x="345"/>
        <item x="228"/>
        <item x="275"/>
        <item x="185"/>
        <item x="76"/>
        <item x="141"/>
        <item x="285"/>
        <item x="348"/>
        <item x="286"/>
        <item x="261"/>
        <item x="313"/>
        <item x="155"/>
        <item x="186"/>
        <item x="166"/>
        <item x="191"/>
        <item x="252"/>
        <item x="227"/>
        <item x="237"/>
        <item x="217"/>
        <item x="49"/>
        <item x="363"/>
        <item x="222"/>
        <item x="208"/>
        <item x="356"/>
        <item x="290"/>
        <item x="104"/>
        <item x="150"/>
        <item x="83"/>
        <item x="353"/>
        <item x="145"/>
        <item x="122"/>
        <item x="78"/>
        <item x="132"/>
        <item x="62"/>
        <item x="298"/>
        <item x="325"/>
        <item x="136"/>
        <item x="125"/>
        <item x="224"/>
        <item x="139"/>
        <item x="273"/>
        <item x="94"/>
        <item x="269"/>
        <item x="344"/>
        <item x="360"/>
        <item x="3"/>
        <item x="53"/>
        <item x="177"/>
        <item x="110"/>
        <item x="111"/>
        <item x="128"/>
        <item x="324"/>
        <item x="184"/>
        <item x="271"/>
        <item x="280"/>
        <item x="284"/>
        <item x="21"/>
        <item x="189"/>
        <item x="299"/>
        <item x="167"/>
        <item x="194"/>
        <item x="16"/>
        <item x="33"/>
        <item x="296"/>
        <item x="117"/>
        <item x="36"/>
        <item x="226"/>
        <item x="364"/>
        <item x="288"/>
        <item x="12"/>
        <item x="22"/>
        <item x="73"/>
        <item x="210"/>
        <item x="7"/>
        <item x="281"/>
        <item x="140"/>
        <item x="30"/>
        <item x="20"/>
        <item x="328"/>
        <item x="312"/>
        <item x="180"/>
        <item x="105"/>
        <item x="300"/>
        <item x="101"/>
        <item x="232"/>
        <item x="116"/>
        <item x="88"/>
        <item x="175"/>
        <item x="256"/>
        <item x="146"/>
        <item x="169"/>
        <item x="329"/>
        <item x="69"/>
        <item x="99"/>
        <item x="54"/>
        <item x="23"/>
        <item x="26"/>
        <item x="200"/>
        <item x="124"/>
        <item x="240"/>
        <item x="346"/>
        <item x="283"/>
        <item x="311"/>
        <item x="337"/>
        <item x="142"/>
        <item x="310"/>
        <item x="343"/>
        <item x="144"/>
        <item x="80"/>
        <item x="305"/>
        <item x="260"/>
        <item x="351"/>
        <item x="192"/>
        <item x="172"/>
        <item x="34"/>
        <item x="267"/>
        <item x="6"/>
        <item x="201"/>
        <item x="204"/>
        <item x="190"/>
        <item x="93"/>
        <item x="307"/>
        <item x="247"/>
        <item x="193"/>
        <item x="156"/>
        <item x="97"/>
        <item x="215"/>
        <item x="165"/>
        <item x="249"/>
        <item x="38"/>
        <item x="85"/>
        <item x="234"/>
        <item x="230"/>
        <item x="203"/>
        <item x="163"/>
        <item x="245"/>
        <item x="359"/>
        <item x="338"/>
        <item x="216"/>
        <item x="118"/>
        <item x="331"/>
        <item x="214"/>
        <item x="301"/>
        <item x="361"/>
        <item x="250"/>
        <item x="179"/>
        <item x="253"/>
        <item x="92"/>
        <item x="268"/>
        <item x="176"/>
        <item x="51"/>
        <item x="149"/>
        <item x="119"/>
        <item x="266"/>
        <item x="187"/>
        <item x="294"/>
        <item x="173"/>
        <item x="243"/>
        <item x="164"/>
        <item x="309"/>
        <item x="282"/>
        <item x="39"/>
        <item x="96"/>
        <item x="120"/>
        <item x="108"/>
        <item x="257"/>
        <item x="322"/>
        <item x="274"/>
        <item x="41"/>
        <item x="133"/>
        <item x="4"/>
        <item x="50"/>
        <item x="58"/>
        <item x="46"/>
        <item x="317"/>
        <item x="64"/>
        <item x="297"/>
        <item x="302"/>
        <item x="60"/>
        <item x="336"/>
        <item x="207"/>
        <item x="287"/>
        <item x="131"/>
        <item x="316"/>
        <item x="354"/>
        <item x="56"/>
        <item x="123"/>
        <item x="276"/>
        <item x="306"/>
        <item x="206"/>
        <item x="162"/>
        <item x="171"/>
        <item x="147"/>
        <item x="143"/>
        <item x="138"/>
        <item x="241"/>
        <item x="255"/>
        <item x="235"/>
        <item x="137"/>
        <item x="248"/>
        <item x="251"/>
        <item x="199"/>
        <item x="350"/>
        <item x="63"/>
        <item x="79"/>
        <item x="28"/>
        <item x="198"/>
        <item x="151"/>
        <item x="129"/>
        <item x="264"/>
        <item x="242"/>
        <item x="45"/>
        <item x="357"/>
        <item x="238"/>
        <item x="347"/>
        <item x="277"/>
        <item x="178"/>
        <item x="127"/>
        <item x="61"/>
        <item x="202"/>
        <item x="154"/>
        <item x="339"/>
        <item x="9"/>
        <item x="314"/>
        <item x="25"/>
        <item x="8"/>
        <item x="134"/>
        <item x="18"/>
        <item x="205"/>
        <item x="47"/>
        <item x="278"/>
        <item x="77"/>
        <item x="220"/>
        <item x="170"/>
        <item x="158"/>
        <item x="84"/>
        <item x="233"/>
        <item x="1"/>
        <item x="183"/>
        <item x="106"/>
        <item x="59"/>
        <item x="70"/>
        <item x="218"/>
        <item x="48"/>
        <item x="29"/>
        <item x="15"/>
        <item x="349"/>
        <item x="355"/>
        <item x="126"/>
        <item x="114"/>
        <item x="57"/>
        <item x="239"/>
        <item x="231"/>
        <item x="318"/>
        <item x="327"/>
        <item x="68"/>
        <item x="130"/>
        <item x="352"/>
        <item x="81"/>
        <item x="335"/>
        <item x="303"/>
        <item x="44"/>
        <item x="0"/>
        <item x="209"/>
        <item x="115"/>
        <item x="258"/>
        <item x="90"/>
        <item x="181"/>
        <item x="52"/>
        <item x="161"/>
        <item x="195"/>
        <item x="265"/>
        <item x="87"/>
        <item x="152"/>
        <item x="37"/>
        <item x="333"/>
        <item x="43"/>
        <item x="102"/>
        <item x="246"/>
        <item x="292"/>
        <item x="236"/>
        <item x="89"/>
        <item x="229"/>
        <item x="135"/>
        <item x="168"/>
        <item x="55"/>
        <item x="341"/>
        <item x="67"/>
        <item x="188"/>
        <item x="279"/>
        <item x="259"/>
        <item x="112"/>
        <item x="304"/>
        <item x="212"/>
        <item x="2"/>
        <item x="174"/>
        <item x="75"/>
        <item x="159"/>
        <item x="103"/>
        <item x="272"/>
        <item x="211"/>
        <item t="default"/>
      </items>
    </pivotField>
    <pivotField showAll="0"/>
    <pivotField showAll="0">
      <items count="5">
        <item x="3"/>
        <item x="0"/>
        <item x="1"/>
        <item x="2"/>
        <item t="default"/>
      </items>
    </pivotField>
    <pivotField showAll="0">
      <items count="4">
        <item x="0"/>
        <item x="2"/>
        <item x="1"/>
        <item t="default"/>
      </items>
    </pivotField>
    <pivotField showAll="0"/>
    <pivotField showAll="0"/>
    <pivotField showAll="0"/>
    <pivotField showAll="0"/>
    <pivotField showAll="0"/>
    <pivotField dataField="1" showAll="0"/>
    <pivotField axis="axisRow" showAll="0" measureFilter="1" sortType="descending">
      <items count="241">
        <item x="122"/>
        <item x="206"/>
        <item x="223"/>
        <item x="48"/>
        <item x="106"/>
        <item x="191"/>
        <item x="172"/>
        <item x="22"/>
        <item x="231"/>
        <item x="25"/>
        <item x="15"/>
        <item x="136"/>
        <item x="137"/>
        <item x="88"/>
        <item x="193"/>
        <item x="95"/>
        <item x="227"/>
        <item x="216"/>
        <item x="222"/>
        <item x="16"/>
        <item x="19"/>
        <item x="135"/>
        <item x="162"/>
        <item x="142"/>
        <item x="44"/>
        <item x="80"/>
        <item x="215"/>
        <item x="171"/>
        <item x="117"/>
        <item x="67"/>
        <item x="31"/>
        <item x="196"/>
        <item x="165"/>
        <item x="39"/>
        <item x="126"/>
        <item x="232"/>
        <item x="219"/>
        <item x="201"/>
        <item x="56"/>
        <item x="76"/>
        <item x="228"/>
        <item x="17"/>
        <item x="27"/>
        <item x="89"/>
        <item x="116"/>
        <item x="239"/>
        <item x="119"/>
        <item x="107"/>
        <item x="18"/>
        <item x="49"/>
        <item x="214"/>
        <item x="212"/>
        <item x="78"/>
        <item x="1"/>
        <item x="14"/>
        <item x="54"/>
        <item x="13"/>
        <item x="0"/>
        <item x="163"/>
        <item x="230"/>
        <item x="202"/>
        <item x="21"/>
        <item x="229"/>
        <item x="149"/>
        <item x="93"/>
        <item x="65"/>
        <item x="47"/>
        <item x="129"/>
        <item x="237"/>
        <item x="12"/>
        <item x="188"/>
        <item x="195"/>
        <item x="221"/>
        <item x="220"/>
        <item x="70"/>
        <item x="114"/>
        <item x="132"/>
        <item x="143"/>
        <item x="96"/>
        <item x="10"/>
        <item x="108"/>
        <item x="183"/>
        <item x="210"/>
        <item x="189"/>
        <item x="148"/>
        <item x="217"/>
        <item x="139"/>
        <item x="169"/>
        <item x="60"/>
        <item x="153"/>
        <item x="177"/>
        <item x="141"/>
        <item x="81"/>
        <item x="102"/>
        <item x="158"/>
        <item x="207"/>
        <item x="170"/>
        <item x="238"/>
        <item x="52"/>
        <item x="184"/>
        <item x="62"/>
        <item x="133"/>
        <item x="115"/>
        <item x="86"/>
        <item x="199"/>
        <item x="36"/>
        <item x="63"/>
        <item x="50"/>
        <item x="121"/>
        <item x="26"/>
        <item x="101"/>
        <item x="187"/>
        <item x="20"/>
        <item x="197"/>
        <item x="155"/>
        <item x="130"/>
        <item x="69"/>
        <item x="182"/>
        <item x="131"/>
        <item x="29"/>
        <item x="174"/>
        <item x="225"/>
        <item x="167"/>
        <item x="204"/>
        <item x="92"/>
        <item x="74"/>
        <item x="236"/>
        <item x="147"/>
        <item x="90"/>
        <item x="84"/>
        <item x="192"/>
        <item x="94"/>
        <item x="234"/>
        <item x="145"/>
        <item x="186"/>
        <item x="6"/>
        <item x="104"/>
        <item x="97"/>
        <item x="160"/>
        <item x="208"/>
        <item x="185"/>
        <item x="66"/>
        <item x="105"/>
        <item x="33"/>
        <item x="32"/>
        <item x="72"/>
        <item x="233"/>
        <item x="41"/>
        <item x="82"/>
        <item x="156"/>
        <item x="35"/>
        <item x="61"/>
        <item x="113"/>
        <item x="8"/>
        <item x="5"/>
        <item x="3"/>
        <item x="37"/>
        <item x="71"/>
        <item x="112"/>
        <item x="140"/>
        <item x="34"/>
        <item x="151"/>
        <item x="168"/>
        <item x="224"/>
        <item x="111"/>
        <item x="152"/>
        <item x="57"/>
        <item x="91"/>
        <item x="198"/>
        <item x="77"/>
        <item x="28"/>
        <item x="45"/>
        <item x="100"/>
        <item x="173"/>
        <item x="40"/>
        <item x="58"/>
        <item x="161"/>
        <item x="103"/>
        <item x="118"/>
        <item x="194"/>
        <item x="9"/>
        <item x="134"/>
        <item x="11"/>
        <item x="176"/>
        <item x="120"/>
        <item x="55"/>
        <item x="109"/>
        <item x="205"/>
        <item x="38"/>
        <item x="180"/>
        <item x="46"/>
        <item x="23"/>
        <item x="166"/>
        <item x="123"/>
        <item x="75"/>
        <item x="59"/>
        <item x="4"/>
        <item x="85"/>
        <item x="51"/>
        <item x="73"/>
        <item x="83"/>
        <item x="68"/>
        <item x="179"/>
        <item x="235"/>
        <item x="43"/>
        <item x="127"/>
        <item x="154"/>
        <item x="203"/>
        <item x="144"/>
        <item x="150"/>
        <item x="110"/>
        <item x="138"/>
        <item x="164"/>
        <item x="124"/>
        <item x="42"/>
        <item x="181"/>
        <item x="30"/>
        <item x="98"/>
        <item x="125"/>
        <item x="218"/>
        <item x="190"/>
        <item x="175"/>
        <item x="53"/>
        <item x="226"/>
        <item x="87"/>
        <item x="128"/>
        <item x="79"/>
        <item x="7"/>
        <item x="209"/>
        <item x="2"/>
        <item x="159"/>
        <item x="211"/>
        <item x="146"/>
        <item x="200"/>
        <item x="24"/>
        <item x="64"/>
        <item x="213"/>
        <item x="178"/>
        <item x="99"/>
        <item x="157"/>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s>
  <rowFields count="1">
    <field x="11"/>
  </rowFields>
  <rowItems count="10">
    <i>
      <x v="150"/>
    </i>
    <i>
      <x v="83"/>
    </i>
    <i>
      <x v="147"/>
    </i>
    <i>
      <x v="131"/>
    </i>
    <i>
      <x v="65"/>
    </i>
    <i>
      <x v="20"/>
    </i>
    <i>
      <x v="125"/>
    </i>
    <i>
      <x v="15"/>
    </i>
    <i>
      <x v="152"/>
    </i>
    <i>
      <x/>
    </i>
  </rowItems>
  <colItems count="1">
    <i/>
  </colItems>
  <dataFields count="1">
    <dataField name="Total Profit" fld="10" baseField="11" baseItem="150" numFmtId="164"/>
  </dataFields>
  <formats count="31">
    <format dxfId="4725">
      <pivotArea outline="0" collapsedLevelsAreSubtotals="1" fieldPosition="0"/>
    </format>
    <format dxfId="4724">
      <pivotArea type="all" dataOnly="0" outline="0" fieldPosition="0"/>
    </format>
    <format dxfId="4723">
      <pivotArea outline="0" collapsedLevelsAreSubtotals="1" fieldPosition="0"/>
    </format>
    <format dxfId="4722">
      <pivotArea field="11" type="button" dataOnly="0" labelOnly="1" outline="0" axis="axisRow" fieldPosition="0"/>
    </format>
    <format dxfId="4721">
      <pivotArea dataOnly="0" labelOnly="1" fieldPosition="0">
        <references count="1">
          <reference field="11" count="10">
            <x v="0"/>
            <x v="15"/>
            <x v="20"/>
            <x v="65"/>
            <x v="83"/>
            <x v="125"/>
            <x v="131"/>
            <x v="147"/>
            <x v="150"/>
            <x v="152"/>
          </reference>
        </references>
      </pivotArea>
    </format>
    <format dxfId="4720">
      <pivotArea dataOnly="0" labelOnly="1" outline="0" axis="axisValues" fieldPosition="0"/>
    </format>
    <format dxfId="4719">
      <pivotArea field="11" type="button" dataOnly="0" labelOnly="1" outline="0" axis="axisRow" fieldPosition="0"/>
    </format>
    <format dxfId="4718">
      <pivotArea dataOnly="0" labelOnly="1" outline="0" axis="axisValues" fieldPosition="0"/>
    </format>
    <format dxfId="4717">
      <pivotArea field="11" type="button" dataOnly="0" labelOnly="1" outline="0" axis="axisRow" fieldPosition="0"/>
    </format>
    <format dxfId="4716">
      <pivotArea dataOnly="0" labelOnly="1" outline="0" axis="axisValues" fieldPosition="0"/>
    </format>
    <format dxfId="4715">
      <pivotArea field="11" type="button" dataOnly="0" labelOnly="1" outline="0" axis="axisRow" fieldPosition="0"/>
    </format>
    <format dxfId="4714">
      <pivotArea dataOnly="0" labelOnly="1" outline="0" axis="axisValues" fieldPosition="0"/>
    </format>
    <format dxfId="4713">
      <pivotArea field="11" type="button" dataOnly="0" labelOnly="1" outline="0" axis="axisRow" fieldPosition="0"/>
    </format>
    <format dxfId="4712">
      <pivotArea dataOnly="0" labelOnly="1" outline="0" axis="axisValues" fieldPosition="0"/>
    </format>
    <format dxfId="4711">
      <pivotArea field="11" type="button" dataOnly="0" labelOnly="1" outline="0" axis="axisRow" fieldPosition="0"/>
    </format>
    <format dxfId="4710">
      <pivotArea dataOnly="0" labelOnly="1" outline="0" axis="axisValues" fieldPosition="0"/>
    </format>
    <format dxfId="4709">
      <pivotArea type="all" dataOnly="0" outline="0" fieldPosition="0"/>
    </format>
    <format dxfId="4708">
      <pivotArea outline="0" collapsedLevelsAreSubtotals="1" fieldPosition="0"/>
    </format>
    <format dxfId="4707">
      <pivotArea field="11" type="button" dataOnly="0" labelOnly="1" outline="0" axis="axisRow" fieldPosition="0"/>
    </format>
    <format dxfId="4706">
      <pivotArea dataOnly="0" labelOnly="1" fieldPosition="0">
        <references count="1">
          <reference field="11" count="10">
            <x v="0"/>
            <x v="15"/>
            <x v="20"/>
            <x v="65"/>
            <x v="83"/>
            <x v="125"/>
            <x v="131"/>
            <x v="147"/>
            <x v="150"/>
            <x v="152"/>
          </reference>
        </references>
      </pivotArea>
    </format>
    <format dxfId="4705">
      <pivotArea dataOnly="0" labelOnly="1" outline="0" axis="axisValues" fieldPosition="0"/>
    </format>
    <format dxfId="4704">
      <pivotArea type="all" dataOnly="0" outline="0" fieldPosition="0"/>
    </format>
    <format dxfId="4703">
      <pivotArea outline="0" collapsedLevelsAreSubtotals="1" fieldPosition="0"/>
    </format>
    <format dxfId="4702">
      <pivotArea field="11" type="button" dataOnly="0" labelOnly="1" outline="0" axis="axisRow" fieldPosition="0"/>
    </format>
    <format dxfId="4701">
      <pivotArea dataOnly="0" labelOnly="1" fieldPosition="0">
        <references count="1">
          <reference field="11" count="10">
            <x v="0"/>
            <x v="15"/>
            <x v="20"/>
            <x v="65"/>
            <x v="83"/>
            <x v="125"/>
            <x v="131"/>
            <x v="147"/>
            <x v="150"/>
            <x v="152"/>
          </reference>
        </references>
      </pivotArea>
    </format>
    <format dxfId="4700">
      <pivotArea dataOnly="0" labelOnly="1" outline="0" axis="axisValues" fieldPosition="0"/>
    </format>
    <format dxfId="4699">
      <pivotArea outline="0" collapsedLevelsAreSubtotals="1" fieldPosition="0"/>
    </format>
    <format dxfId="4698">
      <pivotArea dataOnly="0" labelOnly="1" fieldPosition="0">
        <references count="1">
          <reference field="11" count="10">
            <x v="0"/>
            <x v="15"/>
            <x v="20"/>
            <x v="65"/>
            <x v="83"/>
            <x v="125"/>
            <x v="131"/>
            <x v="147"/>
            <x v="150"/>
            <x v="152"/>
          </reference>
        </references>
      </pivotArea>
    </format>
    <format dxfId="4697">
      <pivotArea field="11" type="button" dataOnly="0" labelOnly="1" outline="0" axis="axisRow" fieldPosition="0"/>
    </format>
    <format dxfId="4696">
      <pivotArea dataOnly="0" labelOnly="1" outline="0" axis="axisValues" fieldPosition="0"/>
    </format>
    <format dxfId="4695">
      <pivotArea field="11" type="button" dataOnly="0" labelOnly="1" outline="0" axis="axisRow"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filters count="1">
    <filter fld="1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6EE083-768D-426D-95C9-62B10AF65D4B}" name="PivotTable2"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rowHeaderCaption="Region">
  <location ref="G7:I11" firstHeaderRow="0" firstDataRow="1" firstDataCol="1"/>
  <pivotFields count="14">
    <pivotField showAll="0"/>
    <pivotField showAll="0">
      <items count="366">
        <item x="13"/>
        <item x="225"/>
        <item x="223"/>
        <item x="326"/>
        <item x="270"/>
        <item x="11"/>
        <item x="342"/>
        <item x="74"/>
        <item x="160"/>
        <item x="295"/>
        <item x="71"/>
        <item x="340"/>
        <item x="197"/>
        <item x="219"/>
        <item x="82"/>
        <item x="100"/>
        <item x="291"/>
        <item x="334"/>
        <item x="323"/>
        <item x="35"/>
        <item x="32"/>
        <item x="254"/>
        <item x="95"/>
        <item x="5"/>
        <item x="153"/>
        <item x="86"/>
        <item x="182"/>
        <item x="19"/>
        <item x="308"/>
        <item x="121"/>
        <item x="17"/>
        <item x="319"/>
        <item x="113"/>
        <item x="332"/>
        <item x="24"/>
        <item x="27"/>
        <item x="244"/>
        <item x="65"/>
        <item x="362"/>
        <item x="107"/>
        <item x="14"/>
        <item x="221"/>
        <item x="289"/>
        <item x="315"/>
        <item x="263"/>
        <item x="72"/>
        <item x="40"/>
        <item x="358"/>
        <item x="91"/>
        <item x="66"/>
        <item x="213"/>
        <item x="109"/>
        <item x="293"/>
        <item x="42"/>
        <item x="330"/>
        <item x="10"/>
        <item x="31"/>
        <item x="98"/>
        <item x="148"/>
        <item x="157"/>
        <item x="196"/>
        <item x="262"/>
        <item x="321"/>
        <item x="320"/>
        <item x="345"/>
        <item x="228"/>
        <item x="275"/>
        <item x="185"/>
        <item x="76"/>
        <item x="141"/>
        <item x="285"/>
        <item x="348"/>
        <item x="286"/>
        <item x="261"/>
        <item x="313"/>
        <item x="155"/>
        <item x="186"/>
        <item x="166"/>
        <item x="191"/>
        <item x="252"/>
        <item x="227"/>
        <item x="237"/>
        <item x="217"/>
        <item x="49"/>
        <item x="363"/>
        <item x="222"/>
        <item x="208"/>
        <item x="356"/>
        <item x="290"/>
        <item x="104"/>
        <item x="150"/>
        <item x="83"/>
        <item x="353"/>
        <item x="145"/>
        <item x="122"/>
        <item x="78"/>
        <item x="132"/>
        <item x="62"/>
        <item x="298"/>
        <item x="325"/>
        <item x="136"/>
        <item x="125"/>
        <item x="224"/>
        <item x="139"/>
        <item x="273"/>
        <item x="94"/>
        <item x="269"/>
        <item x="344"/>
        <item x="360"/>
        <item x="3"/>
        <item x="53"/>
        <item x="177"/>
        <item x="110"/>
        <item x="111"/>
        <item x="128"/>
        <item x="324"/>
        <item x="184"/>
        <item x="271"/>
        <item x="280"/>
        <item x="284"/>
        <item x="21"/>
        <item x="189"/>
        <item x="299"/>
        <item x="167"/>
        <item x="194"/>
        <item x="16"/>
        <item x="33"/>
        <item x="296"/>
        <item x="117"/>
        <item x="36"/>
        <item x="226"/>
        <item x="364"/>
        <item x="288"/>
        <item x="12"/>
        <item x="22"/>
        <item x="73"/>
        <item x="210"/>
        <item x="7"/>
        <item x="281"/>
        <item x="140"/>
        <item x="30"/>
        <item x="20"/>
        <item x="328"/>
        <item x="312"/>
        <item x="180"/>
        <item x="105"/>
        <item x="300"/>
        <item x="101"/>
        <item x="232"/>
        <item x="116"/>
        <item x="88"/>
        <item x="175"/>
        <item x="256"/>
        <item x="146"/>
        <item x="169"/>
        <item x="329"/>
        <item x="69"/>
        <item x="99"/>
        <item x="54"/>
        <item x="23"/>
        <item x="26"/>
        <item x="200"/>
        <item x="124"/>
        <item x="240"/>
        <item x="346"/>
        <item x="283"/>
        <item x="311"/>
        <item x="337"/>
        <item x="142"/>
        <item x="310"/>
        <item x="343"/>
        <item x="144"/>
        <item x="80"/>
        <item x="305"/>
        <item x="260"/>
        <item x="351"/>
        <item x="192"/>
        <item x="172"/>
        <item x="34"/>
        <item x="267"/>
        <item x="6"/>
        <item x="201"/>
        <item x="204"/>
        <item x="190"/>
        <item x="93"/>
        <item x="307"/>
        <item x="247"/>
        <item x="193"/>
        <item x="156"/>
        <item x="97"/>
        <item x="215"/>
        <item x="165"/>
        <item x="249"/>
        <item x="38"/>
        <item x="85"/>
        <item x="234"/>
        <item x="230"/>
        <item x="203"/>
        <item x="163"/>
        <item x="245"/>
        <item x="359"/>
        <item x="338"/>
        <item x="216"/>
        <item x="118"/>
        <item x="331"/>
        <item x="214"/>
        <item x="301"/>
        <item x="361"/>
        <item x="250"/>
        <item x="179"/>
        <item x="253"/>
        <item x="92"/>
        <item x="268"/>
        <item x="176"/>
        <item x="51"/>
        <item x="149"/>
        <item x="119"/>
        <item x="266"/>
        <item x="187"/>
        <item x="294"/>
        <item x="173"/>
        <item x="243"/>
        <item x="164"/>
        <item x="309"/>
        <item x="282"/>
        <item x="39"/>
        <item x="96"/>
        <item x="120"/>
        <item x="108"/>
        <item x="257"/>
        <item x="322"/>
        <item x="274"/>
        <item x="41"/>
        <item x="133"/>
        <item x="4"/>
        <item x="50"/>
        <item x="58"/>
        <item x="46"/>
        <item x="317"/>
        <item x="64"/>
        <item x="297"/>
        <item x="302"/>
        <item x="60"/>
        <item x="336"/>
        <item x="207"/>
        <item x="287"/>
        <item x="131"/>
        <item x="316"/>
        <item x="354"/>
        <item x="56"/>
        <item x="123"/>
        <item x="276"/>
        <item x="306"/>
        <item x="206"/>
        <item x="162"/>
        <item x="171"/>
        <item x="147"/>
        <item x="143"/>
        <item x="138"/>
        <item x="241"/>
        <item x="255"/>
        <item x="235"/>
        <item x="137"/>
        <item x="248"/>
        <item x="251"/>
        <item x="199"/>
        <item x="350"/>
        <item x="63"/>
        <item x="79"/>
        <item x="28"/>
        <item x="198"/>
        <item x="151"/>
        <item x="129"/>
        <item x="264"/>
        <item x="242"/>
        <item x="45"/>
        <item x="357"/>
        <item x="238"/>
        <item x="347"/>
        <item x="277"/>
        <item x="178"/>
        <item x="127"/>
        <item x="61"/>
        <item x="202"/>
        <item x="154"/>
        <item x="339"/>
        <item x="9"/>
        <item x="314"/>
        <item x="25"/>
        <item x="8"/>
        <item x="134"/>
        <item x="18"/>
        <item x="205"/>
        <item x="47"/>
        <item x="278"/>
        <item x="77"/>
        <item x="220"/>
        <item x="170"/>
        <item x="158"/>
        <item x="84"/>
        <item x="233"/>
        <item x="1"/>
        <item x="183"/>
        <item x="106"/>
        <item x="59"/>
        <item x="70"/>
        <item x="218"/>
        <item x="48"/>
        <item x="29"/>
        <item x="15"/>
        <item x="349"/>
        <item x="355"/>
        <item x="126"/>
        <item x="114"/>
        <item x="57"/>
        <item x="239"/>
        <item x="231"/>
        <item x="318"/>
        <item x="327"/>
        <item x="68"/>
        <item x="130"/>
        <item x="352"/>
        <item x="81"/>
        <item x="335"/>
        <item x="303"/>
        <item x="44"/>
        <item x="0"/>
        <item x="209"/>
        <item x="115"/>
        <item x="258"/>
        <item x="90"/>
        <item x="181"/>
        <item x="52"/>
        <item x="161"/>
        <item x="195"/>
        <item x="265"/>
        <item x="87"/>
        <item x="152"/>
        <item x="37"/>
        <item x="333"/>
        <item x="43"/>
        <item x="102"/>
        <item x="246"/>
        <item x="292"/>
        <item x="236"/>
        <item x="89"/>
        <item x="229"/>
        <item x="135"/>
        <item x="168"/>
        <item x="55"/>
        <item x="341"/>
        <item x="67"/>
        <item x="188"/>
        <item x="279"/>
        <item x="259"/>
        <item x="112"/>
        <item x="304"/>
        <item x="212"/>
        <item x="2"/>
        <item x="174"/>
        <item x="75"/>
        <item x="159"/>
        <item x="103"/>
        <item x="272"/>
        <item x="211"/>
        <item t="default"/>
      </items>
    </pivotField>
    <pivotField showAll="0"/>
    <pivotField axis="axisRow" showAll="0">
      <items count="5">
        <item x="3"/>
        <item x="0"/>
        <item x="1"/>
        <item x="2"/>
        <item t="default"/>
      </items>
    </pivotField>
    <pivotField showAll="0">
      <items count="4">
        <item x="0"/>
        <item x="2"/>
        <item x="1"/>
        <item t="default"/>
      </items>
    </pivotField>
    <pivotField showAll="0"/>
    <pivotField showAll="0"/>
    <pivotField dataField="1" showAll="0"/>
    <pivotField showAll="0"/>
    <pivotField showAll="0"/>
    <pivotField dataField="1" showAll="0"/>
    <pivotField showAll="0"/>
    <pivotField showAll="0">
      <items count="4">
        <item x="2"/>
        <item x="1"/>
        <item x="0"/>
        <item t="default"/>
      </items>
    </pivotField>
    <pivotField showAll="0"/>
  </pivotFields>
  <rowFields count="1">
    <field x="3"/>
  </rowFields>
  <rowItems count="4">
    <i>
      <x/>
    </i>
    <i>
      <x v="1"/>
    </i>
    <i>
      <x v="2"/>
    </i>
    <i>
      <x v="3"/>
    </i>
  </rowItems>
  <colFields count="1">
    <field x="-2"/>
  </colFields>
  <colItems count="2">
    <i>
      <x/>
    </i>
    <i i="1">
      <x v="1"/>
    </i>
  </colItems>
  <dataFields count="2">
    <dataField name="Total Sales" fld="7" baseField="3" baseItem="0"/>
    <dataField name="Total Profit" fld="10" baseField="3" baseItem="0"/>
  </dataFields>
  <formats count="30">
    <format dxfId="4755">
      <pivotArea outline="0" collapsedLevelsAreSubtotals="1" fieldPosition="0"/>
    </format>
    <format dxfId="4754">
      <pivotArea type="all" dataOnly="0" outline="0" fieldPosition="0"/>
    </format>
    <format dxfId="4753">
      <pivotArea outline="0" collapsedLevelsAreSubtotals="1" fieldPosition="0"/>
    </format>
    <format dxfId="4752">
      <pivotArea field="3" type="button" dataOnly="0" labelOnly="1" outline="0" axis="axisRow" fieldPosition="0"/>
    </format>
    <format dxfId="4751">
      <pivotArea dataOnly="0" labelOnly="1" fieldPosition="0">
        <references count="1">
          <reference field="3" count="0"/>
        </references>
      </pivotArea>
    </format>
    <format dxfId="4750">
      <pivotArea dataOnly="0" labelOnly="1" outline="0" fieldPosition="0">
        <references count="1">
          <reference field="4294967294" count="2">
            <x v="0"/>
            <x v="1"/>
          </reference>
        </references>
      </pivotArea>
    </format>
    <format dxfId="4749">
      <pivotArea field="3" type="button" dataOnly="0" labelOnly="1" outline="0" axis="axisRow" fieldPosition="0"/>
    </format>
    <format dxfId="4748">
      <pivotArea dataOnly="0" labelOnly="1" outline="0" fieldPosition="0">
        <references count="1">
          <reference field="4294967294" count="2">
            <x v="0"/>
            <x v="1"/>
          </reference>
        </references>
      </pivotArea>
    </format>
    <format dxfId="4747">
      <pivotArea field="3" type="button" dataOnly="0" labelOnly="1" outline="0" axis="axisRow" fieldPosition="0"/>
    </format>
    <format dxfId="4746">
      <pivotArea dataOnly="0" labelOnly="1" outline="0" fieldPosition="0">
        <references count="1">
          <reference field="4294967294" count="2">
            <x v="0"/>
            <x v="1"/>
          </reference>
        </references>
      </pivotArea>
    </format>
    <format dxfId="4745">
      <pivotArea field="3" type="button" dataOnly="0" labelOnly="1" outline="0" axis="axisRow" fieldPosition="0"/>
    </format>
    <format dxfId="4744">
      <pivotArea dataOnly="0" labelOnly="1" outline="0" fieldPosition="0">
        <references count="1">
          <reference field="4294967294" count="2">
            <x v="0"/>
            <x v="1"/>
          </reference>
        </references>
      </pivotArea>
    </format>
    <format dxfId="4743">
      <pivotArea field="3" type="button" dataOnly="0" labelOnly="1" outline="0" axis="axisRow" fieldPosition="0"/>
    </format>
    <format dxfId="4742">
      <pivotArea dataOnly="0" labelOnly="1" outline="0" fieldPosition="0">
        <references count="1">
          <reference field="4294967294" count="2">
            <x v="0"/>
            <x v="1"/>
          </reference>
        </references>
      </pivotArea>
    </format>
    <format dxfId="4741">
      <pivotArea field="3" type="button" dataOnly="0" labelOnly="1" outline="0" axis="axisRow" fieldPosition="0"/>
    </format>
    <format dxfId="4740">
      <pivotArea dataOnly="0" labelOnly="1" outline="0" fieldPosition="0">
        <references count="1">
          <reference field="4294967294" count="2">
            <x v="0"/>
            <x v="1"/>
          </reference>
        </references>
      </pivotArea>
    </format>
    <format dxfId="4739">
      <pivotArea type="all" dataOnly="0" outline="0" fieldPosition="0"/>
    </format>
    <format dxfId="4738">
      <pivotArea outline="0" collapsedLevelsAreSubtotals="1" fieldPosition="0"/>
    </format>
    <format dxfId="4737">
      <pivotArea field="3" type="button" dataOnly="0" labelOnly="1" outline="0" axis="axisRow" fieldPosition="0"/>
    </format>
    <format dxfId="4736">
      <pivotArea dataOnly="0" labelOnly="1" fieldPosition="0">
        <references count="1">
          <reference field="3" count="0"/>
        </references>
      </pivotArea>
    </format>
    <format dxfId="4735">
      <pivotArea dataOnly="0" labelOnly="1" outline="0" fieldPosition="0">
        <references count="1">
          <reference field="4294967294" count="2">
            <x v="0"/>
            <x v="1"/>
          </reference>
        </references>
      </pivotArea>
    </format>
    <format dxfId="4734">
      <pivotArea type="all" dataOnly="0" outline="0" fieldPosition="0"/>
    </format>
    <format dxfId="4733">
      <pivotArea outline="0" collapsedLevelsAreSubtotals="1" fieldPosition="0"/>
    </format>
    <format dxfId="4732">
      <pivotArea field="3" type="button" dataOnly="0" labelOnly="1" outline="0" axis="axisRow" fieldPosition="0"/>
    </format>
    <format dxfId="4731">
      <pivotArea dataOnly="0" labelOnly="1" fieldPosition="0">
        <references count="1">
          <reference field="3" count="0"/>
        </references>
      </pivotArea>
    </format>
    <format dxfId="4730">
      <pivotArea dataOnly="0" labelOnly="1" outline="0" fieldPosition="0">
        <references count="1">
          <reference field="4294967294" count="2">
            <x v="0"/>
            <x v="1"/>
          </reference>
        </references>
      </pivotArea>
    </format>
    <format dxfId="4729">
      <pivotArea outline="0" collapsedLevelsAreSubtotals="1" fieldPosition="0"/>
    </format>
    <format dxfId="4728">
      <pivotArea dataOnly="0" labelOnly="1" fieldPosition="0">
        <references count="1">
          <reference field="3" count="0"/>
        </references>
      </pivotArea>
    </format>
    <format dxfId="4727">
      <pivotArea field="3" type="button" dataOnly="0" labelOnly="1" outline="0" axis="axisRow" fieldPosition="0"/>
    </format>
    <format dxfId="4726">
      <pivotArea dataOnly="0" labelOnly="1" outline="0" fieldPosition="0">
        <references count="1">
          <reference field="4294967294" count="2">
            <x v="0"/>
            <x v="1"/>
          </reference>
        </references>
      </pivotArea>
    </format>
  </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1A352D-C9F9-4C03-95AA-D9EA1F8E2135}" name="PivotTable7"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rowHeaderCaption="Segments">
  <location ref="G15:H18" firstHeaderRow="1" firstDataRow="1" firstDataCol="1"/>
  <pivotFields count="14">
    <pivotField showAll="0"/>
    <pivotField showAll="0">
      <items count="366">
        <item x="13"/>
        <item x="225"/>
        <item x="223"/>
        <item x="326"/>
        <item x="270"/>
        <item x="11"/>
        <item x="342"/>
        <item x="74"/>
        <item x="160"/>
        <item x="295"/>
        <item x="71"/>
        <item x="340"/>
        <item x="197"/>
        <item x="219"/>
        <item x="82"/>
        <item x="100"/>
        <item x="291"/>
        <item x="334"/>
        <item x="323"/>
        <item x="35"/>
        <item x="32"/>
        <item x="254"/>
        <item x="95"/>
        <item x="5"/>
        <item x="153"/>
        <item x="86"/>
        <item x="182"/>
        <item x="19"/>
        <item x="308"/>
        <item x="121"/>
        <item x="17"/>
        <item x="319"/>
        <item x="113"/>
        <item x="332"/>
        <item x="24"/>
        <item x="27"/>
        <item x="244"/>
        <item x="65"/>
        <item x="362"/>
        <item x="107"/>
        <item x="14"/>
        <item x="221"/>
        <item x="289"/>
        <item x="315"/>
        <item x="263"/>
        <item x="72"/>
        <item x="40"/>
        <item x="358"/>
        <item x="91"/>
        <item x="66"/>
        <item x="213"/>
        <item x="109"/>
        <item x="293"/>
        <item x="42"/>
        <item x="330"/>
        <item x="10"/>
        <item x="31"/>
        <item x="98"/>
        <item x="148"/>
        <item x="157"/>
        <item x="196"/>
        <item x="262"/>
        <item x="321"/>
        <item x="320"/>
        <item x="345"/>
        <item x="228"/>
        <item x="275"/>
        <item x="185"/>
        <item x="76"/>
        <item x="141"/>
        <item x="285"/>
        <item x="348"/>
        <item x="286"/>
        <item x="261"/>
        <item x="313"/>
        <item x="155"/>
        <item x="186"/>
        <item x="166"/>
        <item x="191"/>
        <item x="252"/>
        <item x="227"/>
        <item x="237"/>
        <item x="217"/>
        <item x="49"/>
        <item x="363"/>
        <item x="222"/>
        <item x="208"/>
        <item x="356"/>
        <item x="290"/>
        <item x="104"/>
        <item x="150"/>
        <item x="83"/>
        <item x="353"/>
        <item x="145"/>
        <item x="122"/>
        <item x="78"/>
        <item x="132"/>
        <item x="62"/>
        <item x="298"/>
        <item x="325"/>
        <item x="136"/>
        <item x="125"/>
        <item x="224"/>
        <item x="139"/>
        <item x="273"/>
        <item x="94"/>
        <item x="269"/>
        <item x="344"/>
        <item x="360"/>
        <item x="3"/>
        <item x="53"/>
        <item x="177"/>
        <item x="110"/>
        <item x="111"/>
        <item x="128"/>
        <item x="324"/>
        <item x="184"/>
        <item x="271"/>
        <item x="280"/>
        <item x="284"/>
        <item x="21"/>
        <item x="189"/>
        <item x="299"/>
        <item x="167"/>
        <item x="194"/>
        <item x="16"/>
        <item x="33"/>
        <item x="296"/>
        <item x="117"/>
        <item x="36"/>
        <item x="226"/>
        <item x="364"/>
        <item x="288"/>
        <item x="12"/>
        <item x="22"/>
        <item x="73"/>
        <item x="210"/>
        <item x="7"/>
        <item x="281"/>
        <item x="140"/>
        <item x="30"/>
        <item x="20"/>
        <item x="328"/>
        <item x="312"/>
        <item x="180"/>
        <item x="105"/>
        <item x="300"/>
        <item x="101"/>
        <item x="232"/>
        <item x="116"/>
        <item x="88"/>
        <item x="175"/>
        <item x="256"/>
        <item x="146"/>
        <item x="169"/>
        <item x="329"/>
        <item x="69"/>
        <item x="99"/>
        <item x="54"/>
        <item x="23"/>
        <item x="26"/>
        <item x="200"/>
        <item x="124"/>
        <item x="240"/>
        <item x="346"/>
        <item x="283"/>
        <item x="311"/>
        <item x="337"/>
        <item x="142"/>
        <item x="310"/>
        <item x="343"/>
        <item x="144"/>
        <item x="80"/>
        <item x="305"/>
        <item x="260"/>
        <item x="351"/>
        <item x="192"/>
        <item x="172"/>
        <item x="34"/>
        <item x="267"/>
        <item x="6"/>
        <item x="201"/>
        <item x="204"/>
        <item x="190"/>
        <item x="93"/>
        <item x="307"/>
        <item x="247"/>
        <item x="193"/>
        <item x="156"/>
        <item x="97"/>
        <item x="215"/>
        <item x="165"/>
        <item x="249"/>
        <item x="38"/>
        <item x="85"/>
        <item x="234"/>
        <item x="230"/>
        <item x="203"/>
        <item x="163"/>
        <item x="245"/>
        <item x="359"/>
        <item x="338"/>
        <item x="216"/>
        <item x="118"/>
        <item x="331"/>
        <item x="214"/>
        <item x="301"/>
        <item x="361"/>
        <item x="250"/>
        <item x="179"/>
        <item x="253"/>
        <item x="92"/>
        <item x="268"/>
        <item x="176"/>
        <item x="51"/>
        <item x="149"/>
        <item x="119"/>
        <item x="266"/>
        <item x="187"/>
        <item x="294"/>
        <item x="173"/>
        <item x="243"/>
        <item x="164"/>
        <item x="309"/>
        <item x="282"/>
        <item x="39"/>
        <item x="96"/>
        <item x="120"/>
        <item x="108"/>
        <item x="257"/>
        <item x="322"/>
        <item x="274"/>
        <item x="41"/>
        <item x="133"/>
        <item x="4"/>
        <item x="50"/>
        <item x="58"/>
        <item x="46"/>
        <item x="317"/>
        <item x="64"/>
        <item x="297"/>
        <item x="302"/>
        <item x="60"/>
        <item x="336"/>
        <item x="207"/>
        <item x="287"/>
        <item x="131"/>
        <item x="316"/>
        <item x="354"/>
        <item x="56"/>
        <item x="123"/>
        <item x="276"/>
        <item x="306"/>
        <item x="206"/>
        <item x="162"/>
        <item x="171"/>
        <item x="147"/>
        <item x="143"/>
        <item x="138"/>
        <item x="241"/>
        <item x="255"/>
        <item x="235"/>
        <item x="137"/>
        <item x="248"/>
        <item x="251"/>
        <item x="199"/>
        <item x="350"/>
        <item x="63"/>
        <item x="79"/>
        <item x="28"/>
        <item x="198"/>
        <item x="151"/>
        <item x="129"/>
        <item x="264"/>
        <item x="242"/>
        <item x="45"/>
        <item x="357"/>
        <item x="238"/>
        <item x="347"/>
        <item x="277"/>
        <item x="178"/>
        <item x="127"/>
        <item x="61"/>
        <item x="202"/>
        <item x="154"/>
        <item x="339"/>
        <item x="9"/>
        <item x="314"/>
        <item x="25"/>
        <item x="8"/>
        <item x="134"/>
        <item x="18"/>
        <item x="205"/>
        <item x="47"/>
        <item x="278"/>
        <item x="77"/>
        <item x="220"/>
        <item x="170"/>
        <item x="158"/>
        <item x="84"/>
        <item x="233"/>
        <item x="1"/>
        <item x="183"/>
        <item x="106"/>
        <item x="59"/>
        <item x="70"/>
        <item x="218"/>
        <item x="48"/>
        <item x="29"/>
        <item x="15"/>
        <item x="349"/>
        <item x="355"/>
        <item x="126"/>
        <item x="114"/>
        <item x="57"/>
        <item x="239"/>
        <item x="231"/>
        <item x="318"/>
        <item x="327"/>
        <item x="68"/>
        <item x="130"/>
        <item x="352"/>
        <item x="81"/>
        <item x="335"/>
        <item x="303"/>
        <item x="44"/>
        <item x="0"/>
        <item x="209"/>
        <item x="115"/>
        <item x="258"/>
        <item x="90"/>
        <item x="181"/>
        <item x="52"/>
        <item x="161"/>
        <item x="195"/>
        <item x="265"/>
        <item x="87"/>
        <item x="152"/>
        <item x="37"/>
        <item x="333"/>
        <item x="43"/>
        <item x="102"/>
        <item x="246"/>
        <item x="292"/>
        <item x="236"/>
        <item x="89"/>
        <item x="229"/>
        <item x="135"/>
        <item x="168"/>
        <item x="55"/>
        <item x="341"/>
        <item x="67"/>
        <item x="188"/>
        <item x="279"/>
        <item x="259"/>
        <item x="112"/>
        <item x="304"/>
        <item x="212"/>
        <item x="2"/>
        <item x="174"/>
        <item x="75"/>
        <item x="159"/>
        <item x="103"/>
        <item x="272"/>
        <item x="211"/>
        <item t="default"/>
      </items>
    </pivotField>
    <pivotField showAll="0"/>
    <pivotField showAll="0">
      <items count="5">
        <item x="3"/>
        <item x="0"/>
        <item x="1"/>
        <item x="2"/>
        <item t="default"/>
      </items>
    </pivotField>
    <pivotField showAll="0">
      <items count="4">
        <item x="0"/>
        <item x="2"/>
        <item x="1"/>
        <item t="default"/>
      </items>
    </pivotField>
    <pivotField showAll="0"/>
    <pivotField showAll="0"/>
    <pivotField showAll="0"/>
    <pivotField showAll="0"/>
    <pivotField showAll="0"/>
    <pivotField dataField="1" showAll="0"/>
    <pivotField showAll="0"/>
    <pivotField axis="axisRow" showAll="0">
      <items count="4">
        <item x="2"/>
        <item x="1"/>
        <item x="0"/>
        <item t="default"/>
      </items>
    </pivotField>
    <pivotField showAll="0"/>
  </pivotFields>
  <rowFields count="1">
    <field x="12"/>
  </rowFields>
  <rowItems count="3">
    <i>
      <x/>
    </i>
    <i>
      <x v="1"/>
    </i>
    <i>
      <x v="2"/>
    </i>
  </rowItems>
  <colItems count="1">
    <i/>
  </colItems>
  <dataFields count="1">
    <dataField name="Total Profit" fld="10" baseField="12" baseItem="0"/>
  </dataFields>
  <formats count="34">
    <format dxfId="4785">
      <pivotArea outline="0" collapsedLevelsAreSubtotals="1" fieldPosition="0"/>
    </format>
    <format dxfId="4784">
      <pivotArea type="all" dataOnly="0" outline="0" fieldPosition="0"/>
    </format>
    <format dxfId="4783">
      <pivotArea outline="0" collapsedLevelsAreSubtotals="1" fieldPosition="0"/>
    </format>
    <format dxfId="4782">
      <pivotArea field="12" type="button" dataOnly="0" labelOnly="1" outline="0" axis="axisRow" fieldPosition="0"/>
    </format>
    <format dxfId="4781">
      <pivotArea dataOnly="0" labelOnly="1" fieldPosition="0">
        <references count="1">
          <reference field="12" count="0"/>
        </references>
      </pivotArea>
    </format>
    <format dxfId="4780">
      <pivotArea dataOnly="0" labelOnly="1" outline="0" fieldPosition="0">
        <references count="1">
          <reference field="4294967294" count="1">
            <x v="0"/>
          </reference>
        </references>
      </pivotArea>
    </format>
    <format dxfId="4779">
      <pivotArea field="12" type="button" dataOnly="0" labelOnly="1" outline="0" axis="axisRow" fieldPosition="0"/>
    </format>
    <format dxfId="4778">
      <pivotArea dataOnly="0" labelOnly="1" outline="0" fieldPosition="0">
        <references count="1">
          <reference field="4294967294" count="1">
            <x v="0"/>
          </reference>
        </references>
      </pivotArea>
    </format>
    <format dxfId="4777">
      <pivotArea field="12" type="button" dataOnly="0" labelOnly="1" outline="0" axis="axisRow" fieldPosition="0"/>
    </format>
    <format dxfId="4776">
      <pivotArea dataOnly="0" labelOnly="1" outline="0" fieldPosition="0">
        <references count="1">
          <reference field="4294967294" count="1">
            <x v="0"/>
          </reference>
        </references>
      </pivotArea>
    </format>
    <format dxfId="4775">
      <pivotArea field="12" type="button" dataOnly="0" labelOnly="1" outline="0" axis="axisRow" fieldPosition="0"/>
    </format>
    <format dxfId="4774">
      <pivotArea dataOnly="0" labelOnly="1" outline="0" fieldPosition="0">
        <references count="1">
          <reference field="4294967294" count="1">
            <x v="0"/>
          </reference>
        </references>
      </pivotArea>
    </format>
    <format dxfId="4773">
      <pivotArea field="12" type="button" dataOnly="0" labelOnly="1" outline="0" axis="axisRow" fieldPosition="0"/>
    </format>
    <format dxfId="4772">
      <pivotArea dataOnly="0" labelOnly="1" outline="0" fieldPosition="0">
        <references count="1">
          <reference field="4294967294" count="1">
            <x v="0"/>
          </reference>
        </references>
      </pivotArea>
    </format>
    <format dxfId="4771">
      <pivotArea field="12" type="button" dataOnly="0" labelOnly="1" outline="0" axis="axisRow" fieldPosition="0"/>
    </format>
    <format dxfId="4770">
      <pivotArea dataOnly="0" labelOnly="1" outline="0" fieldPosition="0">
        <references count="1">
          <reference field="4294967294" count="1">
            <x v="0"/>
          </reference>
        </references>
      </pivotArea>
    </format>
    <format dxfId="4769">
      <pivotArea type="all" dataOnly="0" outline="0" fieldPosition="0"/>
    </format>
    <format dxfId="4768">
      <pivotArea outline="0" collapsedLevelsAreSubtotals="1" fieldPosition="0"/>
    </format>
    <format dxfId="4767">
      <pivotArea field="12" type="button" dataOnly="0" labelOnly="1" outline="0" axis="axisRow" fieldPosition="0"/>
    </format>
    <format dxfId="4766">
      <pivotArea dataOnly="0" labelOnly="1" fieldPosition="0">
        <references count="1">
          <reference field="12" count="0"/>
        </references>
      </pivotArea>
    </format>
    <format dxfId="4765">
      <pivotArea dataOnly="0" labelOnly="1" outline="0" fieldPosition="0">
        <references count="1">
          <reference field="4294967294" count="1">
            <x v="0"/>
          </reference>
        </references>
      </pivotArea>
    </format>
    <format dxfId="4764">
      <pivotArea type="all" dataOnly="0" outline="0" fieldPosition="0"/>
    </format>
    <format dxfId="4763">
      <pivotArea outline="0" collapsedLevelsAreSubtotals="1" fieldPosition="0"/>
    </format>
    <format dxfId="4762">
      <pivotArea field="12" type="button" dataOnly="0" labelOnly="1" outline="0" axis="axisRow" fieldPosition="0"/>
    </format>
    <format dxfId="4761">
      <pivotArea dataOnly="0" labelOnly="1" fieldPosition="0">
        <references count="1">
          <reference field="12" count="0"/>
        </references>
      </pivotArea>
    </format>
    <format dxfId="4760">
      <pivotArea dataOnly="0" labelOnly="1" outline="0" fieldPosition="0">
        <references count="1">
          <reference field="4294967294" count="1">
            <x v="0"/>
          </reference>
        </references>
      </pivotArea>
    </format>
    <format dxfId="4759">
      <pivotArea outline="0" collapsedLevelsAreSubtotals="1" fieldPosition="0"/>
    </format>
    <format dxfId="4758">
      <pivotArea dataOnly="0" labelOnly="1" fieldPosition="0">
        <references count="1">
          <reference field="12" count="0"/>
        </references>
      </pivotArea>
    </format>
    <format dxfId="4757">
      <pivotArea field="12" type="button" dataOnly="0" labelOnly="1" outline="0" axis="axisRow" fieldPosition="0"/>
    </format>
    <format dxfId="4756">
      <pivotArea dataOnly="0" labelOnly="1" outline="0" fieldPosition="0">
        <references count="1">
          <reference field="4294967294" count="1">
            <x v="0"/>
          </reference>
        </references>
      </pivotArea>
    </format>
    <format dxfId="4533">
      <pivotArea dataOnly="0" labelOnly="1" outline="0" axis="axisValues" fieldPosition="0"/>
    </format>
    <format dxfId="4532">
      <pivotArea dataOnly="0" labelOnly="1" outline="0" axis="axisValues" fieldPosition="0"/>
    </format>
    <format dxfId="4531">
      <pivotArea dataOnly="0" labelOnly="1" outline="0" axis="axisValues" fieldPosition="0"/>
    </format>
    <format dxfId="4530">
      <pivotArea dataOnly="0" outline="0" axis="axisValues"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DCE9A6-82B1-4245-8098-7F41344553B9}" name="PivotTable6"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7" rowHeaderCaption="Categories">
  <location ref="D15:E18" firstHeaderRow="1" firstDataRow="1" firstDataCol="1"/>
  <pivotFields count="14">
    <pivotField showAll="0"/>
    <pivotField showAll="0">
      <items count="366">
        <item x="13"/>
        <item x="225"/>
        <item x="223"/>
        <item x="326"/>
        <item x="270"/>
        <item x="11"/>
        <item x="342"/>
        <item x="74"/>
        <item x="160"/>
        <item x="295"/>
        <item x="71"/>
        <item x="340"/>
        <item x="197"/>
        <item x="219"/>
        <item x="82"/>
        <item x="100"/>
        <item x="291"/>
        <item x="334"/>
        <item x="323"/>
        <item x="35"/>
        <item x="32"/>
        <item x="254"/>
        <item x="95"/>
        <item x="5"/>
        <item x="153"/>
        <item x="86"/>
        <item x="182"/>
        <item x="19"/>
        <item x="308"/>
        <item x="121"/>
        <item x="17"/>
        <item x="319"/>
        <item x="113"/>
        <item x="332"/>
        <item x="24"/>
        <item x="27"/>
        <item x="244"/>
        <item x="65"/>
        <item x="362"/>
        <item x="107"/>
        <item x="14"/>
        <item x="221"/>
        <item x="289"/>
        <item x="315"/>
        <item x="263"/>
        <item x="72"/>
        <item x="40"/>
        <item x="358"/>
        <item x="91"/>
        <item x="66"/>
        <item x="213"/>
        <item x="109"/>
        <item x="293"/>
        <item x="42"/>
        <item x="330"/>
        <item x="10"/>
        <item x="31"/>
        <item x="98"/>
        <item x="148"/>
        <item x="157"/>
        <item x="196"/>
        <item x="262"/>
        <item x="321"/>
        <item x="320"/>
        <item x="345"/>
        <item x="228"/>
        <item x="275"/>
        <item x="185"/>
        <item x="76"/>
        <item x="141"/>
        <item x="285"/>
        <item x="348"/>
        <item x="286"/>
        <item x="261"/>
        <item x="313"/>
        <item x="155"/>
        <item x="186"/>
        <item x="166"/>
        <item x="191"/>
        <item x="252"/>
        <item x="227"/>
        <item x="237"/>
        <item x="217"/>
        <item x="49"/>
        <item x="363"/>
        <item x="222"/>
        <item x="208"/>
        <item x="356"/>
        <item x="290"/>
        <item x="104"/>
        <item x="150"/>
        <item x="83"/>
        <item x="353"/>
        <item x="145"/>
        <item x="122"/>
        <item x="78"/>
        <item x="132"/>
        <item x="62"/>
        <item x="298"/>
        <item x="325"/>
        <item x="136"/>
        <item x="125"/>
        <item x="224"/>
        <item x="139"/>
        <item x="273"/>
        <item x="94"/>
        <item x="269"/>
        <item x="344"/>
        <item x="360"/>
        <item x="3"/>
        <item x="53"/>
        <item x="177"/>
        <item x="110"/>
        <item x="111"/>
        <item x="128"/>
        <item x="324"/>
        <item x="184"/>
        <item x="271"/>
        <item x="280"/>
        <item x="284"/>
        <item x="21"/>
        <item x="189"/>
        <item x="299"/>
        <item x="167"/>
        <item x="194"/>
        <item x="16"/>
        <item x="33"/>
        <item x="296"/>
        <item x="117"/>
        <item x="36"/>
        <item x="226"/>
        <item x="364"/>
        <item x="288"/>
        <item x="12"/>
        <item x="22"/>
        <item x="73"/>
        <item x="210"/>
        <item x="7"/>
        <item x="281"/>
        <item x="140"/>
        <item x="30"/>
        <item x="20"/>
        <item x="328"/>
        <item x="312"/>
        <item x="180"/>
        <item x="105"/>
        <item x="300"/>
        <item x="101"/>
        <item x="232"/>
        <item x="116"/>
        <item x="88"/>
        <item x="175"/>
        <item x="256"/>
        <item x="146"/>
        <item x="169"/>
        <item x="329"/>
        <item x="69"/>
        <item x="99"/>
        <item x="54"/>
        <item x="23"/>
        <item x="26"/>
        <item x="200"/>
        <item x="124"/>
        <item x="240"/>
        <item x="346"/>
        <item x="283"/>
        <item x="311"/>
        <item x="337"/>
        <item x="142"/>
        <item x="310"/>
        <item x="343"/>
        <item x="144"/>
        <item x="80"/>
        <item x="305"/>
        <item x="260"/>
        <item x="351"/>
        <item x="192"/>
        <item x="172"/>
        <item x="34"/>
        <item x="267"/>
        <item x="6"/>
        <item x="201"/>
        <item x="204"/>
        <item x="190"/>
        <item x="93"/>
        <item x="307"/>
        <item x="247"/>
        <item x="193"/>
        <item x="156"/>
        <item x="97"/>
        <item x="215"/>
        <item x="165"/>
        <item x="249"/>
        <item x="38"/>
        <item x="85"/>
        <item x="234"/>
        <item x="230"/>
        <item x="203"/>
        <item x="163"/>
        <item x="245"/>
        <item x="359"/>
        <item x="338"/>
        <item x="216"/>
        <item x="118"/>
        <item x="331"/>
        <item x="214"/>
        <item x="301"/>
        <item x="361"/>
        <item x="250"/>
        <item x="179"/>
        <item x="253"/>
        <item x="92"/>
        <item x="268"/>
        <item x="176"/>
        <item x="51"/>
        <item x="149"/>
        <item x="119"/>
        <item x="266"/>
        <item x="187"/>
        <item x="294"/>
        <item x="173"/>
        <item x="243"/>
        <item x="164"/>
        <item x="309"/>
        <item x="282"/>
        <item x="39"/>
        <item x="96"/>
        <item x="120"/>
        <item x="108"/>
        <item x="257"/>
        <item x="322"/>
        <item x="274"/>
        <item x="41"/>
        <item x="133"/>
        <item x="4"/>
        <item x="50"/>
        <item x="58"/>
        <item x="46"/>
        <item x="317"/>
        <item x="64"/>
        <item x="297"/>
        <item x="302"/>
        <item x="60"/>
        <item x="336"/>
        <item x="207"/>
        <item x="287"/>
        <item x="131"/>
        <item x="316"/>
        <item x="354"/>
        <item x="56"/>
        <item x="123"/>
        <item x="276"/>
        <item x="306"/>
        <item x="206"/>
        <item x="162"/>
        <item x="171"/>
        <item x="147"/>
        <item x="143"/>
        <item x="138"/>
        <item x="241"/>
        <item x="255"/>
        <item x="235"/>
        <item x="137"/>
        <item x="248"/>
        <item x="251"/>
        <item x="199"/>
        <item x="350"/>
        <item x="63"/>
        <item x="79"/>
        <item x="28"/>
        <item x="198"/>
        <item x="151"/>
        <item x="129"/>
        <item x="264"/>
        <item x="242"/>
        <item x="45"/>
        <item x="357"/>
        <item x="238"/>
        <item x="347"/>
        <item x="277"/>
        <item x="178"/>
        <item x="127"/>
        <item x="61"/>
        <item x="202"/>
        <item x="154"/>
        <item x="339"/>
        <item x="9"/>
        <item x="314"/>
        <item x="25"/>
        <item x="8"/>
        <item x="134"/>
        <item x="18"/>
        <item x="205"/>
        <item x="47"/>
        <item x="278"/>
        <item x="77"/>
        <item x="220"/>
        <item x="170"/>
        <item x="158"/>
        <item x="84"/>
        <item x="233"/>
        <item x="1"/>
        <item x="183"/>
        <item x="106"/>
        <item x="59"/>
        <item x="70"/>
        <item x="218"/>
        <item x="48"/>
        <item x="29"/>
        <item x="15"/>
        <item x="349"/>
        <item x="355"/>
        <item x="126"/>
        <item x="114"/>
        <item x="57"/>
        <item x="239"/>
        <item x="231"/>
        <item x="318"/>
        <item x="327"/>
        <item x="68"/>
        <item x="130"/>
        <item x="352"/>
        <item x="81"/>
        <item x="335"/>
        <item x="303"/>
        <item x="44"/>
        <item x="0"/>
        <item x="209"/>
        <item x="115"/>
        <item x="258"/>
        <item x="90"/>
        <item x="181"/>
        <item x="52"/>
        <item x="161"/>
        <item x="195"/>
        <item x="265"/>
        <item x="87"/>
        <item x="152"/>
        <item x="37"/>
        <item x="333"/>
        <item x="43"/>
        <item x="102"/>
        <item x="246"/>
        <item x="292"/>
        <item x="236"/>
        <item x="89"/>
        <item x="229"/>
        <item x="135"/>
        <item x="168"/>
        <item x="55"/>
        <item x="341"/>
        <item x="67"/>
        <item x="188"/>
        <item x="279"/>
        <item x="259"/>
        <item x="112"/>
        <item x="304"/>
        <item x="212"/>
        <item x="2"/>
        <item x="174"/>
        <item x="75"/>
        <item x="159"/>
        <item x="103"/>
        <item x="272"/>
        <item x="211"/>
        <item t="default"/>
      </items>
    </pivotField>
    <pivotField showAll="0"/>
    <pivotField showAll="0">
      <items count="5">
        <item x="3"/>
        <item x="0"/>
        <item x="1"/>
        <item x="2"/>
        <item t="default"/>
      </items>
    </pivotField>
    <pivotField axis="axisRow" showAll="0">
      <items count="4">
        <item x="0"/>
        <item x="2"/>
        <item x="1"/>
        <item t="default"/>
      </items>
    </pivotField>
    <pivotField showAll="0"/>
    <pivotField showAll="0"/>
    <pivotField dataField="1" showAll="0"/>
    <pivotField showAll="0"/>
    <pivotField showAll="0"/>
    <pivotField showAll="0"/>
    <pivotField showAll="0"/>
    <pivotField showAll="0">
      <items count="4">
        <item x="2"/>
        <item x="1"/>
        <item x="0"/>
        <item t="default"/>
      </items>
    </pivotField>
    <pivotField showAll="0"/>
  </pivotFields>
  <rowFields count="1">
    <field x="4"/>
  </rowFields>
  <rowItems count="3">
    <i>
      <x/>
    </i>
    <i>
      <x v="1"/>
    </i>
    <i>
      <x v="2"/>
    </i>
  </rowItems>
  <colItems count="1">
    <i/>
  </colItems>
  <dataFields count="1">
    <dataField name="Total Sales" fld="7" baseField="4" baseItem="0" numFmtId="164"/>
  </dataFields>
  <formats count="30">
    <format dxfId="4815">
      <pivotArea outline="0" collapsedLevelsAreSubtotals="1" fieldPosition="0"/>
    </format>
    <format dxfId="4814">
      <pivotArea type="all" dataOnly="0" outline="0" fieldPosition="0"/>
    </format>
    <format dxfId="4813">
      <pivotArea outline="0" collapsedLevelsAreSubtotals="1" fieldPosition="0"/>
    </format>
    <format dxfId="4812">
      <pivotArea field="4" type="button" dataOnly="0" labelOnly="1" outline="0" axis="axisRow" fieldPosition="0"/>
    </format>
    <format dxfId="4811">
      <pivotArea dataOnly="0" labelOnly="1" fieldPosition="0">
        <references count="1">
          <reference field="4" count="0"/>
        </references>
      </pivotArea>
    </format>
    <format dxfId="4810">
      <pivotArea dataOnly="0" labelOnly="1" outline="0" axis="axisValues" fieldPosition="0"/>
    </format>
    <format dxfId="4809">
      <pivotArea field="4" type="button" dataOnly="0" labelOnly="1" outline="0" axis="axisRow" fieldPosition="0"/>
    </format>
    <format dxfId="4808">
      <pivotArea dataOnly="0" labelOnly="1" outline="0" axis="axisValues" fieldPosition="0"/>
    </format>
    <format dxfId="4807">
      <pivotArea field="4" type="button" dataOnly="0" labelOnly="1" outline="0" axis="axisRow" fieldPosition="0"/>
    </format>
    <format dxfId="4806">
      <pivotArea dataOnly="0" labelOnly="1" outline="0" axis="axisValues" fieldPosition="0"/>
    </format>
    <format dxfId="4805">
      <pivotArea field="4" type="button" dataOnly="0" labelOnly="1" outline="0" axis="axisRow" fieldPosition="0"/>
    </format>
    <format dxfId="4804">
      <pivotArea dataOnly="0" labelOnly="1" outline="0" axis="axisValues" fieldPosition="0"/>
    </format>
    <format dxfId="4803">
      <pivotArea field="4" type="button" dataOnly="0" labelOnly="1" outline="0" axis="axisRow" fieldPosition="0"/>
    </format>
    <format dxfId="4802">
      <pivotArea dataOnly="0" labelOnly="1" outline="0" axis="axisValues" fieldPosition="0"/>
    </format>
    <format dxfId="4801">
      <pivotArea field="4" type="button" dataOnly="0" labelOnly="1" outline="0" axis="axisRow" fieldPosition="0"/>
    </format>
    <format dxfId="4800">
      <pivotArea dataOnly="0" labelOnly="1" outline="0" axis="axisValues" fieldPosition="0"/>
    </format>
    <format dxfId="4799">
      <pivotArea type="all" dataOnly="0" outline="0" fieldPosition="0"/>
    </format>
    <format dxfId="4798">
      <pivotArea outline="0" collapsedLevelsAreSubtotals="1" fieldPosition="0"/>
    </format>
    <format dxfId="4797">
      <pivotArea field="4" type="button" dataOnly="0" labelOnly="1" outline="0" axis="axisRow" fieldPosition="0"/>
    </format>
    <format dxfId="4796">
      <pivotArea dataOnly="0" labelOnly="1" fieldPosition="0">
        <references count="1">
          <reference field="4" count="0"/>
        </references>
      </pivotArea>
    </format>
    <format dxfId="4795">
      <pivotArea dataOnly="0" labelOnly="1" outline="0" axis="axisValues" fieldPosition="0"/>
    </format>
    <format dxfId="4794">
      <pivotArea type="all" dataOnly="0" outline="0" fieldPosition="0"/>
    </format>
    <format dxfId="4793">
      <pivotArea outline="0" collapsedLevelsAreSubtotals="1" fieldPosition="0"/>
    </format>
    <format dxfId="4792">
      <pivotArea field="4" type="button" dataOnly="0" labelOnly="1" outline="0" axis="axisRow" fieldPosition="0"/>
    </format>
    <format dxfId="4791">
      <pivotArea dataOnly="0" labelOnly="1" fieldPosition="0">
        <references count="1">
          <reference field="4" count="0"/>
        </references>
      </pivotArea>
    </format>
    <format dxfId="4790">
      <pivotArea dataOnly="0" labelOnly="1" outline="0" axis="axisValues" fieldPosition="0"/>
    </format>
    <format dxfId="4789">
      <pivotArea outline="0" collapsedLevelsAreSubtotals="1" fieldPosition="0"/>
    </format>
    <format dxfId="4788">
      <pivotArea dataOnly="0" labelOnly="1" fieldPosition="0">
        <references count="1">
          <reference field="4" count="0"/>
        </references>
      </pivotArea>
    </format>
    <format dxfId="4787">
      <pivotArea field="4" type="button" dataOnly="0" labelOnly="1" outline="0" axis="axisRow" fieldPosition="0"/>
    </format>
    <format dxfId="4786">
      <pivotArea dataOnly="0" labelOnly="1" outline="0" axis="axisValues"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0E8F0B-5D4C-4DC5-8532-0F80B2BAD1CA}" name="PivotTable11" cacheId="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6" rowHeaderCaption="Order Month">
  <location ref="K7:L19" firstHeaderRow="1" firstDataRow="1" firstDataCol="1"/>
  <pivotFields count="14">
    <pivotField showAll="0"/>
    <pivotField showAll="0">
      <items count="366">
        <item x="13"/>
        <item x="225"/>
        <item x="223"/>
        <item x="326"/>
        <item x="270"/>
        <item x="11"/>
        <item x="342"/>
        <item x="74"/>
        <item x="160"/>
        <item x="295"/>
        <item x="71"/>
        <item x="340"/>
        <item x="197"/>
        <item x="219"/>
        <item x="82"/>
        <item x="100"/>
        <item x="291"/>
        <item x="334"/>
        <item x="323"/>
        <item x="35"/>
        <item x="32"/>
        <item x="254"/>
        <item x="95"/>
        <item x="5"/>
        <item x="153"/>
        <item x="86"/>
        <item x="182"/>
        <item x="19"/>
        <item x="308"/>
        <item x="121"/>
        <item x="17"/>
        <item x="319"/>
        <item x="113"/>
        <item x="332"/>
        <item x="24"/>
        <item x="27"/>
        <item x="244"/>
        <item x="65"/>
        <item x="362"/>
        <item x="107"/>
        <item x="14"/>
        <item x="221"/>
        <item x="289"/>
        <item x="315"/>
        <item x="263"/>
        <item x="72"/>
        <item x="40"/>
        <item x="358"/>
        <item x="91"/>
        <item x="66"/>
        <item x="213"/>
        <item x="109"/>
        <item x="293"/>
        <item x="42"/>
        <item x="330"/>
        <item x="10"/>
        <item x="31"/>
        <item x="98"/>
        <item x="148"/>
        <item x="157"/>
        <item x="196"/>
        <item x="262"/>
        <item x="321"/>
        <item x="320"/>
        <item x="345"/>
        <item x="228"/>
        <item x="275"/>
        <item x="185"/>
        <item x="76"/>
        <item x="141"/>
        <item x="285"/>
        <item x="348"/>
        <item x="286"/>
        <item x="261"/>
        <item x="313"/>
        <item x="155"/>
        <item x="186"/>
        <item x="166"/>
        <item x="191"/>
        <item x="252"/>
        <item x="227"/>
        <item x="237"/>
        <item x="217"/>
        <item x="49"/>
        <item x="363"/>
        <item x="222"/>
        <item x="208"/>
        <item x="356"/>
        <item x="290"/>
        <item x="104"/>
        <item x="150"/>
        <item x="83"/>
        <item x="353"/>
        <item x="145"/>
        <item x="122"/>
        <item x="78"/>
        <item x="132"/>
        <item x="62"/>
        <item x="298"/>
        <item x="325"/>
        <item x="136"/>
        <item x="125"/>
        <item x="224"/>
        <item x="139"/>
        <item x="273"/>
        <item x="94"/>
        <item x="269"/>
        <item x="344"/>
        <item x="360"/>
        <item x="3"/>
        <item x="53"/>
        <item x="177"/>
        <item x="110"/>
        <item x="111"/>
        <item x="128"/>
        <item x="324"/>
        <item x="184"/>
        <item x="271"/>
        <item x="280"/>
        <item x="284"/>
        <item x="21"/>
        <item x="189"/>
        <item x="299"/>
        <item x="167"/>
        <item x="194"/>
        <item x="16"/>
        <item x="33"/>
        <item x="296"/>
        <item x="117"/>
        <item x="36"/>
        <item x="226"/>
        <item x="364"/>
        <item x="288"/>
        <item x="12"/>
        <item x="22"/>
        <item x="73"/>
        <item x="210"/>
        <item x="7"/>
        <item x="281"/>
        <item x="140"/>
        <item x="30"/>
        <item x="20"/>
        <item x="328"/>
        <item x="312"/>
        <item x="180"/>
        <item x="105"/>
        <item x="300"/>
        <item x="101"/>
        <item x="232"/>
        <item x="116"/>
        <item x="88"/>
        <item x="175"/>
        <item x="256"/>
        <item x="146"/>
        <item x="169"/>
        <item x="329"/>
        <item x="69"/>
        <item x="99"/>
        <item x="54"/>
        <item x="23"/>
        <item x="26"/>
        <item x="200"/>
        <item x="124"/>
        <item x="240"/>
        <item x="346"/>
        <item x="283"/>
        <item x="311"/>
        <item x="337"/>
        <item x="142"/>
        <item x="310"/>
        <item x="343"/>
        <item x="144"/>
        <item x="80"/>
        <item x="305"/>
        <item x="260"/>
        <item x="351"/>
        <item x="192"/>
        <item x="172"/>
        <item x="34"/>
        <item x="267"/>
        <item x="6"/>
        <item x="201"/>
        <item x="204"/>
        <item x="190"/>
        <item x="93"/>
        <item x="307"/>
        <item x="247"/>
        <item x="193"/>
        <item x="156"/>
        <item x="97"/>
        <item x="215"/>
        <item x="165"/>
        <item x="249"/>
        <item x="38"/>
        <item x="85"/>
        <item x="234"/>
        <item x="230"/>
        <item x="203"/>
        <item x="163"/>
        <item x="245"/>
        <item x="359"/>
        <item x="338"/>
        <item x="216"/>
        <item x="118"/>
        <item x="331"/>
        <item x="214"/>
        <item x="301"/>
        <item x="361"/>
        <item x="250"/>
        <item x="179"/>
        <item x="253"/>
        <item x="92"/>
        <item x="268"/>
        <item x="176"/>
        <item x="51"/>
        <item x="149"/>
        <item x="119"/>
        <item x="266"/>
        <item x="187"/>
        <item x="294"/>
        <item x="173"/>
        <item x="243"/>
        <item x="164"/>
        <item x="309"/>
        <item x="282"/>
        <item x="39"/>
        <item x="96"/>
        <item x="120"/>
        <item x="108"/>
        <item x="257"/>
        <item x="322"/>
        <item x="274"/>
        <item x="41"/>
        <item x="133"/>
        <item x="4"/>
        <item x="50"/>
        <item x="58"/>
        <item x="46"/>
        <item x="317"/>
        <item x="64"/>
        <item x="297"/>
        <item x="302"/>
        <item x="60"/>
        <item x="336"/>
        <item x="207"/>
        <item x="287"/>
        <item x="131"/>
        <item x="316"/>
        <item x="354"/>
        <item x="56"/>
        <item x="123"/>
        <item x="276"/>
        <item x="306"/>
        <item x="206"/>
        <item x="162"/>
        <item x="171"/>
        <item x="147"/>
        <item x="143"/>
        <item x="138"/>
        <item x="241"/>
        <item x="255"/>
        <item x="235"/>
        <item x="137"/>
        <item x="248"/>
        <item x="251"/>
        <item x="199"/>
        <item x="350"/>
        <item x="63"/>
        <item x="79"/>
        <item x="28"/>
        <item x="198"/>
        <item x="151"/>
        <item x="129"/>
        <item x="264"/>
        <item x="242"/>
        <item x="45"/>
        <item x="357"/>
        <item x="238"/>
        <item x="347"/>
        <item x="277"/>
        <item x="178"/>
        <item x="127"/>
        <item x="61"/>
        <item x="202"/>
        <item x="154"/>
        <item x="339"/>
        <item x="9"/>
        <item x="314"/>
        <item x="25"/>
        <item x="8"/>
        <item x="134"/>
        <item x="18"/>
        <item x="205"/>
        <item x="47"/>
        <item x="278"/>
        <item x="77"/>
        <item x="220"/>
        <item x="170"/>
        <item x="158"/>
        <item x="84"/>
        <item x="233"/>
        <item x="1"/>
        <item x="183"/>
        <item x="106"/>
        <item x="59"/>
        <item x="70"/>
        <item x="218"/>
        <item x="48"/>
        <item x="29"/>
        <item x="15"/>
        <item x="349"/>
        <item x="355"/>
        <item x="126"/>
        <item x="114"/>
        <item x="57"/>
        <item x="239"/>
        <item x="231"/>
        <item x="318"/>
        <item x="327"/>
        <item x="68"/>
        <item x="130"/>
        <item x="352"/>
        <item x="81"/>
        <item x="335"/>
        <item x="303"/>
        <item x="44"/>
        <item x="0"/>
        <item x="209"/>
        <item x="115"/>
        <item x="258"/>
        <item x="90"/>
        <item x="181"/>
        <item x="52"/>
        <item x="161"/>
        <item x="195"/>
        <item x="265"/>
        <item x="87"/>
        <item x="152"/>
        <item x="37"/>
        <item x="333"/>
        <item x="43"/>
        <item x="102"/>
        <item x="246"/>
        <item x="292"/>
        <item x="236"/>
        <item x="89"/>
        <item x="229"/>
        <item x="135"/>
        <item x="168"/>
        <item x="55"/>
        <item x="341"/>
        <item x="67"/>
        <item x="188"/>
        <item x="279"/>
        <item x="259"/>
        <item x="112"/>
        <item x="304"/>
        <item x="212"/>
        <item x="2"/>
        <item x="174"/>
        <item x="75"/>
        <item x="159"/>
        <item x="103"/>
        <item x="272"/>
        <item x="211"/>
        <item t="default"/>
      </items>
    </pivotField>
    <pivotField showAll="0"/>
    <pivotField showAll="0">
      <items count="5">
        <item x="3"/>
        <item x="0"/>
        <item x="1"/>
        <item x="2"/>
        <item t="default"/>
      </items>
    </pivotField>
    <pivotField showAll="0">
      <items count="4">
        <item x="0"/>
        <item x="2"/>
        <item x="1"/>
        <item t="default"/>
      </items>
    </pivotField>
    <pivotField showAll="0"/>
    <pivotField showAll="0"/>
    <pivotField dataField="1" showAll="0"/>
    <pivotField showAll="0"/>
    <pivotField showAll="0"/>
    <pivotField showAll="0"/>
    <pivotField showAll="0"/>
    <pivotField showAll="0">
      <items count="4">
        <item x="2"/>
        <item x="1"/>
        <item x="0"/>
        <item t="default"/>
      </items>
    </pivotField>
    <pivotField axis="axisRow" showAll="0">
      <items count="13">
        <item x="5"/>
        <item x="8"/>
        <item x="11"/>
        <item x="3"/>
        <item x="7"/>
        <item x="6"/>
        <item x="10"/>
        <item x="4"/>
        <item x="9"/>
        <item x="1"/>
        <item x="0"/>
        <item x="2"/>
        <item t="default"/>
      </items>
    </pivotField>
  </pivotFields>
  <rowFields count="1">
    <field x="13"/>
  </rowFields>
  <rowItems count="12">
    <i>
      <x/>
    </i>
    <i>
      <x v="1"/>
    </i>
    <i>
      <x v="2"/>
    </i>
    <i>
      <x v="3"/>
    </i>
    <i>
      <x v="4"/>
    </i>
    <i>
      <x v="5"/>
    </i>
    <i>
      <x v="6"/>
    </i>
    <i>
      <x v="7"/>
    </i>
    <i>
      <x v="8"/>
    </i>
    <i>
      <x v="9"/>
    </i>
    <i>
      <x v="10"/>
    </i>
    <i>
      <x v="11"/>
    </i>
  </rowItems>
  <colItems count="1">
    <i/>
  </colItems>
  <dataFields count="1">
    <dataField name="Total Sales" fld="7" baseField="13" baseItem="0" numFmtId="164"/>
  </dataFields>
  <formats count="30">
    <format dxfId="4500">
      <pivotArea outline="0" collapsedLevelsAreSubtotals="1" fieldPosition="0"/>
    </format>
    <format dxfId="4501">
      <pivotArea type="all" dataOnly="0" outline="0" fieldPosition="0"/>
    </format>
    <format dxfId="4502">
      <pivotArea outline="0" collapsedLevelsAreSubtotals="1" fieldPosition="0"/>
    </format>
    <format dxfId="4503">
      <pivotArea field="13" type="button" dataOnly="0" labelOnly="1" outline="0" axis="axisRow" fieldPosition="0"/>
    </format>
    <format dxfId="4504">
      <pivotArea dataOnly="0" labelOnly="1" fieldPosition="0">
        <references count="1">
          <reference field="13" count="0"/>
        </references>
      </pivotArea>
    </format>
    <format dxfId="4505">
      <pivotArea dataOnly="0" labelOnly="1" outline="0" axis="axisValues" fieldPosition="0"/>
    </format>
    <format dxfId="4506">
      <pivotArea field="13" type="button" dataOnly="0" labelOnly="1" outline="0" axis="axisRow" fieldPosition="0"/>
    </format>
    <format dxfId="4507">
      <pivotArea dataOnly="0" labelOnly="1" outline="0" axis="axisValues" fieldPosition="0"/>
    </format>
    <format dxfId="4508">
      <pivotArea field="13" type="button" dataOnly="0" labelOnly="1" outline="0" axis="axisRow" fieldPosition="0"/>
    </format>
    <format dxfId="4509">
      <pivotArea dataOnly="0" labelOnly="1" outline="0" axis="axisValues" fieldPosition="0"/>
    </format>
    <format dxfId="4510">
      <pivotArea field="13" type="button" dataOnly="0" labelOnly="1" outline="0" axis="axisRow" fieldPosition="0"/>
    </format>
    <format dxfId="4511">
      <pivotArea dataOnly="0" labelOnly="1" outline="0" axis="axisValues" fieldPosition="0"/>
    </format>
    <format dxfId="4512">
      <pivotArea field="13" type="button" dataOnly="0" labelOnly="1" outline="0" axis="axisRow" fieldPosition="0"/>
    </format>
    <format dxfId="4513">
      <pivotArea dataOnly="0" labelOnly="1" outline="0" axis="axisValues" fieldPosition="0"/>
    </format>
    <format dxfId="4514">
      <pivotArea field="13" type="button" dataOnly="0" labelOnly="1" outline="0" axis="axisRow" fieldPosition="0"/>
    </format>
    <format dxfId="4515">
      <pivotArea dataOnly="0" labelOnly="1" outline="0" axis="axisValues" fieldPosition="0"/>
    </format>
    <format dxfId="4516">
      <pivotArea type="all" dataOnly="0" outline="0" fieldPosition="0"/>
    </format>
    <format dxfId="4517">
      <pivotArea outline="0" collapsedLevelsAreSubtotals="1" fieldPosition="0"/>
    </format>
    <format dxfId="4518">
      <pivotArea field="13" type="button" dataOnly="0" labelOnly="1" outline="0" axis="axisRow" fieldPosition="0"/>
    </format>
    <format dxfId="4519">
      <pivotArea dataOnly="0" labelOnly="1" fieldPosition="0">
        <references count="1">
          <reference field="13" count="0"/>
        </references>
      </pivotArea>
    </format>
    <format dxfId="4520">
      <pivotArea dataOnly="0" labelOnly="1" outline="0" axis="axisValues" fieldPosition="0"/>
    </format>
    <format dxfId="4521">
      <pivotArea type="all" dataOnly="0" outline="0" fieldPosition="0"/>
    </format>
    <format dxfId="4522">
      <pivotArea outline="0" collapsedLevelsAreSubtotals="1" fieldPosition="0"/>
    </format>
    <format dxfId="4523">
      <pivotArea field="13" type="button" dataOnly="0" labelOnly="1" outline="0" axis="axisRow" fieldPosition="0"/>
    </format>
    <format dxfId="4524">
      <pivotArea dataOnly="0" labelOnly="1" fieldPosition="0">
        <references count="1">
          <reference field="13" count="0"/>
        </references>
      </pivotArea>
    </format>
    <format dxfId="4525">
      <pivotArea dataOnly="0" labelOnly="1" outline="0" axis="axisValues" fieldPosition="0"/>
    </format>
    <format dxfId="4526">
      <pivotArea outline="0" collapsedLevelsAreSubtotals="1" fieldPosition="0"/>
    </format>
    <format dxfId="4527">
      <pivotArea dataOnly="0" labelOnly="1" fieldPosition="0">
        <references count="1">
          <reference field="13" count="0"/>
        </references>
      </pivotArea>
    </format>
    <format dxfId="4528">
      <pivotArea field="13" type="button" dataOnly="0" labelOnly="1" outline="0" axis="axisRow" fieldPosition="0"/>
    </format>
    <format dxfId="452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1F5C8B5-4168-4174-949B-79A23E987BEE}" sourceName="Segment">
  <pivotTables>
    <pivotTable tabId="2" name="PivotTable1"/>
    <pivotTable tabId="2" name="PivotTable10"/>
    <pivotTable tabId="2" name="PivotTable11"/>
    <pivotTable tabId="2" name="PivotTable2"/>
    <pivotTable tabId="2" name="PivotTable3"/>
    <pivotTable tabId="2" name="PivotTable5"/>
    <pivotTable tabId="2" name="PivotTable6"/>
    <pivotTable tabId="2" name="PivotTable8"/>
    <pivotTable tabId="2" name="PivotTable9"/>
  </pivotTables>
  <data>
    <tabular pivotCacheId="194592588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C245BF8-B0F2-4F8B-8B04-0899A4A63E86}" sourceName="Category">
  <pivotTables>
    <pivotTable tabId="2" name="PivotTable1"/>
    <pivotTable tabId="2" name="PivotTable10"/>
    <pivotTable tabId="2" name="PivotTable11"/>
    <pivotTable tabId="2" name="PivotTable2"/>
    <pivotTable tabId="2" name="PivotTable3"/>
    <pivotTable tabId="2" name="PivotTable5"/>
    <pivotTable tabId="2" name="PivotTable7"/>
    <pivotTable tabId="2" name="PivotTable8"/>
    <pivotTable tabId="2" name="PivotTable9"/>
  </pivotTables>
  <data>
    <tabular pivotCacheId="194592588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7052764-0202-4124-B7B2-CE183F738E04}" sourceName="Region">
  <pivotTables>
    <pivotTable tabId="2" name="PivotTable10"/>
    <pivotTable tabId="2" name="PivotTable11"/>
    <pivotTable tabId="2" name="PivotTable2"/>
    <pivotTable tabId="2" name="PivotTable3"/>
    <pivotTable tabId="2" name="PivotTable5"/>
    <pivotTable tabId="2" name="PivotTable6"/>
    <pivotTable tabId="2" name="PivotTable7"/>
    <pivotTable tabId="2" name="PivotTable8"/>
    <pivotTable tabId="2" name="PivotTable9"/>
  </pivotTables>
  <data>
    <tabular pivotCacheId="1945925884">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AB4919D-FEDF-45C6-8AD2-4C64D829D2FF}" cache="Slicer_Segment" caption="Segment" columnCount="2" style="SlicerStyleOther1" rowHeight="360000"/>
  <slicer name="Category" xr10:uid="{A8377FA4-C050-4747-B8E4-CD5D5D674E7E}" cache="Slicer_Category" caption="Category" columnCount="2" style="SlicerStyleOther1" rowHeight="360000"/>
  <slicer name="Region" xr10:uid="{92F23D81-FAB0-4E53-8917-05357DA6112B}" cache="Slicer_Region" caption="Region" columnCount="2" style="SlicerStyleOther1"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14DD45-6783-460B-B629-33B24C88058E}" name="Data" displayName="Data" ref="D5:Q2005" totalsRowShown="0" headerRowDxfId="4831" dataDxfId="4830" headerRowCellStyle="Normal 2" dataCellStyle="Normal 2">
  <autoFilter ref="D5:Q2005" xr:uid="{5714DD45-6783-460B-B629-33B24C88058E}"/>
  <tableColumns count="14">
    <tableColumn id="1" xr3:uid="{7A443B2F-C865-4F8F-B21E-9B842C1377C9}" name="Order_ID" dataDxfId="4829" dataCellStyle="Normal 2"/>
    <tableColumn id="2" xr3:uid="{885C4AB6-B63D-4D5E-82B1-80F50F38BB76}" name="Order_Date" dataDxfId="4828" dataCellStyle="Normal 2"/>
    <tableColumn id="3" xr3:uid="{ED9F5E88-8949-4E98-B848-9F22C8728F07}" name="Ship_Date" dataDxfId="4827" dataCellStyle="Normal 2"/>
    <tableColumn id="4" xr3:uid="{0DF82430-BE69-4CAA-98E3-33035F42FC18}" name="Region" dataDxfId="4826" dataCellStyle="Normal 2"/>
    <tableColumn id="5" xr3:uid="{45B42139-F0A3-4F24-B163-3E6BE5B20489}" name="Category" dataDxfId="4825" dataCellStyle="Normal 2"/>
    <tableColumn id="6" xr3:uid="{479A37DB-6D55-4B54-94D5-8A042C871C5C}" name="Sub_Category" dataDxfId="4824" dataCellStyle="Normal 2"/>
    <tableColumn id="7" xr3:uid="{D60701F3-0490-4C43-82FA-12EE21FD35B9}" name="Product_Name" dataDxfId="4823" dataCellStyle="Normal 2"/>
    <tableColumn id="8" xr3:uid="{7373D3A0-107B-46D0-8C75-F03948149A01}" name="Sales" dataDxfId="4822" dataCellStyle="Normal 2"/>
    <tableColumn id="9" xr3:uid="{C6FE388A-472A-4034-9E35-580DF30D988D}" name="Quantity" dataDxfId="4821" dataCellStyle="Normal 2"/>
    <tableColumn id="10" xr3:uid="{AAF16FD2-20C9-4687-8734-B93BDD244D8A}" name="Discount" dataDxfId="4820" dataCellStyle="Normal 2"/>
    <tableColumn id="11" xr3:uid="{07C56BFB-15E1-42E8-AE54-331A8A9C16DC}" name="Profit" dataDxfId="4819" dataCellStyle="Normal 2"/>
    <tableColumn id="12" xr3:uid="{4336C0A3-B0C1-4486-ABAF-2CF9394FD54B}" name="Customer_Name" dataDxfId="4818" dataCellStyle="Normal 2"/>
    <tableColumn id="13" xr3:uid="{21BBD39C-782B-4706-9D37-22A8C5F8961E}" name="Segment" dataDxfId="4817" dataCellStyle="Normal 2"/>
    <tableColumn id="14" xr3:uid="{BA31CF82-9BB9-47A3-8E10-75F80F3E7602}" name="Order_Month" dataDxfId="4816" dataCellStyle="Normal 2">
      <calculatedColumnFormula>TEXT((Data[[#This Row],[Order_Date]]), "mmm")</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C6EE222-852E-4B8C-87FB-343A2CD2D042}" sourceName="Order_Date">
  <pivotTables>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state minimalRefreshVersion="6" lastRefreshVersion="6" pivotCacheId="1945925884"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A06791B-CD91-4DCD-8267-D1168FAB8130}" cache="NativeTimeline_Order_Date" caption="Order_Date" showHorizontalScrollbar="0" level="2" selectionLevel="2" scrollPosition="2025-01-01T00:00:00" style="TimeSlicerStyleDark3"/>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3.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62983-8B2F-402A-9512-8C6EF4A4285B}">
  <dimension ref="B2:W6"/>
  <sheetViews>
    <sheetView showGridLines="0" tabSelected="1" zoomScale="81" workbookViewId="0">
      <selection activeCell="D2" sqref="D2:W3"/>
    </sheetView>
  </sheetViews>
  <sheetFormatPr defaultRowHeight="14.4" x14ac:dyDescent="0.3"/>
  <cols>
    <col min="2" max="2" width="8.88671875" style="102"/>
  </cols>
  <sheetData>
    <row r="2" spans="4:23" x14ac:dyDescent="0.3">
      <c r="D2" s="51" t="s">
        <v>2432</v>
      </c>
      <c r="E2" s="51"/>
      <c r="F2" s="51"/>
      <c r="G2" s="51"/>
      <c r="H2" s="51"/>
      <c r="I2" s="51"/>
      <c r="J2" s="51"/>
      <c r="K2" s="51"/>
      <c r="L2" s="51"/>
      <c r="M2" s="51"/>
      <c r="N2" s="51"/>
      <c r="O2" s="51"/>
      <c r="P2" s="51"/>
      <c r="Q2" s="51"/>
      <c r="R2" s="51"/>
      <c r="S2" s="51"/>
      <c r="T2" s="51"/>
      <c r="U2" s="51"/>
      <c r="V2" s="51"/>
      <c r="W2" s="51"/>
    </row>
    <row r="3" spans="4:23" x14ac:dyDescent="0.3">
      <c r="D3" s="51"/>
      <c r="E3" s="51"/>
      <c r="F3" s="51"/>
      <c r="G3" s="51"/>
      <c r="H3" s="51"/>
      <c r="I3" s="51"/>
      <c r="J3" s="51"/>
      <c r="K3" s="51"/>
      <c r="L3" s="51"/>
      <c r="M3" s="51"/>
      <c r="N3" s="51"/>
      <c r="O3" s="51"/>
      <c r="P3" s="51"/>
      <c r="Q3" s="51"/>
      <c r="R3" s="51"/>
      <c r="S3" s="51"/>
      <c r="T3" s="51"/>
      <c r="U3" s="51"/>
      <c r="V3" s="51"/>
      <c r="W3" s="51"/>
    </row>
    <row r="5" spans="4:23" ht="17.399999999999999" x14ac:dyDescent="0.3">
      <c r="D5" s="91" t="s">
        <v>2433</v>
      </c>
      <c r="E5" s="91"/>
      <c r="F5" s="91"/>
      <c r="G5" s="91"/>
      <c r="H5" s="92" t="s">
        <v>2434</v>
      </c>
      <c r="I5" s="92"/>
      <c r="J5" s="92"/>
      <c r="K5" s="92"/>
      <c r="L5" s="93" t="s">
        <v>2435</v>
      </c>
      <c r="M5" s="93"/>
      <c r="N5" s="93"/>
      <c r="O5" s="93"/>
      <c r="P5" s="94" t="s">
        <v>2436</v>
      </c>
      <c r="Q5" s="94"/>
      <c r="R5" s="94"/>
      <c r="S5" s="94"/>
      <c r="T5" s="95" t="s">
        <v>2437</v>
      </c>
      <c r="U5" s="95"/>
      <c r="V5" s="95"/>
      <c r="W5" s="95"/>
    </row>
    <row r="6" spans="4:23" ht="18" x14ac:dyDescent="0.3">
      <c r="D6" s="96">
        <f>SUM(Data[Profit])</f>
        <v>611859.40000000037</v>
      </c>
      <c r="E6" s="96"/>
      <c r="F6" s="96"/>
      <c r="G6" s="96"/>
      <c r="H6" s="97">
        <f>COUNTA(Data[Order_ID])</f>
        <v>2000</v>
      </c>
      <c r="I6" s="97"/>
      <c r="J6" s="97"/>
      <c r="K6" s="97"/>
      <c r="L6" s="96">
        <f>AVERAGE(Data[Sales])</f>
        <v>2102.8399749999976</v>
      </c>
      <c r="M6" s="96"/>
      <c r="N6" s="96"/>
      <c r="O6" s="96"/>
      <c r="P6" s="97">
        <f>COUNTA(_xlfn.UNIQUE(Data[Customer_Name]))</f>
        <v>240</v>
      </c>
      <c r="Q6" s="97"/>
      <c r="R6" s="97"/>
      <c r="S6" s="97"/>
      <c r="T6" s="97">
        <f>SUM(Data[Quantity])</f>
        <v>20747</v>
      </c>
      <c r="U6" s="97"/>
      <c r="V6" s="97"/>
      <c r="W6" s="97"/>
    </row>
  </sheetData>
  <mergeCells count="11">
    <mergeCell ref="D6:G6"/>
    <mergeCell ref="H6:K6"/>
    <mergeCell ref="L6:O6"/>
    <mergeCell ref="P6:S6"/>
    <mergeCell ref="T6:W6"/>
    <mergeCell ref="D2:W3"/>
    <mergeCell ref="D5:G5"/>
    <mergeCell ref="H5:K5"/>
    <mergeCell ref="L5:O5"/>
    <mergeCell ref="P5:S5"/>
    <mergeCell ref="T5:W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C825E-ADD0-4CB8-A2CC-DF615BB17301}">
  <dimension ref="B2:Q2005"/>
  <sheetViews>
    <sheetView workbookViewId="0">
      <selection activeCell="D2" sqref="D2:P3"/>
    </sheetView>
  </sheetViews>
  <sheetFormatPr defaultRowHeight="14.4" x14ac:dyDescent="0.3"/>
  <cols>
    <col min="2" max="2" width="8.88671875" style="102"/>
    <col min="4" max="4" width="13" bestFit="1" customWidth="1"/>
    <col min="5" max="5" width="15.109375" bestFit="1" customWidth="1"/>
    <col min="6" max="6" width="14" bestFit="1" customWidth="1"/>
    <col min="7" max="7" width="11.21875" bestFit="1" customWidth="1"/>
    <col min="8" max="8" width="13.109375" bestFit="1" customWidth="1"/>
    <col min="9" max="9" width="17.21875" bestFit="1" customWidth="1"/>
    <col min="10" max="10" width="22.21875" bestFit="1" customWidth="1"/>
    <col min="11" max="11" width="9.6640625" bestFit="1" customWidth="1"/>
    <col min="12" max="13" width="12.77734375" bestFit="1" customWidth="1"/>
    <col min="14" max="14" width="10.109375" bestFit="1" customWidth="1"/>
    <col min="15" max="15" width="19.6640625" bestFit="1" customWidth="1"/>
    <col min="16" max="16" width="12.88671875" bestFit="1" customWidth="1"/>
    <col min="17" max="17" width="18.5546875" bestFit="1" customWidth="1"/>
  </cols>
  <sheetData>
    <row r="2" spans="4:17" x14ac:dyDescent="0.3">
      <c r="D2" s="52" t="s">
        <v>2313</v>
      </c>
      <c r="E2" s="53"/>
      <c r="F2" s="53"/>
      <c r="G2" s="53"/>
      <c r="H2" s="53"/>
      <c r="I2" s="53"/>
      <c r="J2" s="53"/>
      <c r="K2" s="53"/>
      <c r="L2" s="53"/>
      <c r="M2" s="53"/>
      <c r="N2" s="53"/>
      <c r="O2" s="53"/>
      <c r="P2" s="53"/>
    </row>
    <row r="3" spans="4:17" x14ac:dyDescent="0.3">
      <c r="D3" s="53"/>
      <c r="E3" s="53"/>
      <c r="F3" s="53"/>
      <c r="G3" s="53"/>
      <c r="H3" s="53"/>
      <c r="I3" s="53"/>
      <c r="J3" s="53"/>
      <c r="K3" s="53"/>
      <c r="L3" s="53"/>
      <c r="M3" s="53"/>
      <c r="N3" s="53"/>
      <c r="O3" s="53"/>
      <c r="P3" s="53"/>
    </row>
    <row r="5" spans="4:17" ht="15.6" x14ac:dyDescent="0.3">
      <c r="D5" s="5" t="s">
        <v>0</v>
      </c>
      <c r="E5" s="5" t="s">
        <v>2315</v>
      </c>
      <c r="F5" s="5" t="s">
        <v>1</v>
      </c>
      <c r="G5" s="5" t="s">
        <v>2</v>
      </c>
      <c r="H5" s="5" t="s">
        <v>3</v>
      </c>
      <c r="I5" s="5" t="s">
        <v>4</v>
      </c>
      <c r="J5" s="5" t="s">
        <v>5</v>
      </c>
      <c r="K5" s="5" t="s">
        <v>6</v>
      </c>
      <c r="L5" s="5" t="s">
        <v>7</v>
      </c>
      <c r="M5" s="5" t="s">
        <v>8</v>
      </c>
      <c r="N5" s="5" t="s">
        <v>9</v>
      </c>
      <c r="O5" s="5" t="s">
        <v>2068</v>
      </c>
      <c r="P5" s="5" t="s">
        <v>2069</v>
      </c>
      <c r="Q5" s="5" t="s">
        <v>2316</v>
      </c>
    </row>
    <row r="6" spans="4:17" x14ac:dyDescent="0.3">
      <c r="D6" s="1" t="s">
        <v>10</v>
      </c>
      <c r="E6" s="2">
        <v>45619</v>
      </c>
      <c r="F6" s="2">
        <v>45620</v>
      </c>
      <c r="G6" s="1" t="s">
        <v>11</v>
      </c>
      <c r="H6" s="1" t="s">
        <v>12</v>
      </c>
      <c r="I6" s="1" t="s">
        <v>13</v>
      </c>
      <c r="J6" s="1" t="s">
        <v>14</v>
      </c>
      <c r="K6" s="3">
        <v>1087.04</v>
      </c>
      <c r="L6" s="1">
        <v>4</v>
      </c>
      <c r="M6" s="1" t="s">
        <v>15</v>
      </c>
      <c r="N6" s="3">
        <v>295.89</v>
      </c>
      <c r="O6" s="1" t="s">
        <v>2070</v>
      </c>
      <c r="P6" s="1" t="s">
        <v>2071</v>
      </c>
      <c r="Q6" s="1" t="str">
        <f>TEXT((Data[[#This Row],[Order_Date]]), "mmm")</f>
        <v>Nov</v>
      </c>
    </row>
    <row r="7" spans="4:17" x14ac:dyDescent="0.3">
      <c r="D7" s="1" t="s">
        <v>16</v>
      </c>
      <c r="E7" s="2">
        <v>45594</v>
      </c>
      <c r="F7" s="2">
        <v>45600</v>
      </c>
      <c r="G7" s="1" t="s">
        <v>11</v>
      </c>
      <c r="H7" s="1" t="s">
        <v>17</v>
      </c>
      <c r="I7" s="1" t="s">
        <v>18</v>
      </c>
      <c r="J7" s="1" t="s">
        <v>19</v>
      </c>
      <c r="K7" s="3">
        <v>1122.48</v>
      </c>
      <c r="L7" s="1">
        <v>20</v>
      </c>
      <c r="M7" s="1" t="s">
        <v>20</v>
      </c>
      <c r="N7" s="3">
        <v>245.12</v>
      </c>
      <c r="O7" s="1" t="s">
        <v>2072</v>
      </c>
      <c r="P7" s="1" t="s">
        <v>2071</v>
      </c>
      <c r="Q7" s="1" t="str">
        <f>TEXT((Data[[#This Row],[Order_Date]]), "mmm")</f>
        <v>Oct</v>
      </c>
    </row>
    <row r="8" spans="4:17" x14ac:dyDescent="0.3">
      <c r="D8" s="1" t="s">
        <v>21</v>
      </c>
      <c r="E8" s="2">
        <v>45651</v>
      </c>
      <c r="F8" s="2">
        <v>45657</v>
      </c>
      <c r="G8" s="1" t="s">
        <v>22</v>
      </c>
      <c r="H8" s="1" t="s">
        <v>23</v>
      </c>
      <c r="I8" s="1" t="s">
        <v>24</v>
      </c>
      <c r="J8" s="1" t="s">
        <v>25</v>
      </c>
      <c r="K8" s="3">
        <v>3095.53</v>
      </c>
      <c r="L8" s="1">
        <v>6</v>
      </c>
      <c r="M8" s="1" t="s">
        <v>15</v>
      </c>
      <c r="N8" s="3">
        <v>547.24</v>
      </c>
      <c r="O8" s="1" t="s">
        <v>2073</v>
      </c>
      <c r="P8" s="1" t="s">
        <v>2071</v>
      </c>
      <c r="Q8" s="1" t="str">
        <f>TEXT((Data[[#This Row],[Order_Date]]), "mmm")</f>
        <v>Dec</v>
      </c>
    </row>
    <row r="9" spans="4:17" x14ac:dyDescent="0.3">
      <c r="D9" s="1" t="s">
        <v>26</v>
      </c>
      <c r="E9" s="2">
        <v>45402</v>
      </c>
      <c r="F9" s="2">
        <v>45407</v>
      </c>
      <c r="G9" s="1" t="s">
        <v>11</v>
      </c>
      <c r="H9" s="1" t="s">
        <v>17</v>
      </c>
      <c r="I9" s="1" t="s">
        <v>27</v>
      </c>
      <c r="J9" s="1" t="s">
        <v>28</v>
      </c>
      <c r="K9" s="3">
        <v>1596.17</v>
      </c>
      <c r="L9" s="1">
        <v>12</v>
      </c>
      <c r="M9" s="1" t="s">
        <v>29</v>
      </c>
      <c r="N9" s="3">
        <v>-206.47</v>
      </c>
      <c r="O9" s="1" t="s">
        <v>2074</v>
      </c>
      <c r="P9" s="1" t="s">
        <v>2071</v>
      </c>
      <c r="Q9" s="1" t="str">
        <f>TEXT((Data[[#This Row],[Order_Date]]), "mmm")</f>
        <v>Apr</v>
      </c>
    </row>
    <row r="10" spans="4:17" x14ac:dyDescent="0.3">
      <c r="D10" s="1" t="s">
        <v>30</v>
      </c>
      <c r="E10" s="2">
        <v>45527</v>
      </c>
      <c r="F10" s="2">
        <v>45528</v>
      </c>
      <c r="G10" s="1" t="s">
        <v>31</v>
      </c>
      <c r="H10" s="1" t="s">
        <v>17</v>
      </c>
      <c r="I10" s="1" t="s">
        <v>32</v>
      </c>
      <c r="J10" s="1" t="s">
        <v>33</v>
      </c>
      <c r="K10" s="3">
        <v>3360.27</v>
      </c>
      <c r="L10" s="1">
        <v>20</v>
      </c>
      <c r="M10" s="1" t="s">
        <v>34</v>
      </c>
      <c r="N10" s="3">
        <v>750.03</v>
      </c>
      <c r="O10" s="1" t="s">
        <v>2075</v>
      </c>
      <c r="P10" s="1" t="s">
        <v>2076</v>
      </c>
      <c r="Q10" s="1" t="str">
        <f>TEXT((Data[[#This Row],[Order_Date]]), "mmm")</f>
        <v>Aug</v>
      </c>
    </row>
    <row r="11" spans="4:17" x14ac:dyDescent="0.3">
      <c r="D11" s="1" t="s">
        <v>35</v>
      </c>
      <c r="E11" s="2">
        <v>45315</v>
      </c>
      <c r="F11" s="2">
        <v>45318</v>
      </c>
      <c r="G11" s="1" t="s">
        <v>36</v>
      </c>
      <c r="H11" s="1" t="s">
        <v>17</v>
      </c>
      <c r="I11" s="1" t="s">
        <v>18</v>
      </c>
      <c r="J11" s="1" t="s">
        <v>19</v>
      </c>
      <c r="K11" s="3">
        <v>1675.47</v>
      </c>
      <c r="L11" s="1">
        <v>15</v>
      </c>
      <c r="M11" s="1" t="s">
        <v>15</v>
      </c>
      <c r="N11" s="3">
        <v>503.03</v>
      </c>
      <c r="O11" s="1" t="s">
        <v>2077</v>
      </c>
      <c r="P11" s="1" t="s">
        <v>2078</v>
      </c>
      <c r="Q11" s="1" t="str">
        <f>TEXT((Data[[#This Row],[Order_Date]]), "mmm")</f>
        <v>Jan</v>
      </c>
    </row>
    <row r="12" spans="4:17" x14ac:dyDescent="0.3">
      <c r="D12" s="1" t="s">
        <v>37</v>
      </c>
      <c r="E12" s="2">
        <v>45473</v>
      </c>
      <c r="F12" s="2">
        <v>45476</v>
      </c>
      <c r="G12" s="1" t="s">
        <v>36</v>
      </c>
      <c r="H12" s="1" t="s">
        <v>12</v>
      </c>
      <c r="I12" s="1" t="s">
        <v>38</v>
      </c>
      <c r="J12" s="1" t="s">
        <v>39</v>
      </c>
      <c r="K12" s="3">
        <v>2631.17</v>
      </c>
      <c r="L12" s="1">
        <v>18</v>
      </c>
      <c r="M12" s="1" t="s">
        <v>15</v>
      </c>
      <c r="N12" s="3">
        <v>324.8</v>
      </c>
      <c r="O12" s="1" t="s">
        <v>2079</v>
      </c>
      <c r="P12" s="1" t="s">
        <v>2078</v>
      </c>
      <c r="Q12" s="1" t="str">
        <f>TEXT((Data[[#This Row],[Order_Date]]), "mmm")</f>
        <v>Jun</v>
      </c>
    </row>
    <row r="13" spans="4:17" x14ac:dyDescent="0.3">
      <c r="D13" s="1" t="s">
        <v>40</v>
      </c>
      <c r="E13" s="2">
        <v>45430</v>
      </c>
      <c r="F13" s="2">
        <v>45433</v>
      </c>
      <c r="G13" s="1" t="s">
        <v>36</v>
      </c>
      <c r="H13" s="1" t="s">
        <v>17</v>
      </c>
      <c r="I13" s="1" t="s">
        <v>18</v>
      </c>
      <c r="J13" s="1" t="s">
        <v>19</v>
      </c>
      <c r="K13" s="3">
        <v>3268.92</v>
      </c>
      <c r="L13" s="1">
        <v>13</v>
      </c>
      <c r="M13" s="1" t="s">
        <v>34</v>
      </c>
      <c r="N13" s="3">
        <v>228.36</v>
      </c>
      <c r="O13" s="1" t="s">
        <v>2080</v>
      </c>
      <c r="P13" s="1" t="s">
        <v>2071</v>
      </c>
      <c r="Q13" s="1" t="str">
        <f>TEXT((Data[[#This Row],[Order_Date]]), "mmm")</f>
        <v>May</v>
      </c>
    </row>
    <row r="14" spans="4:17" x14ac:dyDescent="0.3">
      <c r="D14" s="1" t="s">
        <v>41</v>
      </c>
      <c r="E14" s="2">
        <v>45582</v>
      </c>
      <c r="F14" s="2">
        <v>45587</v>
      </c>
      <c r="G14" s="1" t="s">
        <v>22</v>
      </c>
      <c r="H14" s="1" t="s">
        <v>12</v>
      </c>
      <c r="I14" s="1" t="s">
        <v>42</v>
      </c>
      <c r="J14" s="1" t="s">
        <v>43</v>
      </c>
      <c r="K14" s="3">
        <v>3567.56</v>
      </c>
      <c r="L14" s="1">
        <v>15</v>
      </c>
      <c r="M14" s="1" t="s">
        <v>44</v>
      </c>
      <c r="N14" s="3">
        <v>461.87</v>
      </c>
      <c r="O14" s="1" t="s">
        <v>2081</v>
      </c>
      <c r="P14" s="1" t="s">
        <v>2071</v>
      </c>
      <c r="Q14" s="1" t="str">
        <f>TEXT((Data[[#This Row],[Order_Date]]), "mmm")</f>
        <v>Oct</v>
      </c>
    </row>
    <row r="15" spans="4:17" x14ac:dyDescent="0.3">
      <c r="D15" s="1" t="s">
        <v>45</v>
      </c>
      <c r="E15" s="2">
        <v>45579</v>
      </c>
      <c r="F15" s="2">
        <v>45583</v>
      </c>
      <c r="G15" s="1" t="s">
        <v>31</v>
      </c>
      <c r="H15" s="1" t="s">
        <v>12</v>
      </c>
      <c r="I15" s="1" t="s">
        <v>42</v>
      </c>
      <c r="J15" s="1" t="s">
        <v>46</v>
      </c>
      <c r="K15" s="3">
        <v>1072.45</v>
      </c>
      <c r="L15" s="1">
        <v>5</v>
      </c>
      <c r="M15" s="1" t="s">
        <v>29</v>
      </c>
      <c r="N15" s="3">
        <v>212.4</v>
      </c>
      <c r="O15" s="1" t="s">
        <v>2082</v>
      </c>
      <c r="P15" s="1" t="s">
        <v>2076</v>
      </c>
      <c r="Q15" s="1" t="str">
        <f>TEXT((Data[[#This Row],[Order_Date]]), "mmm")</f>
        <v>Oct</v>
      </c>
    </row>
    <row r="16" spans="4:17" x14ac:dyDescent="0.3">
      <c r="D16" s="1" t="s">
        <v>47</v>
      </c>
      <c r="E16" s="2">
        <v>45348</v>
      </c>
      <c r="F16" s="2">
        <v>45350</v>
      </c>
      <c r="G16" s="1" t="s">
        <v>22</v>
      </c>
      <c r="H16" s="1" t="s">
        <v>12</v>
      </c>
      <c r="I16" s="1" t="s">
        <v>42</v>
      </c>
      <c r="J16" s="1" t="s">
        <v>48</v>
      </c>
      <c r="K16" s="3">
        <v>1692.88</v>
      </c>
      <c r="L16" s="1">
        <v>20</v>
      </c>
      <c r="M16" s="1" t="s">
        <v>49</v>
      </c>
      <c r="N16" s="3">
        <v>353.36</v>
      </c>
      <c r="O16" s="1" t="s">
        <v>2083</v>
      </c>
      <c r="P16" s="1" t="s">
        <v>2076</v>
      </c>
      <c r="Q16" s="1" t="str">
        <f>TEXT((Data[[#This Row],[Order_Date]]), "mmm")</f>
        <v>Feb</v>
      </c>
    </row>
    <row r="17" spans="4:17" x14ac:dyDescent="0.3">
      <c r="D17" s="1" t="s">
        <v>50</v>
      </c>
      <c r="E17" s="2">
        <v>45297</v>
      </c>
      <c r="F17" s="2">
        <v>45298</v>
      </c>
      <c r="G17" s="1" t="s">
        <v>36</v>
      </c>
      <c r="H17" s="1" t="s">
        <v>12</v>
      </c>
      <c r="I17" s="1" t="s">
        <v>13</v>
      </c>
      <c r="J17" s="1" t="s">
        <v>51</v>
      </c>
      <c r="K17" s="3">
        <v>1350.63</v>
      </c>
      <c r="L17" s="1">
        <v>6</v>
      </c>
      <c r="M17" s="1" t="s">
        <v>49</v>
      </c>
      <c r="N17" s="3">
        <v>68.849999999999994</v>
      </c>
      <c r="O17" s="1" t="s">
        <v>2084</v>
      </c>
      <c r="P17" s="1" t="s">
        <v>2071</v>
      </c>
      <c r="Q17" s="1" t="str">
        <f>TEXT((Data[[#This Row],[Order_Date]]), "mmm")</f>
        <v>Jan</v>
      </c>
    </row>
    <row r="18" spans="4:17" x14ac:dyDescent="0.3">
      <c r="D18" s="1" t="s">
        <v>52</v>
      </c>
      <c r="E18" s="2">
        <v>45426</v>
      </c>
      <c r="F18" s="2">
        <v>45428</v>
      </c>
      <c r="G18" s="1" t="s">
        <v>11</v>
      </c>
      <c r="H18" s="1" t="s">
        <v>12</v>
      </c>
      <c r="I18" s="1" t="s">
        <v>13</v>
      </c>
      <c r="J18" s="1" t="s">
        <v>14</v>
      </c>
      <c r="K18" s="3">
        <v>823.15</v>
      </c>
      <c r="L18" s="1">
        <v>6</v>
      </c>
      <c r="M18" s="1" t="s">
        <v>29</v>
      </c>
      <c r="N18" s="3">
        <v>276.62</v>
      </c>
      <c r="O18" s="1" t="s">
        <v>2085</v>
      </c>
      <c r="P18" s="1" t="s">
        <v>2076</v>
      </c>
      <c r="Q18" s="1" t="str">
        <f>TEXT((Data[[#This Row],[Order_Date]]), "mmm")</f>
        <v>May</v>
      </c>
    </row>
    <row r="19" spans="4:17" x14ac:dyDescent="0.3">
      <c r="D19" s="1" t="s">
        <v>53</v>
      </c>
      <c r="E19" s="2">
        <v>45292</v>
      </c>
      <c r="F19" s="2">
        <v>45297</v>
      </c>
      <c r="G19" s="1" t="s">
        <v>31</v>
      </c>
      <c r="H19" s="1" t="s">
        <v>17</v>
      </c>
      <c r="I19" s="1" t="s">
        <v>18</v>
      </c>
      <c r="J19" s="1" t="s">
        <v>54</v>
      </c>
      <c r="K19" s="3">
        <v>3545.21</v>
      </c>
      <c r="L19" s="1">
        <v>10</v>
      </c>
      <c r="M19" s="1" t="s">
        <v>44</v>
      </c>
      <c r="N19" s="3">
        <v>238.87</v>
      </c>
      <c r="O19" s="1" t="s">
        <v>2086</v>
      </c>
      <c r="P19" s="1" t="s">
        <v>2076</v>
      </c>
      <c r="Q19" s="1" t="str">
        <f>TEXT((Data[[#This Row],[Order_Date]]), "mmm")</f>
        <v>Jan</v>
      </c>
    </row>
    <row r="20" spans="4:17" x14ac:dyDescent="0.3">
      <c r="D20" s="1" t="s">
        <v>55</v>
      </c>
      <c r="E20" s="2">
        <v>45332</v>
      </c>
      <c r="F20" s="2">
        <v>45333</v>
      </c>
      <c r="G20" s="1" t="s">
        <v>31</v>
      </c>
      <c r="H20" s="1" t="s">
        <v>17</v>
      </c>
      <c r="I20" s="1" t="s">
        <v>32</v>
      </c>
      <c r="J20" s="1" t="s">
        <v>56</v>
      </c>
      <c r="K20" s="3">
        <v>731.47</v>
      </c>
      <c r="L20" s="1">
        <v>16</v>
      </c>
      <c r="M20" s="1" t="s">
        <v>29</v>
      </c>
      <c r="N20" s="3">
        <v>72.81</v>
      </c>
      <c r="O20" s="1" t="s">
        <v>2087</v>
      </c>
      <c r="P20" s="1" t="s">
        <v>2071</v>
      </c>
      <c r="Q20" s="1" t="str">
        <f>TEXT((Data[[#This Row],[Order_Date]]), "mmm")</f>
        <v>Feb</v>
      </c>
    </row>
    <row r="21" spans="4:17" x14ac:dyDescent="0.3">
      <c r="D21" s="1" t="s">
        <v>57</v>
      </c>
      <c r="E21" s="2">
        <v>45602</v>
      </c>
      <c r="F21" s="2">
        <v>45608</v>
      </c>
      <c r="G21" s="1" t="s">
        <v>22</v>
      </c>
      <c r="H21" s="1" t="s">
        <v>12</v>
      </c>
      <c r="I21" s="1" t="s">
        <v>58</v>
      </c>
      <c r="J21" s="1" t="s">
        <v>59</v>
      </c>
      <c r="K21" s="3">
        <v>1418.94</v>
      </c>
      <c r="L21" s="1">
        <v>12</v>
      </c>
      <c r="M21" s="1" t="s">
        <v>49</v>
      </c>
      <c r="N21" s="3">
        <v>453.9</v>
      </c>
      <c r="O21" s="1" t="s">
        <v>2088</v>
      </c>
      <c r="P21" s="1" t="s">
        <v>2078</v>
      </c>
      <c r="Q21" s="1" t="str">
        <f>TEXT((Data[[#This Row],[Order_Date]]), "mmm")</f>
        <v>Nov</v>
      </c>
    </row>
    <row r="22" spans="4:17" x14ac:dyDescent="0.3">
      <c r="D22" s="1" t="s">
        <v>60</v>
      </c>
      <c r="E22" s="2">
        <v>45418</v>
      </c>
      <c r="F22" s="2">
        <v>45421</v>
      </c>
      <c r="G22" s="1" t="s">
        <v>11</v>
      </c>
      <c r="H22" s="1" t="s">
        <v>23</v>
      </c>
      <c r="I22" s="1" t="s">
        <v>61</v>
      </c>
      <c r="J22" s="1" t="s">
        <v>62</v>
      </c>
      <c r="K22" s="3">
        <v>2327.21</v>
      </c>
      <c r="L22" s="1">
        <v>19</v>
      </c>
      <c r="M22" s="1" t="s">
        <v>44</v>
      </c>
      <c r="N22" s="3">
        <v>121.38</v>
      </c>
      <c r="O22" s="1" t="s">
        <v>2089</v>
      </c>
      <c r="P22" s="1" t="s">
        <v>2078</v>
      </c>
      <c r="Q22" s="1" t="str">
        <f>TEXT((Data[[#This Row],[Order_Date]]), "mmm")</f>
        <v>May</v>
      </c>
    </row>
    <row r="23" spans="4:17" x14ac:dyDescent="0.3">
      <c r="D23" s="1" t="s">
        <v>63</v>
      </c>
      <c r="E23" s="2">
        <v>45322</v>
      </c>
      <c r="F23" s="2">
        <v>45325</v>
      </c>
      <c r="G23" s="1" t="s">
        <v>11</v>
      </c>
      <c r="H23" s="1" t="s">
        <v>17</v>
      </c>
      <c r="I23" s="1" t="s">
        <v>27</v>
      </c>
      <c r="J23" s="1" t="s">
        <v>28</v>
      </c>
      <c r="K23" s="3">
        <v>2178.09</v>
      </c>
      <c r="L23" s="1">
        <v>9</v>
      </c>
      <c r="M23" s="1" t="s">
        <v>15</v>
      </c>
      <c r="N23" s="3">
        <v>426.09</v>
      </c>
      <c r="O23" s="1" t="s">
        <v>2090</v>
      </c>
      <c r="P23" s="1" t="s">
        <v>2076</v>
      </c>
      <c r="Q23" s="1" t="str">
        <f>TEXT((Data[[#This Row],[Order_Date]]), "mmm")</f>
        <v>Jan</v>
      </c>
    </row>
    <row r="24" spans="4:17" x14ac:dyDescent="0.3">
      <c r="D24" s="1" t="s">
        <v>64</v>
      </c>
      <c r="E24" s="2">
        <v>45584</v>
      </c>
      <c r="F24" s="2">
        <v>45591</v>
      </c>
      <c r="G24" s="1" t="s">
        <v>22</v>
      </c>
      <c r="H24" s="1" t="s">
        <v>23</v>
      </c>
      <c r="I24" s="1" t="s">
        <v>65</v>
      </c>
      <c r="J24" s="1" t="s">
        <v>66</v>
      </c>
      <c r="K24" s="3">
        <v>603.72</v>
      </c>
      <c r="L24" s="1">
        <v>14</v>
      </c>
      <c r="M24" s="1" t="s">
        <v>34</v>
      </c>
      <c r="N24" s="3">
        <v>106.9</v>
      </c>
      <c r="O24" s="1" t="s">
        <v>2091</v>
      </c>
      <c r="P24" s="1" t="s">
        <v>2076</v>
      </c>
      <c r="Q24" s="1" t="str">
        <f>TEXT((Data[[#This Row],[Order_Date]]), "mmm")</f>
        <v>Oct</v>
      </c>
    </row>
    <row r="25" spans="4:17" x14ac:dyDescent="0.3">
      <c r="D25" s="1" t="s">
        <v>67</v>
      </c>
      <c r="E25" s="2">
        <v>45319</v>
      </c>
      <c r="F25" s="2">
        <v>45320</v>
      </c>
      <c r="G25" s="1" t="s">
        <v>11</v>
      </c>
      <c r="H25" s="1" t="s">
        <v>23</v>
      </c>
      <c r="I25" s="1" t="s">
        <v>24</v>
      </c>
      <c r="J25" s="1" t="s">
        <v>25</v>
      </c>
      <c r="K25" s="3">
        <v>1182.46</v>
      </c>
      <c r="L25" s="1">
        <v>7</v>
      </c>
      <c r="M25" s="1" t="s">
        <v>29</v>
      </c>
      <c r="N25" s="3">
        <v>218.26</v>
      </c>
      <c r="O25" s="1" t="s">
        <v>2092</v>
      </c>
      <c r="P25" s="1" t="s">
        <v>2078</v>
      </c>
      <c r="Q25" s="1" t="str">
        <f>TEXT((Data[[#This Row],[Order_Date]]), "mmm")</f>
        <v>Jan</v>
      </c>
    </row>
    <row r="26" spans="4:17" x14ac:dyDescent="0.3">
      <c r="D26" s="1" t="s">
        <v>68</v>
      </c>
      <c r="E26" s="2">
        <v>45434</v>
      </c>
      <c r="F26" s="2">
        <v>45441</v>
      </c>
      <c r="G26" s="1" t="s">
        <v>22</v>
      </c>
      <c r="H26" s="1" t="s">
        <v>17</v>
      </c>
      <c r="I26" s="1" t="s">
        <v>27</v>
      </c>
      <c r="J26" s="1" t="s">
        <v>28</v>
      </c>
      <c r="K26" s="3">
        <v>439.71</v>
      </c>
      <c r="L26" s="1">
        <v>18</v>
      </c>
      <c r="M26" s="1" t="s">
        <v>20</v>
      </c>
      <c r="N26" s="3">
        <v>149.81</v>
      </c>
      <c r="O26" s="1" t="s">
        <v>2093</v>
      </c>
      <c r="P26" s="1" t="s">
        <v>2078</v>
      </c>
      <c r="Q26" s="1" t="str">
        <f>TEXT((Data[[#This Row],[Order_Date]]), "mmm")</f>
        <v>May</v>
      </c>
    </row>
    <row r="27" spans="4:17" x14ac:dyDescent="0.3">
      <c r="D27" s="1" t="s">
        <v>69</v>
      </c>
      <c r="E27" s="2">
        <v>45413</v>
      </c>
      <c r="F27" s="2">
        <v>45415</v>
      </c>
      <c r="G27" s="1" t="s">
        <v>31</v>
      </c>
      <c r="H27" s="1" t="s">
        <v>23</v>
      </c>
      <c r="I27" s="1" t="s">
        <v>65</v>
      </c>
      <c r="J27" s="1" t="s">
        <v>66</v>
      </c>
      <c r="K27" s="3">
        <v>3492.44</v>
      </c>
      <c r="L27" s="1">
        <v>2</v>
      </c>
      <c r="M27" s="1" t="s">
        <v>44</v>
      </c>
      <c r="N27" s="3">
        <v>571.67999999999995</v>
      </c>
      <c r="O27" s="1" t="s">
        <v>2079</v>
      </c>
      <c r="P27" s="1" t="s">
        <v>2078</v>
      </c>
      <c r="Q27" s="1" t="str">
        <f>TEXT((Data[[#This Row],[Order_Date]]), "mmm")</f>
        <v>May</v>
      </c>
    </row>
    <row r="28" spans="4:17" x14ac:dyDescent="0.3">
      <c r="D28" s="1" t="s">
        <v>70</v>
      </c>
      <c r="E28" s="2">
        <v>45427</v>
      </c>
      <c r="F28" s="2">
        <v>45434</v>
      </c>
      <c r="G28" s="1" t="s">
        <v>36</v>
      </c>
      <c r="H28" s="1" t="s">
        <v>23</v>
      </c>
      <c r="I28" s="1" t="s">
        <v>65</v>
      </c>
      <c r="J28" s="1" t="s">
        <v>66</v>
      </c>
      <c r="K28" s="3">
        <v>962.12</v>
      </c>
      <c r="L28" s="1">
        <v>7</v>
      </c>
      <c r="M28" s="1" t="s">
        <v>20</v>
      </c>
      <c r="N28" s="3">
        <v>215.28</v>
      </c>
      <c r="O28" s="1" t="s">
        <v>2094</v>
      </c>
      <c r="P28" s="1" t="s">
        <v>2071</v>
      </c>
      <c r="Q28" s="1" t="str">
        <f>TEXT((Data[[#This Row],[Order_Date]]), "mmm")</f>
        <v>May</v>
      </c>
    </row>
    <row r="29" spans="4:17" x14ac:dyDescent="0.3">
      <c r="D29" s="1" t="s">
        <v>71</v>
      </c>
      <c r="E29" s="2">
        <v>45452</v>
      </c>
      <c r="F29" s="2">
        <v>45452</v>
      </c>
      <c r="G29" s="1" t="s">
        <v>11</v>
      </c>
      <c r="H29" s="1" t="s">
        <v>12</v>
      </c>
      <c r="I29" s="1" t="s">
        <v>42</v>
      </c>
      <c r="J29" s="1" t="s">
        <v>72</v>
      </c>
      <c r="K29" s="3">
        <v>463.3</v>
      </c>
      <c r="L29" s="1">
        <v>17</v>
      </c>
      <c r="M29" s="1" t="s">
        <v>20</v>
      </c>
      <c r="N29" s="3">
        <v>-141.49</v>
      </c>
      <c r="O29" s="1" t="s">
        <v>2095</v>
      </c>
      <c r="P29" s="1" t="s">
        <v>2071</v>
      </c>
      <c r="Q29" s="1" t="str">
        <f>TEXT((Data[[#This Row],[Order_Date]]), "mmm")</f>
        <v>Jun</v>
      </c>
    </row>
    <row r="30" spans="4:17" x14ac:dyDescent="0.3">
      <c r="D30" s="1" t="s">
        <v>73</v>
      </c>
      <c r="E30" s="2">
        <v>45326</v>
      </c>
      <c r="F30" s="2">
        <v>45329</v>
      </c>
      <c r="G30" s="1" t="s">
        <v>31</v>
      </c>
      <c r="H30" s="1" t="s">
        <v>17</v>
      </c>
      <c r="I30" s="1" t="s">
        <v>32</v>
      </c>
      <c r="J30" s="1" t="s">
        <v>56</v>
      </c>
      <c r="K30" s="3">
        <v>2420.9499999999998</v>
      </c>
      <c r="L30" s="1">
        <v>2</v>
      </c>
      <c r="M30" s="1" t="s">
        <v>29</v>
      </c>
      <c r="N30" s="3">
        <v>180.59</v>
      </c>
      <c r="O30" s="1" t="s">
        <v>2096</v>
      </c>
      <c r="P30" s="1" t="s">
        <v>2071</v>
      </c>
      <c r="Q30" s="1" t="str">
        <f>TEXT((Data[[#This Row],[Order_Date]]), "mmm")</f>
        <v>Feb</v>
      </c>
    </row>
    <row r="31" spans="4:17" x14ac:dyDescent="0.3">
      <c r="D31" s="1" t="s">
        <v>74</v>
      </c>
      <c r="E31" s="2">
        <v>45581</v>
      </c>
      <c r="F31" s="2">
        <v>45586</v>
      </c>
      <c r="G31" s="1" t="s">
        <v>36</v>
      </c>
      <c r="H31" s="1" t="s">
        <v>17</v>
      </c>
      <c r="I31" s="1" t="s">
        <v>32</v>
      </c>
      <c r="J31" s="1" t="s">
        <v>33</v>
      </c>
      <c r="K31" s="3">
        <v>1145.07</v>
      </c>
      <c r="L31" s="1">
        <v>13</v>
      </c>
      <c r="M31" s="1" t="s">
        <v>44</v>
      </c>
      <c r="N31" s="3">
        <v>287.99</v>
      </c>
      <c r="O31" s="1" t="s">
        <v>2097</v>
      </c>
      <c r="P31" s="1" t="s">
        <v>2071</v>
      </c>
      <c r="Q31" s="1" t="str">
        <f>TEXT((Data[[#This Row],[Order_Date]]), "mmm")</f>
        <v>Oct</v>
      </c>
    </row>
    <row r="32" spans="4:17" x14ac:dyDescent="0.3">
      <c r="D32" s="1" t="s">
        <v>75</v>
      </c>
      <c r="E32" s="2">
        <v>45453</v>
      </c>
      <c r="F32" s="2">
        <v>45454</v>
      </c>
      <c r="G32" s="1" t="s">
        <v>11</v>
      </c>
      <c r="H32" s="1" t="s">
        <v>23</v>
      </c>
      <c r="I32" s="1" t="s">
        <v>61</v>
      </c>
      <c r="J32" s="1" t="s">
        <v>76</v>
      </c>
      <c r="K32" s="3">
        <v>2266.13</v>
      </c>
      <c r="L32" s="1">
        <v>17</v>
      </c>
      <c r="M32" s="1" t="s">
        <v>34</v>
      </c>
      <c r="N32" s="3">
        <v>203.36</v>
      </c>
      <c r="O32" s="1" t="s">
        <v>2084</v>
      </c>
      <c r="P32" s="1" t="s">
        <v>2076</v>
      </c>
      <c r="Q32" s="1" t="str">
        <f>TEXT((Data[[#This Row],[Order_Date]]), "mmm")</f>
        <v>Jun</v>
      </c>
    </row>
    <row r="33" spans="4:17" x14ac:dyDescent="0.3">
      <c r="D33" s="1" t="s">
        <v>77</v>
      </c>
      <c r="E33" s="2">
        <v>45327</v>
      </c>
      <c r="F33" s="2">
        <v>45330</v>
      </c>
      <c r="G33" s="1" t="s">
        <v>36</v>
      </c>
      <c r="H33" s="1" t="s">
        <v>23</v>
      </c>
      <c r="I33" s="1" t="s">
        <v>78</v>
      </c>
      <c r="J33" s="1" t="s">
        <v>79</v>
      </c>
      <c r="K33" s="3">
        <v>3376.54</v>
      </c>
      <c r="L33" s="1">
        <v>10</v>
      </c>
      <c r="M33" s="1" t="s">
        <v>29</v>
      </c>
      <c r="N33" s="3">
        <v>1165.43</v>
      </c>
      <c r="O33" s="1" t="s">
        <v>2098</v>
      </c>
      <c r="P33" s="1" t="s">
        <v>2071</v>
      </c>
      <c r="Q33" s="1" t="str">
        <f>TEXT((Data[[#This Row],[Order_Date]]), "mmm")</f>
        <v>Feb</v>
      </c>
    </row>
    <row r="34" spans="4:17" x14ac:dyDescent="0.3">
      <c r="D34" s="1" t="s">
        <v>80</v>
      </c>
      <c r="E34" s="2">
        <v>45562</v>
      </c>
      <c r="F34" s="2">
        <v>45562</v>
      </c>
      <c r="G34" s="1" t="s">
        <v>36</v>
      </c>
      <c r="H34" s="1" t="s">
        <v>12</v>
      </c>
      <c r="I34" s="1" t="s">
        <v>38</v>
      </c>
      <c r="J34" s="1" t="s">
        <v>81</v>
      </c>
      <c r="K34" s="3">
        <v>1241.75</v>
      </c>
      <c r="L34" s="1">
        <v>4</v>
      </c>
      <c r="M34" s="1" t="s">
        <v>15</v>
      </c>
      <c r="N34" s="3">
        <v>268.18</v>
      </c>
      <c r="O34" s="1" t="s">
        <v>2099</v>
      </c>
      <c r="P34" s="1" t="s">
        <v>2078</v>
      </c>
      <c r="Q34" s="1" t="str">
        <f>TEXT((Data[[#This Row],[Order_Date]]), "mmm")</f>
        <v>Sep</v>
      </c>
    </row>
    <row r="35" spans="4:17" x14ac:dyDescent="0.3">
      <c r="D35" s="1" t="s">
        <v>82</v>
      </c>
      <c r="E35" s="2">
        <v>45601</v>
      </c>
      <c r="F35" s="2">
        <v>45604</v>
      </c>
      <c r="G35" s="1" t="s">
        <v>36</v>
      </c>
      <c r="H35" s="1" t="s">
        <v>17</v>
      </c>
      <c r="I35" s="1" t="s">
        <v>32</v>
      </c>
      <c r="J35" s="1" t="s">
        <v>33</v>
      </c>
      <c r="K35" s="3">
        <v>2145.2800000000002</v>
      </c>
      <c r="L35" s="1">
        <v>9</v>
      </c>
      <c r="M35" s="1" t="s">
        <v>20</v>
      </c>
      <c r="N35" s="3">
        <v>166.67</v>
      </c>
      <c r="O35" s="1" t="s">
        <v>2080</v>
      </c>
      <c r="P35" s="1" t="s">
        <v>2071</v>
      </c>
      <c r="Q35" s="1" t="str">
        <f>TEXT((Data[[#This Row],[Order_Date]]), "mmm")</f>
        <v>Nov</v>
      </c>
    </row>
    <row r="36" spans="4:17" x14ac:dyDescent="0.3">
      <c r="D36" s="1" t="s">
        <v>83</v>
      </c>
      <c r="E36" s="2">
        <v>45433</v>
      </c>
      <c r="F36" s="2">
        <v>45433</v>
      </c>
      <c r="G36" s="1" t="s">
        <v>11</v>
      </c>
      <c r="H36" s="1" t="s">
        <v>23</v>
      </c>
      <c r="I36" s="1" t="s">
        <v>78</v>
      </c>
      <c r="J36" s="1" t="s">
        <v>79</v>
      </c>
      <c r="K36" s="3">
        <v>855.93</v>
      </c>
      <c r="L36" s="1">
        <v>15</v>
      </c>
      <c r="M36" s="1" t="s">
        <v>29</v>
      </c>
      <c r="N36" s="3">
        <v>224</v>
      </c>
      <c r="O36" s="1" t="s">
        <v>2100</v>
      </c>
      <c r="P36" s="1" t="s">
        <v>2078</v>
      </c>
      <c r="Q36" s="1" t="str">
        <f>TEXT((Data[[#This Row],[Order_Date]]), "mmm")</f>
        <v>May</v>
      </c>
    </row>
    <row r="37" spans="4:17" x14ac:dyDescent="0.3">
      <c r="D37" s="1" t="s">
        <v>84</v>
      </c>
      <c r="E37" s="2">
        <v>45349</v>
      </c>
      <c r="F37" s="2">
        <v>45350</v>
      </c>
      <c r="G37" s="1" t="s">
        <v>22</v>
      </c>
      <c r="H37" s="1" t="s">
        <v>12</v>
      </c>
      <c r="I37" s="1" t="s">
        <v>38</v>
      </c>
      <c r="J37" s="1" t="s">
        <v>85</v>
      </c>
      <c r="K37" s="3">
        <v>2434.41</v>
      </c>
      <c r="L37" s="1">
        <v>5</v>
      </c>
      <c r="M37" s="1" t="s">
        <v>49</v>
      </c>
      <c r="N37" s="3">
        <v>214.8</v>
      </c>
      <c r="O37" s="1" t="s">
        <v>2101</v>
      </c>
      <c r="P37" s="1" t="s">
        <v>2076</v>
      </c>
      <c r="Q37" s="1" t="str">
        <f>TEXT((Data[[#This Row],[Order_Date]]), "mmm")</f>
        <v>Feb</v>
      </c>
    </row>
    <row r="38" spans="4:17" x14ac:dyDescent="0.3">
      <c r="D38" s="1" t="s">
        <v>86</v>
      </c>
      <c r="E38" s="2">
        <v>45312</v>
      </c>
      <c r="F38" s="2">
        <v>45317</v>
      </c>
      <c r="G38" s="1" t="s">
        <v>22</v>
      </c>
      <c r="H38" s="1" t="s">
        <v>12</v>
      </c>
      <c r="I38" s="1" t="s">
        <v>58</v>
      </c>
      <c r="J38" s="1" t="s">
        <v>59</v>
      </c>
      <c r="K38" s="3">
        <v>635.48</v>
      </c>
      <c r="L38" s="1">
        <v>18</v>
      </c>
      <c r="M38" s="1" t="s">
        <v>49</v>
      </c>
      <c r="N38" s="3">
        <v>217.43</v>
      </c>
      <c r="O38" s="1" t="s">
        <v>2102</v>
      </c>
      <c r="P38" s="1" t="s">
        <v>2076</v>
      </c>
      <c r="Q38" s="1" t="str">
        <f>TEXT((Data[[#This Row],[Order_Date]]), "mmm")</f>
        <v>Jan</v>
      </c>
    </row>
    <row r="39" spans="4:17" x14ac:dyDescent="0.3">
      <c r="D39" s="1" t="s">
        <v>87</v>
      </c>
      <c r="E39" s="2">
        <v>45413</v>
      </c>
      <c r="F39" s="2">
        <v>45415</v>
      </c>
      <c r="G39" s="1" t="s">
        <v>22</v>
      </c>
      <c r="H39" s="1" t="s">
        <v>23</v>
      </c>
      <c r="I39" s="1" t="s">
        <v>61</v>
      </c>
      <c r="J39" s="1" t="s">
        <v>76</v>
      </c>
      <c r="K39" s="3">
        <v>3012.12</v>
      </c>
      <c r="L39" s="1">
        <v>11</v>
      </c>
      <c r="M39" s="1" t="s">
        <v>49</v>
      </c>
      <c r="N39" s="3">
        <v>875.53</v>
      </c>
      <c r="O39" s="1" t="s">
        <v>2103</v>
      </c>
      <c r="P39" s="1" t="s">
        <v>2076</v>
      </c>
      <c r="Q39" s="1" t="str">
        <f>TEXT((Data[[#This Row],[Order_Date]]), "mmm")</f>
        <v>May</v>
      </c>
    </row>
    <row r="40" spans="4:17" x14ac:dyDescent="0.3">
      <c r="D40" s="1" t="s">
        <v>88</v>
      </c>
      <c r="E40" s="2">
        <v>45419</v>
      </c>
      <c r="F40" s="2">
        <v>45423</v>
      </c>
      <c r="G40" s="1" t="s">
        <v>22</v>
      </c>
      <c r="H40" s="1" t="s">
        <v>12</v>
      </c>
      <c r="I40" s="1" t="s">
        <v>38</v>
      </c>
      <c r="J40" s="1" t="s">
        <v>85</v>
      </c>
      <c r="K40" s="3">
        <v>3520.63</v>
      </c>
      <c r="L40" s="1">
        <v>16</v>
      </c>
      <c r="M40" s="1" t="s">
        <v>44</v>
      </c>
      <c r="N40" s="3">
        <v>386.82</v>
      </c>
      <c r="O40" s="1" t="s">
        <v>2104</v>
      </c>
      <c r="P40" s="1" t="s">
        <v>2071</v>
      </c>
      <c r="Q40" s="1" t="str">
        <f>TEXT((Data[[#This Row],[Order_Date]]), "mmm")</f>
        <v>May</v>
      </c>
    </row>
    <row r="41" spans="4:17" x14ac:dyDescent="0.3">
      <c r="D41" s="1" t="s">
        <v>89</v>
      </c>
      <c r="E41" s="2">
        <v>45471</v>
      </c>
      <c r="F41" s="2">
        <v>45475</v>
      </c>
      <c r="G41" s="1" t="s">
        <v>22</v>
      </c>
      <c r="H41" s="1" t="s">
        <v>17</v>
      </c>
      <c r="I41" s="1" t="s">
        <v>18</v>
      </c>
      <c r="J41" s="1" t="s">
        <v>90</v>
      </c>
      <c r="K41" s="3">
        <v>974.24</v>
      </c>
      <c r="L41" s="1">
        <v>11</v>
      </c>
      <c r="M41" s="1" t="s">
        <v>34</v>
      </c>
      <c r="N41" s="3">
        <v>301.33999999999997</v>
      </c>
      <c r="O41" s="1" t="s">
        <v>2105</v>
      </c>
      <c r="P41" s="1" t="s">
        <v>2076</v>
      </c>
      <c r="Q41" s="1" t="str">
        <f>TEXT((Data[[#This Row],[Order_Date]]), "mmm")</f>
        <v>Jun</v>
      </c>
    </row>
    <row r="42" spans="4:17" x14ac:dyDescent="0.3">
      <c r="D42" s="1" t="s">
        <v>91</v>
      </c>
      <c r="E42" s="2">
        <v>45434</v>
      </c>
      <c r="F42" s="2">
        <v>45439</v>
      </c>
      <c r="G42" s="1" t="s">
        <v>31</v>
      </c>
      <c r="H42" s="1" t="s">
        <v>12</v>
      </c>
      <c r="I42" s="1" t="s">
        <v>13</v>
      </c>
      <c r="J42" s="1" t="s">
        <v>51</v>
      </c>
      <c r="K42" s="3">
        <v>682.53</v>
      </c>
      <c r="L42" s="1">
        <v>9</v>
      </c>
      <c r="M42" s="1" t="s">
        <v>44</v>
      </c>
      <c r="N42" s="3">
        <v>153.01</v>
      </c>
      <c r="O42" s="1" t="s">
        <v>2106</v>
      </c>
      <c r="P42" s="1" t="s">
        <v>2076</v>
      </c>
      <c r="Q42" s="1" t="str">
        <f>TEXT((Data[[#This Row],[Order_Date]]), "mmm")</f>
        <v>May</v>
      </c>
    </row>
    <row r="43" spans="4:17" x14ac:dyDescent="0.3">
      <c r="D43" s="1" t="s">
        <v>92</v>
      </c>
      <c r="E43" s="2">
        <v>45311</v>
      </c>
      <c r="F43" s="2">
        <v>45312</v>
      </c>
      <c r="G43" s="1" t="s">
        <v>31</v>
      </c>
      <c r="H43" s="1" t="s">
        <v>23</v>
      </c>
      <c r="I43" s="1" t="s">
        <v>24</v>
      </c>
      <c r="J43" s="1" t="s">
        <v>93</v>
      </c>
      <c r="K43" s="3">
        <v>2523.2800000000002</v>
      </c>
      <c r="L43" s="1">
        <v>17</v>
      </c>
      <c r="M43" s="1" t="s">
        <v>20</v>
      </c>
      <c r="N43" s="3">
        <v>417.75</v>
      </c>
      <c r="O43" s="1" t="s">
        <v>2107</v>
      </c>
      <c r="P43" s="1" t="s">
        <v>2071</v>
      </c>
      <c r="Q43" s="1" t="str">
        <f>TEXT((Data[[#This Row],[Order_Date]]), "mmm")</f>
        <v>Jan</v>
      </c>
    </row>
    <row r="44" spans="4:17" x14ac:dyDescent="0.3">
      <c r="D44" s="1" t="s">
        <v>94</v>
      </c>
      <c r="E44" s="2">
        <v>45422</v>
      </c>
      <c r="F44" s="2">
        <v>45422</v>
      </c>
      <c r="G44" s="1" t="s">
        <v>31</v>
      </c>
      <c r="H44" s="1" t="s">
        <v>17</v>
      </c>
      <c r="I44" s="1" t="s">
        <v>32</v>
      </c>
      <c r="J44" s="1" t="s">
        <v>56</v>
      </c>
      <c r="K44" s="3">
        <v>1615.83</v>
      </c>
      <c r="L44" s="1">
        <v>3</v>
      </c>
      <c r="M44" s="1" t="s">
        <v>15</v>
      </c>
      <c r="N44" s="3">
        <v>527.13</v>
      </c>
      <c r="O44" s="1" t="s">
        <v>2108</v>
      </c>
      <c r="P44" s="1" t="s">
        <v>2071</v>
      </c>
      <c r="Q44" s="1" t="str">
        <f>TEXT((Data[[#This Row],[Order_Date]]), "mmm")</f>
        <v>May</v>
      </c>
    </row>
    <row r="45" spans="4:17" x14ac:dyDescent="0.3">
      <c r="D45" s="1" t="s">
        <v>95</v>
      </c>
      <c r="E45" s="2">
        <v>45631</v>
      </c>
      <c r="F45" s="2">
        <v>45632</v>
      </c>
      <c r="G45" s="1" t="s">
        <v>36</v>
      </c>
      <c r="H45" s="1" t="s">
        <v>12</v>
      </c>
      <c r="I45" s="1" t="s">
        <v>13</v>
      </c>
      <c r="J45" s="1" t="s">
        <v>96</v>
      </c>
      <c r="K45" s="3">
        <v>1473.19</v>
      </c>
      <c r="L45" s="1">
        <v>10</v>
      </c>
      <c r="M45" s="1" t="s">
        <v>29</v>
      </c>
      <c r="N45" s="3">
        <v>129.91999999999999</v>
      </c>
      <c r="O45" s="1" t="s">
        <v>2109</v>
      </c>
      <c r="P45" s="1" t="s">
        <v>2071</v>
      </c>
      <c r="Q45" s="1" t="str">
        <f>TEXT((Data[[#This Row],[Order_Date]]), "mmm")</f>
        <v>Dec</v>
      </c>
    </row>
    <row r="46" spans="4:17" x14ac:dyDescent="0.3">
      <c r="D46" s="1" t="s">
        <v>97</v>
      </c>
      <c r="E46" s="2">
        <v>45486</v>
      </c>
      <c r="F46" s="2">
        <v>45488</v>
      </c>
      <c r="G46" s="1" t="s">
        <v>36</v>
      </c>
      <c r="H46" s="1" t="s">
        <v>23</v>
      </c>
      <c r="I46" s="1" t="s">
        <v>61</v>
      </c>
      <c r="J46" s="1" t="s">
        <v>98</v>
      </c>
      <c r="K46" s="3">
        <v>1325.93</v>
      </c>
      <c r="L46" s="1">
        <v>14</v>
      </c>
      <c r="M46" s="1" t="s">
        <v>29</v>
      </c>
      <c r="N46" s="3">
        <v>307.61</v>
      </c>
      <c r="O46" s="1" t="s">
        <v>2110</v>
      </c>
      <c r="P46" s="1" t="s">
        <v>2071</v>
      </c>
      <c r="Q46" s="1" t="str">
        <f>TEXT((Data[[#This Row],[Order_Date]]), "mmm")</f>
        <v>Jul</v>
      </c>
    </row>
    <row r="47" spans="4:17" x14ac:dyDescent="0.3">
      <c r="D47" s="1" t="s">
        <v>99</v>
      </c>
      <c r="E47" s="2">
        <v>45518</v>
      </c>
      <c r="F47" s="2">
        <v>45525</v>
      </c>
      <c r="G47" s="1" t="s">
        <v>22</v>
      </c>
      <c r="H47" s="1" t="s">
        <v>12</v>
      </c>
      <c r="I47" s="1" t="s">
        <v>42</v>
      </c>
      <c r="J47" s="1" t="s">
        <v>72</v>
      </c>
      <c r="K47" s="3">
        <v>2720.69</v>
      </c>
      <c r="L47" s="1">
        <v>10</v>
      </c>
      <c r="M47" s="1" t="s">
        <v>29</v>
      </c>
      <c r="N47" s="3">
        <v>677.88</v>
      </c>
      <c r="O47" s="1" t="s">
        <v>2111</v>
      </c>
      <c r="P47" s="1" t="s">
        <v>2076</v>
      </c>
      <c r="Q47" s="1" t="str">
        <f>TEXT((Data[[#This Row],[Order_Date]]), "mmm")</f>
        <v>Aug</v>
      </c>
    </row>
    <row r="48" spans="4:17" x14ac:dyDescent="0.3">
      <c r="D48" s="1" t="s">
        <v>100</v>
      </c>
      <c r="E48" s="2">
        <v>45339</v>
      </c>
      <c r="F48" s="2">
        <v>45342</v>
      </c>
      <c r="G48" s="1" t="s">
        <v>36</v>
      </c>
      <c r="H48" s="1" t="s">
        <v>17</v>
      </c>
      <c r="I48" s="1" t="s">
        <v>18</v>
      </c>
      <c r="J48" s="1" t="s">
        <v>19</v>
      </c>
      <c r="K48" s="3">
        <v>341.6</v>
      </c>
      <c r="L48" s="1">
        <v>8</v>
      </c>
      <c r="M48" s="1" t="s">
        <v>49</v>
      </c>
      <c r="N48" s="3">
        <v>79.72</v>
      </c>
      <c r="O48" s="1" t="s">
        <v>2112</v>
      </c>
      <c r="P48" s="1" t="s">
        <v>2078</v>
      </c>
      <c r="Q48" s="1" t="str">
        <f>TEXT((Data[[#This Row],[Order_Date]]), "mmm")</f>
        <v>Feb</v>
      </c>
    </row>
    <row r="49" spans="4:17" x14ac:dyDescent="0.3">
      <c r="D49" s="1" t="s">
        <v>101</v>
      </c>
      <c r="E49" s="2">
        <v>45525</v>
      </c>
      <c r="F49" s="2">
        <v>45531</v>
      </c>
      <c r="G49" s="1" t="s">
        <v>22</v>
      </c>
      <c r="H49" s="1" t="s">
        <v>12</v>
      </c>
      <c r="I49" s="1" t="s">
        <v>42</v>
      </c>
      <c r="J49" s="1" t="s">
        <v>43</v>
      </c>
      <c r="K49" s="3">
        <v>1748.7</v>
      </c>
      <c r="L49" s="1">
        <v>5</v>
      </c>
      <c r="M49" s="1" t="s">
        <v>15</v>
      </c>
      <c r="N49" s="3">
        <v>448.17</v>
      </c>
      <c r="O49" s="1" t="s">
        <v>2107</v>
      </c>
      <c r="P49" s="1" t="s">
        <v>2076</v>
      </c>
      <c r="Q49" s="1" t="str">
        <f>TEXT((Data[[#This Row],[Order_Date]]), "mmm")</f>
        <v>Aug</v>
      </c>
    </row>
    <row r="50" spans="4:17" x14ac:dyDescent="0.3">
      <c r="D50" s="1" t="s">
        <v>102</v>
      </c>
      <c r="E50" s="2">
        <v>45346</v>
      </c>
      <c r="F50" s="2">
        <v>45352</v>
      </c>
      <c r="G50" s="1" t="s">
        <v>22</v>
      </c>
      <c r="H50" s="1" t="s">
        <v>17</v>
      </c>
      <c r="I50" s="1" t="s">
        <v>32</v>
      </c>
      <c r="J50" s="1" t="s">
        <v>33</v>
      </c>
      <c r="K50" s="3">
        <v>438.32</v>
      </c>
      <c r="L50" s="1">
        <v>8</v>
      </c>
      <c r="M50" s="1" t="s">
        <v>20</v>
      </c>
      <c r="N50" s="3">
        <v>81.94</v>
      </c>
      <c r="O50" s="1" t="s">
        <v>2113</v>
      </c>
      <c r="P50" s="1" t="s">
        <v>2071</v>
      </c>
      <c r="Q50" s="1" t="str">
        <f>TEXT((Data[[#This Row],[Order_Date]]), "mmm")</f>
        <v>Feb</v>
      </c>
    </row>
    <row r="51" spans="4:17" x14ac:dyDescent="0.3">
      <c r="D51" s="1" t="s">
        <v>103</v>
      </c>
      <c r="E51" s="2">
        <v>45633</v>
      </c>
      <c r="F51" s="2">
        <v>45638</v>
      </c>
      <c r="G51" s="1" t="s">
        <v>31</v>
      </c>
      <c r="H51" s="1" t="s">
        <v>12</v>
      </c>
      <c r="I51" s="1" t="s">
        <v>42</v>
      </c>
      <c r="J51" s="1" t="s">
        <v>43</v>
      </c>
      <c r="K51" s="3">
        <v>3614.53</v>
      </c>
      <c r="L51" s="1">
        <v>16</v>
      </c>
      <c r="M51" s="1" t="s">
        <v>49</v>
      </c>
      <c r="N51" s="3">
        <v>461.78</v>
      </c>
      <c r="O51" s="1" t="s">
        <v>2114</v>
      </c>
      <c r="P51" s="1" t="s">
        <v>2071</v>
      </c>
      <c r="Q51" s="1" t="str">
        <f>TEXT((Data[[#This Row],[Order_Date]]), "mmm")</f>
        <v>Dec</v>
      </c>
    </row>
    <row r="52" spans="4:17" x14ac:dyDescent="0.3">
      <c r="D52" s="1" t="s">
        <v>104</v>
      </c>
      <c r="E52" s="2">
        <v>45618</v>
      </c>
      <c r="F52" s="2">
        <v>45622</v>
      </c>
      <c r="G52" s="1" t="s">
        <v>31</v>
      </c>
      <c r="H52" s="1" t="s">
        <v>12</v>
      </c>
      <c r="I52" s="1" t="s">
        <v>58</v>
      </c>
      <c r="J52" s="1" t="s">
        <v>105</v>
      </c>
      <c r="K52" s="3">
        <v>1899.52</v>
      </c>
      <c r="L52" s="1">
        <v>10</v>
      </c>
      <c r="M52" s="1" t="s">
        <v>44</v>
      </c>
      <c r="N52" s="3">
        <v>249.81</v>
      </c>
      <c r="O52" s="1" t="s">
        <v>2115</v>
      </c>
      <c r="P52" s="1" t="s">
        <v>2076</v>
      </c>
      <c r="Q52" s="1" t="str">
        <f>TEXT((Data[[#This Row],[Order_Date]]), "mmm")</f>
        <v>Nov</v>
      </c>
    </row>
    <row r="53" spans="4:17" x14ac:dyDescent="0.3">
      <c r="D53" s="1" t="s">
        <v>106</v>
      </c>
      <c r="E53" s="2">
        <v>45568</v>
      </c>
      <c r="F53" s="2">
        <v>45569</v>
      </c>
      <c r="G53" s="1" t="s">
        <v>22</v>
      </c>
      <c r="H53" s="1" t="s">
        <v>17</v>
      </c>
      <c r="I53" s="1" t="s">
        <v>18</v>
      </c>
      <c r="J53" s="1" t="s">
        <v>54</v>
      </c>
      <c r="K53" s="3">
        <v>2852.31</v>
      </c>
      <c r="L53" s="1">
        <v>7</v>
      </c>
      <c r="M53" s="1" t="s">
        <v>20</v>
      </c>
      <c r="N53" s="3">
        <v>497.62</v>
      </c>
      <c r="O53" s="1" t="s">
        <v>2116</v>
      </c>
      <c r="P53" s="1" t="s">
        <v>2078</v>
      </c>
      <c r="Q53" s="1" t="str">
        <f>TEXT((Data[[#This Row],[Order_Date]]), "mmm")</f>
        <v>Oct</v>
      </c>
    </row>
    <row r="54" spans="4:17" x14ac:dyDescent="0.3">
      <c r="D54" s="1" t="s">
        <v>107</v>
      </c>
      <c r="E54" s="2">
        <v>45530</v>
      </c>
      <c r="F54" s="2">
        <v>45536</v>
      </c>
      <c r="G54" s="1" t="s">
        <v>11</v>
      </c>
      <c r="H54" s="1" t="s">
        <v>17</v>
      </c>
      <c r="I54" s="1" t="s">
        <v>27</v>
      </c>
      <c r="J54" s="1" t="s">
        <v>108</v>
      </c>
      <c r="K54" s="3">
        <v>3643.14</v>
      </c>
      <c r="L54" s="1">
        <v>19</v>
      </c>
      <c r="M54" s="1" t="s">
        <v>15</v>
      </c>
      <c r="N54" s="3">
        <v>203.5</v>
      </c>
      <c r="O54" s="1" t="s">
        <v>2117</v>
      </c>
      <c r="P54" s="1" t="s">
        <v>2076</v>
      </c>
      <c r="Q54" s="1" t="str">
        <f>TEXT((Data[[#This Row],[Order_Date]]), "mmm")</f>
        <v>Aug</v>
      </c>
    </row>
    <row r="55" spans="4:17" x14ac:dyDescent="0.3">
      <c r="D55" s="1" t="s">
        <v>109</v>
      </c>
      <c r="E55" s="2">
        <v>45586</v>
      </c>
      <c r="F55" s="2">
        <v>45592</v>
      </c>
      <c r="G55" s="1" t="s">
        <v>31</v>
      </c>
      <c r="H55" s="1" t="s">
        <v>17</v>
      </c>
      <c r="I55" s="1" t="s">
        <v>27</v>
      </c>
      <c r="J55" s="1" t="s">
        <v>110</v>
      </c>
      <c r="K55" s="3">
        <v>3075.53</v>
      </c>
      <c r="L55" s="1">
        <v>14</v>
      </c>
      <c r="M55" s="1" t="s">
        <v>29</v>
      </c>
      <c r="N55" s="3">
        <v>843.48</v>
      </c>
      <c r="O55" s="1" t="s">
        <v>2099</v>
      </c>
      <c r="P55" s="1" t="s">
        <v>2078</v>
      </c>
      <c r="Q55" s="1" t="str">
        <f>TEXT((Data[[#This Row],[Order_Date]]), "mmm")</f>
        <v>Oct</v>
      </c>
    </row>
    <row r="56" spans="4:17" x14ac:dyDescent="0.3">
      <c r="D56" s="1" t="s">
        <v>111</v>
      </c>
      <c r="E56" s="2">
        <v>45600</v>
      </c>
      <c r="F56" s="2">
        <v>45603</v>
      </c>
      <c r="G56" s="1" t="s">
        <v>31</v>
      </c>
      <c r="H56" s="1" t="s">
        <v>17</v>
      </c>
      <c r="I56" s="1" t="s">
        <v>27</v>
      </c>
      <c r="J56" s="1" t="s">
        <v>108</v>
      </c>
      <c r="K56" s="3">
        <v>2071.16</v>
      </c>
      <c r="L56" s="1">
        <v>13</v>
      </c>
      <c r="M56" s="1" t="s">
        <v>34</v>
      </c>
      <c r="N56" s="3">
        <v>519.16</v>
      </c>
      <c r="O56" s="1" t="s">
        <v>2118</v>
      </c>
      <c r="P56" s="1" t="s">
        <v>2076</v>
      </c>
      <c r="Q56" s="1" t="str">
        <f>TEXT((Data[[#This Row],[Order_Date]]), "mmm")</f>
        <v>Nov</v>
      </c>
    </row>
    <row r="57" spans="4:17" x14ac:dyDescent="0.3">
      <c r="D57" s="1" t="s">
        <v>112</v>
      </c>
      <c r="E57" s="2">
        <v>45376</v>
      </c>
      <c r="F57" s="2">
        <v>45383</v>
      </c>
      <c r="G57" s="1" t="s">
        <v>22</v>
      </c>
      <c r="H57" s="1" t="s">
        <v>12</v>
      </c>
      <c r="I57" s="1" t="s">
        <v>38</v>
      </c>
      <c r="J57" s="1" t="s">
        <v>85</v>
      </c>
      <c r="K57" s="3">
        <v>2469.6</v>
      </c>
      <c r="L57" s="1">
        <v>1</v>
      </c>
      <c r="M57" s="1" t="s">
        <v>20</v>
      </c>
      <c r="N57" s="3">
        <v>-599.67999999999995</v>
      </c>
      <c r="O57" s="1" t="s">
        <v>2119</v>
      </c>
      <c r="P57" s="1" t="s">
        <v>2076</v>
      </c>
      <c r="Q57" s="1" t="str">
        <f>TEXT((Data[[#This Row],[Order_Date]]), "mmm")</f>
        <v>Mar</v>
      </c>
    </row>
    <row r="58" spans="4:17" x14ac:dyDescent="0.3">
      <c r="D58" s="1" t="s">
        <v>113</v>
      </c>
      <c r="E58" s="2">
        <v>45528</v>
      </c>
      <c r="F58" s="2">
        <v>45530</v>
      </c>
      <c r="G58" s="1" t="s">
        <v>11</v>
      </c>
      <c r="H58" s="1" t="s">
        <v>23</v>
      </c>
      <c r="I58" s="1" t="s">
        <v>65</v>
      </c>
      <c r="J58" s="1" t="s">
        <v>114</v>
      </c>
      <c r="K58" s="3">
        <v>1043.73</v>
      </c>
      <c r="L58" s="1">
        <v>11</v>
      </c>
      <c r="M58" s="1" t="s">
        <v>34</v>
      </c>
      <c r="N58" s="3">
        <v>290.54000000000002</v>
      </c>
      <c r="O58" s="1" t="s">
        <v>2120</v>
      </c>
      <c r="P58" s="1" t="s">
        <v>2076</v>
      </c>
      <c r="Q58" s="1" t="str">
        <f>TEXT((Data[[#This Row],[Order_Date]]), "mmm")</f>
        <v>Aug</v>
      </c>
    </row>
    <row r="59" spans="4:17" x14ac:dyDescent="0.3">
      <c r="D59" s="1" t="s">
        <v>115</v>
      </c>
      <c r="E59" s="2">
        <v>45507</v>
      </c>
      <c r="F59" s="2">
        <v>45511</v>
      </c>
      <c r="G59" s="1" t="s">
        <v>11</v>
      </c>
      <c r="H59" s="1" t="s">
        <v>23</v>
      </c>
      <c r="I59" s="1" t="s">
        <v>61</v>
      </c>
      <c r="J59" s="1" t="s">
        <v>62</v>
      </c>
      <c r="K59" s="3">
        <v>2272.8200000000002</v>
      </c>
      <c r="L59" s="1">
        <v>12</v>
      </c>
      <c r="M59" s="1" t="s">
        <v>44</v>
      </c>
      <c r="N59" s="3">
        <v>556.94000000000005</v>
      </c>
      <c r="O59" s="1" t="s">
        <v>2081</v>
      </c>
      <c r="P59" s="1" t="s">
        <v>2076</v>
      </c>
      <c r="Q59" s="1" t="str">
        <f>TEXT((Data[[#This Row],[Order_Date]]), "mmm")</f>
        <v>Aug</v>
      </c>
    </row>
    <row r="60" spans="4:17" x14ac:dyDescent="0.3">
      <c r="D60" s="1" t="s">
        <v>116</v>
      </c>
      <c r="E60" s="2">
        <v>45625</v>
      </c>
      <c r="F60" s="2">
        <v>45625</v>
      </c>
      <c r="G60" s="1" t="s">
        <v>11</v>
      </c>
      <c r="H60" s="1" t="s">
        <v>17</v>
      </c>
      <c r="I60" s="1" t="s">
        <v>18</v>
      </c>
      <c r="J60" s="1" t="s">
        <v>19</v>
      </c>
      <c r="K60" s="3">
        <v>2580.0100000000002</v>
      </c>
      <c r="L60" s="1">
        <v>8</v>
      </c>
      <c r="M60" s="1" t="s">
        <v>44</v>
      </c>
      <c r="N60" s="3">
        <v>-495.54</v>
      </c>
      <c r="O60" s="1" t="s">
        <v>2121</v>
      </c>
      <c r="P60" s="1" t="s">
        <v>2076</v>
      </c>
      <c r="Q60" s="1" t="str">
        <f>TEXT((Data[[#This Row],[Order_Date]]), "mmm")</f>
        <v>Nov</v>
      </c>
    </row>
    <row r="61" spans="4:17" x14ac:dyDescent="0.3">
      <c r="D61" s="1" t="s">
        <v>117</v>
      </c>
      <c r="E61" s="2">
        <v>45403</v>
      </c>
      <c r="F61" s="2">
        <v>45410</v>
      </c>
      <c r="G61" s="1" t="s">
        <v>36</v>
      </c>
      <c r="H61" s="1" t="s">
        <v>23</v>
      </c>
      <c r="I61" s="1" t="s">
        <v>78</v>
      </c>
      <c r="J61" s="1" t="s">
        <v>118</v>
      </c>
      <c r="K61" s="3">
        <v>3166.72</v>
      </c>
      <c r="L61" s="1">
        <v>6</v>
      </c>
      <c r="M61" s="1" t="s">
        <v>34</v>
      </c>
      <c r="N61" s="3">
        <v>-261.02999999999997</v>
      </c>
      <c r="O61" s="1" t="s">
        <v>2122</v>
      </c>
      <c r="P61" s="1" t="s">
        <v>2076</v>
      </c>
      <c r="Q61" s="1" t="str">
        <f>TEXT((Data[[#This Row],[Order_Date]]), "mmm")</f>
        <v>Apr</v>
      </c>
    </row>
    <row r="62" spans="4:17" x14ac:dyDescent="0.3">
      <c r="D62" s="1" t="s">
        <v>119</v>
      </c>
      <c r="E62" s="2">
        <v>45451</v>
      </c>
      <c r="F62" s="2">
        <v>45457</v>
      </c>
      <c r="G62" s="1" t="s">
        <v>31</v>
      </c>
      <c r="H62" s="1" t="s">
        <v>12</v>
      </c>
      <c r="I62" s="1" t="s">
        <v>58</v>
      </c>
      <c r="J62" s="1" t="s">
        <v>120</v>
      </c>
      <c r="K62" s="3">
        <v>2470.37</v>
      </c>
      <c r="L62" s="1">
        <v>8</v>
      </c>
      <c r="M62" s="1" t="s">
        <v>20</v>
      </c>
      <c r="N62" s="3">
        <v>640.22</v>
      </c>
      <c r="O62" s="1" t="s">
        <v>2123</v>
      </c>
      <c r="P62" s="1" t="s">
        <v>2076</v>
      </c>
      <c r="Q62" s="1" t="str">
        <f>TEXT((Data[[#This Row],[Order_Date]]), "mmm")</f>
        <v>Jun</v>
      </c>
    </row>
    <row r="63" spans="4:17" x14ac:dyDescent="0.3">
      <c r="D63" s="1" t="s">
        <v>121</v>
      </c>
      <c r="E63" s="2">
        <v>45642</v>
      </c>
      <c r="F63" s="2">
        <v>45643</v>
      </c>
      <c r="G63" s="1" t="s">
        <v>11</v>
      </c>
      <c r="H63" s="1" t="s">
        <v>23</v>
      </c>
      <c r="I63" s="1" t="s">
        <v>65</v>
      </c>
      <c r="J63" s="1" t="s">
        <v>122</v>
      </c>
      <c r="K63" s="3">
        <v>1639.64</v>
      </c>
      <c r="L63" s="1">
        <v>17</v>
      </c>
      <c r="M63" s="1" t="s">
        <v>15</v>
      </c>
      <c r="N63" s="3">
        <v>249.83</v>
      </c>
      <c r="O63" s="1" t="s">
        <v>2124</v>
      </c>
      <c r="P63" s="1" t="s">
        <v>2076</v>
      </c>
      <c r="Q63" s="1" t="str">
        <f>TEXT((Data[[#This Row],[Order_Date]]), "mmm")</f>
        <v>Dec</v>
      </c>
    </row>
    <row r="64" spans="4:17" x14ac:dyDescent="0.3">
      <c r="D64" s="1" t="s">
        <v>123</v>
      </c>
      <c r="E64" s="2">
        <v>45542</v>
      </c>
      <c r="F64" s="2">
        <v>45543</v>
      </c>
      <c r="G64" s="1" t="s">
        <v>31</v>
      </c>
      <c r="H64" s="1" t="s">
        <v>23</v>
      </c>
      <c r="I64" s="1" t="s">
        <v>65</v>
      </c>
      <c r="J64" s="1" t="s">
        <v>122</v>
      </c>
      <c r="K64" s="3">
        <v>823.72</v>
      </c>
      <c r="L64" s="1">
        <v>6</v>
      </c>
      <c r="M64" s="1" t="s">
        <v>15</v>
      </c>
      <c r="N64" s="3">
        <v>170.12</v>
      </c>
      <c r="O64" s="1" t="s">
        <v>2125</v>
      </c>
      <c r="P64" s="1" t="s">
        <v>2076</v>
      </c>
      <c r="Q64" s="1" t="str">
        <f>TEXT((Data[[#This Row],[Order_Date]]), "mmm")</f>
        <v>Sep</v>
      </c>
    </row>
    <row r="65" spans="4:17" x14ac:dyDescent="0.3">
      <c r="D65" s="1" t="s">
        <v>124</v>
      </c>
      <c r="E65" s="2">
        <v>45607</v>
      </c>
      <c r="F65" s="2">
        <v>45614</v>
      </c>
      <c r="G65" s="1" t="s">
        <v>31</v>
      </c>
      <c r="H65" s="1" t="s">
        <v>23</v>
      </c>
      <c r="I65" s="1" t="s">
        <v>24</v>
      </c>
      <c r="J65" s="1" t="s">
        <v>93</v>
      </c>
      <c r="K65" s="3">
        <v>3443.92</v>
      </c>
      <c r="L65" s="1">
        <v>3</v>
      </c>
      <c r="M65" s="1" t="s">
        <v>34</v>
      </c>
      <c r="N65" s="3">
        <v>1083.08</v>
      </c>
      <c r="O65" s="1" t="s">
        <v>2126</v>
      </c>
      <c r="P65" s="1" t="s">
        <v>2071</v>
      </c>
      <c r="Q65" s="1" t="str">
        <f>TEXT((Data[[#This Row],[Order_Date]]), "mmm")</f>
        <v>Nov</v>
      </c>
    </row>
    <row r="66" spans="4:17" x14ac:dyDescent="0.3">
      <c r="D66" s="1" t="s">
        <v>125</v>
      </c>
      <c r="E66" s="2">
        <v>45529</v>
      </c>
      <c r="F66" s="2">
        <v>45535</v>
      </c>
      <c r="G66" s="1" t="s">
        <v>36</v>
      </c>
      <c r="H66" s="1" t="s">
        <v>17</v>
      </c>
      <c r="I66" s="1" t="s">
        <v>27</v>
      </c>
      <c r="J66" s="1" t="s">
        <v>110</v>
      </c>
      <c r="K66" s="3">
        <v>931.9</v>
      </c>
      <c r="L66" s="1">
        <v>7</v>
      </c>
      <c r="M66" s="1" t="s">
        <v>34</v>
      </c>
      <c r="N66" s="3">
        <v>269.64</v>
      </c>
      <c r="O66" s="1" t="s">
        <v>2127</v>
      </c>
      <c r="P66" s="1" t="s">
        <v>2071</v>
      </c>
      <c r="Q66" s="1" t="str">
        <f>TEXT((Data[[#This Row],[Order_Date]]), "mmm")</f>
        <v>Aug</v>
      </c>
    </row>
    <row r="67" spans="4:17" x14ac:dyDescent="0.3">
      <c r="D67" s="1" t="s">
        <v>126</v>
      </c>
      <c r="E67" s="2">
        <v>45597</v>
      </c>
      <c r="F67" s="2">
        <v>45601</v>
      </c>
      <c r="G67" s="1" t="s">
        <v>11</v>
      </c>
      <c r="H67" s="1" t="s">
        <v>12</v>
      </c>
      <c r="I67" s="1" t="s">
        <v>58</v>
      </c>
      <c r="J67" s="1" t="s">
        <v>120</v>
      </c>
      <c r="K67" s="3">
        <v>1155.0899999999999</v>
      </c>
      <c r="L67" s="1">
        <v>14</v>
      </c>
      <c r="M67" s="1" t="s">
        <v>49</v>
      </c>
      <c r="N67" s="3">
        <v>250.14</v>
      </c>
      <c r="O67" s="1" t="s">
        <v>2128</v>
      </c>
      <c r="P67" s="1" t="s">
        <v>2076</v>
      </c>
      <c r="Q67" s="1" t="str">
        <f>TEXT((Data[[#This Row],[Order_Date]]), "mmm")</f>
        <v>Nov</v>
      </c>
    </row>
    <row r="68" spans="4:17" x14ac:dyDescent="0.3">
      <c r="D68" s="1" t="s">
        <v>127</v>
      </c>
      <c r="E68" s="2">
        <v>45535</v>
      </c>
      <c r="F68" s="2">
        <v>45542</v>
      </c>
      <c r="G68" s="1" t="s">
        <v>31</v>
      </c>
      <c r="H68" s="1" t="s">
        <v>17</v>
      </c>
      <c r="I68" s="1" t="s">
        <v>18</v>
      </c>
      <c r="J68" s="1" t="s">
        <v>54</v>
      </c>
      <c r="K68" s="3">
        <v>1080.99</v>
      </c>
      <c r="L68" s="1">
        <v>8</v>
      </c>
      <c r="M68" s="1" t="s">
        <v>34</v>
      </c>
      <c r="N68" s="3">
        <v>269.37</v>
      </c>
      <c r="O68" s="1" t="s">
        <v>2129</v>
      </c>
      <c r="P68" s="1" t="s">
        <v>2078</v>
      </c>
      <c r="Q68" s="1" t="str">
        <f>TEXT((Data[[#This Row],[Order_Date]]), "mmm")</f>
        <v>Aug</v>
      </c>
    </row>
    <row r="69" spans="4:17" x14ac:dyDescent="0.3">
      <c r="D69" s="1" t="s">
        <v>128</v>
      </c>
      <c r="E69" s="2">
        <v>45575</v>
      </c>
      <c r="F69" s="2">
        <v>45580</v>
      </c>
      <c r="G69" s="1" t="s">
        <v>31</v>
      </c>
      <c r="H69" s="1" t="s">
        <v>12</v>
      </c>
      <c r="I69" s="1" t="s">
        <v>13</v>
      </c>
      <c r="J69" s="1" t="s">
        <v>129</v>
      </c>
      <c r="K69" s="3">
        <v>2885.71</v>
      </c>
      <c r="L69" s="1">
        <v>9</v>
      </c>
      <c r="M69" s="1" t="s">
        <v>34</v>
      </c>
      <c r="N69" s="3">
        <v>-361.93</v>
      </c>
      <c r="O69" s="1" t="s">
        <v>2130</v>
      </c>
      <c r="P69" s="1" t="s">
        <v>2078</v>
      </c>
      <c r="Q69" s="1" t="str">
        <f>TEXT((Data[[#This Row],[Order_Date]]), "mmm")</f>
        <v>Oct</v>
      </c>
    </row>
    <row r="70" spans="4:17" x14ac:dyDescent="0.3">
      <c r="D70" s="1" t="s">
        <v>130</v>
      </c>
      <c r="E70" s="2">
        <v>45390</v>
      </c>
      <c r="F70" s="2">
        <v>45395</v>
      </c>
      <c r="G70" s="1" t="s">
        <v>11</v>
      </c>
      <c r="H70" s="1" t="s">
        <v>12</v>
      </c>
      <c r="I70" s="1" t="s">
        <v>58</v>
      </c>
      <c r="J70" s="1" t="s">
        <v>120</v>
      </c>
      <c r="K70" s="3">
        <v>1061.44</v>
      </c>
      <c r="L70" s="1">
        <v>16</v>
      </c>
      <c r="M70" s="1" t="s">
        <v>34</v>
      </c>
      <c r="N70" s="3">
        <v>283.8</v>
      </c>
      <c r="O70" s="1" t="s">
        <v>2131</v>
      </c>
      <c r="P70" s="1" t="s">
        <v>2078</v>
      </c>
      <c r="Q70" s="1" t="str">
        <f>TEXT((Data[[#This Row],[Order_Date]]), "mmm")</f>
        <v>Apr</v>
      </c>
    </row>
    <row r="71" spans="4:17" x14ac:dyDescent="0.3">
      <c r="D71" s="1" t="s">
        <v>131</v>
      </c>
      <c r="E71" s="2">
        <v>45560</v>
      </c>
      <c r="F71" s="2">
        <v>45564</v>
      </c>
      <c r="G71" s="1" t="s">
        <v>11</v>
      </c>
      <c r="H71" s="1" t="s">
        <v>17</v>
      </c>
      <c r="I71" s="1" t="s">
        <v>27</v>
      </c>
      <c r="J71" s="1" t="s">
        <v>132</v>
      </c>
      <c r="K71" s="3">
        <v>1603.3</v>
      </c>
      <c r="L71" s="1">
        <v>10</v>
      </c>
      <c r="M71" s="1" t="s">
        <v>20</v>
      </c>
      <c r="N71" s="3">
        <v>-420.71</v>
      </c>
      <c r="O71" s="1" t="s">
        <v>2132</v>
      </c>
      <c r="P71" s="1" t="s">
        <v>2078</v>
      </c>
      <c r="Q71" s="1" t="str">
        <f>TEXT((Data[[#This Row],[Order_Date]]), "mmm")</f>
        <v>Sep</v>
      </c>
    </row>
    <row r="72" spans="4:17" x14ac:dyDescent="0.3">
      <c r="D72" s="1" t="s">
        <v>133</v>
      </c>
      <c r="E72" s="2">
        <v>45315</v>
      </c>
      <c r="F72" s="2">
        <v>45315</v>
      </c>
      <c r="G72" s="1" t="s">
        <v>36</v>
      </c>
      <c r="H72" s="1" t="s">
        <v>12</v>
      </c>
      <c r="I72" s="1" t="s">
        <v>58</v>
      </c>
      <c r="J72" s="1" t="s">
        <v>59</v>
      </c>
      <c r="K72" s="3">
        <v>3506.73</v>
      </c>
      <c r="L72" s="1">
        <v>16</v>
      </c>
      <c r="M72" s="1" t="s">
        <v>20</v>
      </c>
      <c r="N72" s="3">
        <v>1093.45</v>
      </c>
      <c r="O72" s="1" t="s">
        <v>2133</v>
      </c>
      <c r="P72" s="1" t="s">
        <v>2076</v>
      </c>
      <c r="Q72" s="1" t="str">
        <f>TEXT((Data[[#This Row],[Order_Date]]), "mmm")</f>
        <v>Jan</v>
      </c>
    </row>
    <row r="73" spans="4:17" x14ac:dyDescent="0.3">
      <c r="D73" s="1" t="s">
        <v>134</v>
      </c>
      <c r="E73" s="2">
        <v>45532</v>
      </c>
      <c r="F73" s="2">
        <v>45539</v>
      </c>
      <c r="G73" s="1" t="s">
        <v>31</v>
      </c>
      <c r="H73" s="1" t="s">
        <v>23</v>
      </c>
      <c r="I73" s="1" t="s">
        <v>78</v>
      </c>
      <c r="J73" s="1" t="s">
        <v>118</v>
      </c>
      <c r="K73" s="3">
        <v>1196.79</v>
      </c>
      <c r="L73" s="1">
        <v>16</v>
      </c>
      <c r="M73" s="1" t="s">
        <v>20</v>
      </c>
      <c r="N73" s="3">
        <v>355.01</v>
      </c>
      <c r="O73" s="1" t="s">
        <v>2134</v>
      </c>
      <c r="P73" s="1" t="s">
        <v>2076</v>
      </c>
      <c r="Q73" s="1" t="str">
        <f>TEXT((Data[[#This Row],[Order_Date]]), "mmm")</f>
        <v>Aug</v>
      </c>
    </row>
    <row r="74" spans="4:17" x14ac:dyDescent="0.3">
      <c r="D74" s="1" t="s">
        <v>135</v>
      </c>
      <c r="E74" s="2">
        <v>45329</v>
      </c>
      <c r="F74" s="2">
        <v>45329</v>
      </c>
      <c r="G74" s="1" t="s">
        <v>22</v>
      </c>
      <c r="H74" s="1" t="s">
        <v>17</v>
      </c>
      <c r="I74" s="1" t="s">
        <v>32</v>
      </c>
      <c r="J74" s="1" t="s">
        <v>33</v>
      </c>
      <c r="K74" s="3">
        <v>569.42999999999995</v>
      </c>
      <c r="L74" s="1">
        <v>8</v>
      </c>
      <c r="M74" s="1" t="s">
        <v>20</v>
      </c>
      <c r="N74" s="3">
        <v>123.81</v>
      </c>
      <c r="O74" s="1" t="s">
        <v>2100</v>
      </c>
      <c r="P74" s="1" t="s">
        <v>2078</v>
      </c>
      <c r="Q74" s="1" t="str">
        <f>TEXT((Data[[#This Row],[Order_Date]]), "mmm")</f>
        <v>Feb</v>
      </c>
    </row>
    <row r="75" spans="4:17" x14ac:dyDescent="0.3">
      <c r="D75" s="1" t="s">
        <v>136</v>
      </c>
      <c r="E75" s="2">
        <v>45597</v>
      </c>
      <c r="F75" s="2">
        <v>45600</v>
      </c>
      <c r="G75" s="1" t="s">
        <v>31</v>
      </c>
      <c r="H75" s="1" t="s">
        <v>23</v>
      </c>
      <c r="I75" s="1" t="s">
        <v>65</v>
      </c>
      <c r="J75" s="1" t="s">
        <v>114</v>
      </c>
      <c r="K75" s="3">
        <v>3475.62</v>
      </c>
      <c r="L75" s="1">
        <v>14</v>
      </c>
      <c r="M75" s="1" t="s">
        <v>34</v>
      </c>
      <c r="N75" s="3">
        <v>-766.68</v>
      </c>
      <c r="O75" s="1" t="s">
        <v>2135</v>
      </c>
      <c r="P75" s="1" t="s">
        <v>2078</v>
      </c>
      <c r="Q75" s="1" t="str">
        <f>TEXT((Data[[#This Row],[Order_Date]]), "mmm")</f>
        <v>Nov</v>
      </c>
    </row>
    <row r="76" spans="4:17" x14ac:dyDescent="0.3">
      <c r="D76" s="1" t="s">
        <v>137</v>
      </c>
      <c r="E76" s="2">
        <v>45342</v>
      </c>
      <c r="F76" s="2">
        <v>45345</v>
      </c>
      <c r="G76" s="1" t="s">
        <v>22</v>
      </c>
      <c r="H76" s="1" t="s">
        <v>23</v>
      </c>
      <c r="I76" s="1" t="s">
        <v>61</v>
      </c>
      <c r="J76" s="1" t="s">
        <v>76</v>
      </c>
      <c r="K76" s="3">
        <v>1149.49</v>
      </c>
      <c r="L76" s="1">
        <v>18</v>
      </c>
      <c r="M76" s="1" t="s">
        <v>20</v>
      </c>
      <c r="N76" s="3">
        <v>111.45</v>
      </c>
      <c r="O76" s="1" t="s">
        <v>2136</v>
      </c>
      <c r="P76" s="1" t="s">
        <v>2078</v>
      </c>
      <c r="Q76" s="1" t="str">
        <f>TEXT((Data[[#This Row],[Order_Date]]), "mmm")</f>
        <v>Feb</v>
      </c>
    </row>
    <row r="77" spans="4:17" x14ac:dyDescent="0.3">
      <c r="D77" s="1" t="s">
        <v>138</v>
      </c>
      <c r="E77" s="2">
        <v>45644</v>
      </c>
      <c r="F77" s="2">
        <v>45651</v>
      </c>
      <c r="G77" s="1" t="s">
        <v>36</v>
      </c>
      <c r="H77" s="1" t="s">
        <v>17</v>
      </c>
      <c r="I77" s="1" t="s">
        <v>18</v>
      </c>
      <c r="J77" s="1" t="s">
        <v>54</v>
      </c>
      <c r="K77" s="3">
        <v>2901.08</v>
      </c>
      <c r="L77" s="1">
        <v>15</v>
      </c>
      <c r="M77" s="1" t="s">
        <v>20</v>
      </c>
      <c r="N77" s="3">
        <v>743.3</v>
      </c>
      <c r="O77" s="1" t="s">
        <v>2109</v>
      </c>
      <c r="P77" s="1" t="s">
        <v>2076</v>
      </c>
      <c r="Q77" s="1" t="str">
        <f>TEXT((Data[[#This Row],[Order_Date]]), "mmm")</f>
        <v>Dec</v>
      </c>
    </row>
    <row r="78" spans="4:17" x14ac:dyDescent="0.3">
      <c r="D78" s="1" t="s">
        <v>139</v>
      </c>
      <c r="E78" s="2">
        <v>45612</v>
      </c>
      <c r="F78" s="2">
        <v>45615</v>
      </c>
      <c r="G78" s="1" t="s">
        <v>31</v>
      </c>
      <c r="H78" s="1" t="s">
        <v>17</v>
      </c>
      <c r="I78" s="1" t="s">
        <v>32</v>
      </c>
      <c r="J78" s="1" t="s">
        <v>56</v>
      </c>
      <c r="K78" s="3">
        <v>2678.63</v>
      </c>
      <c r="L78" s="1">
        <v>9</v>
      </c>
      <c r="M78" s="1" t="s">
        <v>44</v>
      </c>
      <c r="N78" s="3">
        <v>191.32</v>
      </c>
      <c r="O78" s="1" t="s">
        <v>2131</v>
      </c>
      <c r="P78" s="1" t="s">
        <v>2071</v>
      </c>
      <c r="Q78" s="1" t="str">
        <f>TEXT((Data[[#This Row],[Order_Date]]), "mmm")</f>
        <v>Nov</v>
      </c>
    </row>
    <row r="79" spans="4:17" x14ac:dyDescent="0.3">
      <c r="D79" s="1" t="s">
        <v>140</v>
      </c>
      <c r="E79" s="2">
        <v>45449</v>
      </c>
      <c r="F79" s="2">
        <v>45453</v>
      </c>
      <c r="G79" s="1" t="s">
        <v>31</v>
      </c>
      <c r="H79" s="1" t="s">
        <v>17</v>
      </c>
      <c r="I79" s="1" t="s">
        <v>27</v>
      </c>
      <c r="J79" s="1" t="s">
        <v>110</v>
      </c>
      <c r="K79" s="3">
        <v>2874</v>
      </c>
      <c r="L79" s="1">
        <v>9</v>
      </c>
      <c r="M79" s="1" t="s">
        <v>29</v>
      </c>
      <c r="N79" s="3">
        <v>609.27</v>
      </c>
      <c r="O79" s="1" t="s">
        <v>2137</v>
      </c>
      <c r="P79" s="1" t="s">
        <v>2071</v>
      </c>
      <c r="Q79" s="1" t="str">
        <f>TEXT((Data[[#This Row],[Order_Date]]), "mmm")</f>
        <v>Jun</v>
      </c>
    </row>
    <row r="80" spans="4:17" x14ac:dyDescent="0.3">
      <c r="D80" s="1" t="s">
        <v>141</v>
      </c>
      <c r="E80" s="2">
        <v>45598</v>
      </c>
      <c r="F80" s="2">
        <v>45598</v>
      </c>
      <c r="G80" s="1" t="s">
        <v>31</v>
      </c>
      <c r="H80" s="1" t="s">
        <v>12</v>
      </c>
      <c r="I80" s="1" t="s">
        <v>13</v>
      </c>
      <c r="J80" s="1" t="s">
        <v>129</v>
      </c>
      <c r="K80" s="3">
        <v>346.99</v>
      </c>
      <c r="L80" s="1">
        <v>8</v>
      </c>
      <c r="M80" s="1" t="s">
        <v>15</v>
      </c>
      <c r="N80" s="3">
        <v>104.37</v>
      </c>
      <c r="O80" s="1" t="s">
        <v>2138</v>
      </c>
      <c r="P80" s="1" t="s">
        <v>2078</v>
      </c>
      <c r="Q80" s="1" t="str">
        <f>TEXT((Data[[#This Row],[Order_Date]]), "mmm")</f>
        <v>Nov</v>
      </c>
    </row>
    <row r="81" spans="4:17" x14ac:dyDescent="0.3">
      <c r="D81" s="1" t="s">
        <v>142</v>
      </c>
      <c r="E81" s="2">
        <v>45302</v>
      </c>
      <c r="F81" s="2">
        <v>45306</v>
      </c>
      <c r="G81" s="1" t="s">
        <v>11</v>
      </c>
      <c r="H81" s="1" t="s">
        <v>17</v>
      </c>
      <c r="I81" s="1" t="s">
        <v>27</v>
      </c>
      <c r="J81" s="1" t="s">
        <v>108</v>
      </c>
      <c r="K81" s="3">
        <v>3685.27</v>
      </c>
      <c r="L81" s="1">
        <v>6</v>
      </c>
      <c r="M81" s="1" t="s">
        <v>29</v>
      </c>
      <c r="N81" s="3">
        <v>666.17</v>
      </c>
      <c r="O81" s="1" t="s">
        <v>2139</v>
      </c>
      <c r="P81" s="1" t="s">
        <v>2076</v>
      </c>
      <c r="Q81" s="1" t="str">
        <f>TEXT((Data[[#This Row],[Order_Date]]), "mmm")</f>
        <v>Jan</v>
      </c>
    </row>
    <row r="82" spans="4:17" x14ac:dyDescent="0.3">
      <c r="D82" s="1" t="s">
        <v>143</v>
      </c>
      <c r="E82" s="2">
        <v>45338</v>
      </c>
      <c r="F82" s="2">
        <v>45345</v>
      </c>
      <c r="G82" s="1" t="s">
        <v>36</v>
      </c>
      <c r="H82" s="1" t="s">
        <v>23</v>
      </c>
      <c r="I82" s="1" t="s">
        <v>24</v>
      </c>
      <c r="J82" s="1" t="s">
        <v>93</v>
      </c>
      <c r="K82" s="3">
        <v>2763</v>
      </c>
      <c r="L82" s="1">
        <v>6</v>
      </c>
      <c r="M82" s="1" t="s">
        <v>34</v>
      </c>
      <c r="N82" s="3">
        <v>479.36</v>
      </c>
      <c r="O82" s="1" t="s">
        <v>2140</v>
      </c>
      <c r="P82" s="1" t="s">
        <v>2078</v>
      </c>
      <c r="Q82" s="1" t="str">
        <f>TEXT((Data[[#This Row],[Order_Date]]), "mmm")</f>
        <v>Feb</v>
      </c>
    </row>
    <row r="83" spans="4:17" x14ac:dyDescent="0.3">
      <c r="D83" s="1" t="s">
        <v>144</v>
      </c>
      <c r="E83" s="2">
        <v>45631</v>
      </c>
      <c r="F83" s="2">
        <v>45637</v>
      </c>
      <c r="G83" s="1" t="s">
        <v>11</v>
      </c>
      <c r="H83" s="1" t="s">
        <v>23</v>
      </c>
      <c r="I83" s="1" t="s">
        <v>61</v>
      </c>
      <c r="J83" s="1" t="s">
        <v>98</v>
      </c>
      <c r="K83" s="3">
        <v>1196.5</v>
      </c>
      <c r="L83" s="1">
        <v>4</v>
      </c>
      <c r="M83" s="1" t="s">
        <v>49</v>
      </c>
      <c r="N83" s="3">
        <v>370.28</v>
      </c>
      <c r="O83" s="1" t="s">
        <v>2141</v>
      </c>
      <c r="P83" s="1" t="s">
        <v>2076</v>
      </c>
      <c r="Q83" s="1" t="str">
        <f>TEXT((Data[[#This Row],[Order_Date]]), "mmm")</f>
        <v>Dec</v>
      </c>
    </row>
    <row r="84" spans="4:17" x14ac:dyDescent="0.3">
      <c r="D84" s="1" t="s">
        <v>145</v>
      </c>
      <c r="E84" s="2">
        <v>45292</v>
      </c>
      <c r="F84" s="2">
        <v>45299</v>
      </c>
      <c r="G84" s="1" t="s">
        <v>31</v>
      </c>
      <c r="H84" s="1" t="s">
        <v>17</v>
      </c>
      <c r="I84" s="1" t="s">
        <v>18</v>
      </c>
      <c r="J84" s="1" t="s">
        <v>90</v>
      </c>
      <c r="K84" s="3">
        <v>1606.67</v>
      </c>
      <c r="L84" s="1">
        <v>16</v>
      </c>
      <c r="M84" s="1" t="s">
        <v>15</v>
      </c>
      <c r="N84" s="3">
        <v>-293.39999999999998</v>
      </c>
      <c r="O84" s="1" t="s">
        <v>2142</v>
      </c>
      <c r="P84" s="1" t="s">
        <v>2071</v>
      </c>
      <c r="Q84" s="1" t="str">
        <f>TEXT((Data[[#This Row],[Order_Date]]), "mmm")</f>
        <v>Jan</v>
      </c>
    </row>
    <row r="85" spans="4:17" x14ac:dyDescent="0.3">
      <c r="D85" s="1" t="s">
        <v>146</v>
      </c>
      <c r="E85" s="2">
        <v>45428</v>
      </c>
      <c r="F85" s="2">
        <v>45430</v>
      </c>
      <c r="G85" s="1" t="s">
        <v>36</v>
      </c>
      <c r="H85" s="1" t="s">
        <v>23</v>
      </c>
      <c r="I85" s="1" t="s">
        <v>65</v>
      </c>
      <c r="J85" s="1" t="s">
        <v>66</v>
      </c>
      <c r="K85" s="3">
        <v>358.26</v>
      </c>
      <c r="L85" s="1">
        <v>20</v>
      </c>
      <c r="M85" s="1" t="s">
        <v>44</v>
      </c>
      <c r="N85" s="3">
        <v>94.2</v>
      </c>
      <c r="O85" s="1" t="s">
        <v>2143</v>
      </c>
      <c r="P85" s="1" t="s">
        <v>2071</v>
      </c>
      <c r="Q85" s="1" t="str">
        <f>TEXT((Data[[#This Row],[Order_Date]]), "mmm")</f>
        <v>May</v>
      </c>
    </row>
    <row r="86" spans="4:17" x14ac:dyDescent="0.3">
      <c r="D86" s="1" t="s">
        <v>147</v>
      </c>
      <c r="E86" s="2">
        <v>45299</v>
      </c>
      <c r="F86" s="2">
        <v>45305</v>
      </c>
      <c r="G86" s="1" t="s">
        <v>11</v>
      </c>
      <c r="H86" s="1" t="s">
        <v>17</v>
      </c>
      <c r="I86" s="1" t="s">
        <v>18</v>
      </c>
      <c r="J86" s="1" t="s">
        <v>54</v>
      </c>
      <c r="K86" s="3">
        <v>3801.48</v>
      </c>
      <c r="L86" s="1">
        <v>5</v>
      </c>
      <c r="M86" s="1" t="s">
        <v>49</v>
      </c>
      <c r="N86" s="3">
        <v>1253.71</v>
      </c>
      <c r="O86" s="1" t="s">
        <v>2144</v>
      </c>
      <c r="P86" s="1" t="s">
        <v>2071</v>
      </c>
      <c r="Q86" s="1" t="str">
        <f>TEXT((Data[[#This Row],[Order_Date]]), "mmm")</f>
        <v>Jan</v>
      </c>
    </row>
    <row r="87" spans="4:17" x14ac:dyDescent="0.3">
      <c r="D87" s="1" t="s">
        <v>148</v>
      </c>
      <c r="E87" s="2">
        <v>45653</v>
      </c>
      <c r="F87" s="2">
        <v>45657</v>
      </c>
      <c r="G87" s="1" t="s">
        <v>31</v>
      </c>
      <c r="H87" s="1" t="s">
        <v>23</v>
      </c>
      <c r="I87" s="1" t="s">
        <v>65</v>
      </c>
      <c r="J87" s="1" t="s">
        <v>66</v>
      </c>
      <c r="K87" s="3">
        <v>1962.95</v>
      </c>
      <c r="L87" s="1">
        <v>5</v>
      </c>
      <c r="M87" s="1" t="s">
        <v>49</v>
      </c>
      <c r="N87" s="3">
        <v>210.4</v>
      </c>
      <c r="O87" s="1" t="s">
        <v>2145</v>
      </c>
      <c r="P87" s="1" t="s">
        <v>2071</v>
      </c>
      <c r="Q87" s="1" t="str">
        <f>TEXT((Data[[#This Row],[Order_Date]]), "mmm")</f>
        <v>Dec</v>
      </c>
    </row>
    <row r="88" spans="4:17" x14ac:dyDescent="0.3">
      <c r="D88" s="1" t="s">
        <v>149</v>
      </c>
      <c r="E88" s="2">
        <v>45361</v>
      </c>
      <c r="F88" s="2">
        <v>45362</v>
      </c>
      <c r="G88" s="1" t="s">
        <v>36</v>
      </c>
      <c r="H88" s="1" t="s">
        <v>23</v>
      </c>
      <c r="I88" s="1" t="s">
        <v>24</v>
      </c>
      <c r="J88" s="1" t="s">
        <v>150</v>
      </c>
      <c r="K88" s="3">
        <v>1251.9000000000001</v>
      </c>
      <c r="L88" s="1">
        <v>1</v>
      </c>
      <c r="M88" s="1" t="s">
        <v>34</v>
      </c>
      <c r="N88" s="3">
        <v>335.28</v>
      </c>
      <c r="O88" s="1" t="s">
        <v>2146</v>
      </c>
      <c r="P88" s="1" t="s">
        <v>2078</v>
      </c>
      <c r="Q88" s="1" t="str">
        <f>TEXT((Data[[#This Row],[Order_Date]]), "mmm")</f>
        <v>Mar</v>
      </c>
    </row>
    <row r="89" spans="4:17" x14ac:dyDescent="0.3">
      <c r="D89" s="1" t="s">
        <v>151</v>
      </c>
      <c r="E89" s="2">
        <v>45588</v>
      </c>
      <c r="F89" s="2">
        <v>45595</v>
      </c>
      <c r="G89" s="1" t="s">
        <v>22</v>
      </c>
      <c r="H89" s="1" t="s">
        <v>23</v>
      </c>
      <c r="I89" s="1" t="s">
        <v>65</v>
      </c>
      <c r="J89" s="1" t="s">
        <v>114</v>
      </c>
      <c r="K89" s="3">
        <v>1496.65</v>
      </c>
      <c r="L89" s="1">
        <v>18</v>
      </c>
      <c r="M89" s="1" t="s">
        <v>49</v>
      </c>
      <c r="N89" s="3">
        <v>279.27999999999997</v>
      </c>
      <c r="O89" s="1" t="s">
        <v>2122</v>
      </c>
      <c r="P89" s="1" t="s">
        <v>2071</v>
      </c>
      <c r="Q89" s="1" t="str">
        <f>TEXT((Data[[#This Row],[Order_Date]]), "mmm")</f>
        <v>Oct</v>
      </c>
    </row>
    <row r="90" spans="4:17" x14ac:dyDescent="0.3">
      <c r="D90" s="1" t="s">
        <v>152</v>
      </c>
      <c r="E90" s="2">
        <v>45388</v>
      </c>
      <c r="F90" s="2">
        <v>45391</v>
      </c>
      <c r="G90" s="1" t="s">
        <v>31</v>
      </c>
      <c r="H90" s="1" t="s">
        <v>17</v>
      </c>
      <c r="I90" s="1" t="s">
        <v>27</v>
      </c>
      <c r="J90" s="1" t="s">
        <v>28</v>
      </c>
      <c r="K90" s="3">
        <v>1443.16</v>
      </c>
      <c r="L90" s="1">
        <v>16</v>
      </c>
      <c r="M90" s="1" t="s">
        <v>15</v>
      </c>
      <c r="N90" s="3">
        <v>467.63</v>
      </c>
      <c r="O90" s="1" t="s">
        <v>2139</v>
      </c>
      <c r="P90" s="1" t="s">
        <v>2071</v>
      </c>
      <c r="Q90" s="1" t="str">
        <f>TEXT((Data[[#This Row],[Order_Date]]), "mmm")</f>
        <v>Apr</v>
      </c>
    </row>
    <row r="91" spans="4:17" x14ac:dyDescent="0.3">
      <c r="D91" s="1" t="s">
        <v>153</v>
      </c>
      <c r="E91" s="2">
        <v>45631</v>
      </c>
      <c r="F91" s="2">
        <v>45633</v>
      </c>
      <c r="G91" s="1" t="s">
        <v>31</v>
      </c>
      <c r="H91" s="1" t="s">
        <v>17</v>
      </c>
      <c r="I91" s="1" t="s">
        <v>18</v>
      </c>
      <c r="J91" s="1" t="s">
        <v>90</v>
      </c>
      <c r="K91" s="3">
        <v>3870.08</v>
      </c>
      <c r="L91" s="1">
        <v>11</v>
      </c>
      <c r="M91" s="1" t="s">
        <v>20</v>
      </c>
      <c r="N91" s="3">
        <v>1208.46</v>
      </c>
      <c r="O91" s="1" t="s">
        <v>2147</v>
      </c>
      <c r="P91" s="1" t="s">
        <v>2076</v>
      </c>
      <c r="Q91" s="1" t="str">
        <f>TEXT((Data[[#This Row],[Order_Date]]), "mmm")</f>
        <v>Dec</v>
      </c>
    </row>
    <row r="92" spans="4:17" x14ac:dyDescent="0.3">
      <c r="D92" s="1" t="s">
        <v>154</v>
      </c>
      <c r="E92" s="2">
        <v>45561</v>
      </c>
      <c r="F92" s="2">
        <v>45568</v>
      </c>
      <c r="G92" s="1" t="s">
        <v>11</v>
      </c>
      <c r="H92" s="1" t="s">
        <v>12</v>
      </c>
      <c r="I92" s="1" t="s">
        <v>58</v>
      </c>
      <c r="J92" s="1" t="s">
        <v>105</v>
      </c>
      <c r="K92" s="3">
        <v>3516</v>
      </c>
      <c r="L92" s="1">
        <v>5</v>
      </c>
      <c r="M92" s="1" t="s">
        <v>20</v>
      </c>
      <c r="N92" s="3">
        <v>671.02</v>
      </c>
      <c r="O92" s="1" t="s">
        <v>2148</v>
      </c>
      <c r="P92" s="1" t="s">
        <v>2078</v>
      </c>
      <c r="Q92" s="1" t="str">
        <f>TEXT((Data[[#This Row],[Order_Date]]), "mmm")</f>
        <v>Sep</v>
      </c>
    </row>
    <row r="93" spans="4:17" x14ac:dyDescent="0.3">
      <c r="D93" s="1" t="s">
        <v>155</v>
      </c>
      <c r="E93" s="2">
        <v>45465</v>
      </c>
      <c r="F93" s="2">
        <v>45471</v>
      </c>
      <c r="G93" s="1" t="s">
        <v>11</v>
      </c>
      <c r="H93" s="1" t="s">
        <v>23</v>
      </c>
      <c r="I93" s="1" t="s">
        <v>65</v>
      </c>
      <c r="J93" s="1" t="s">
        <v>114</v>
      </c>
      <c r="K93" s="3">
        <v>2600.5</v>
      </c>
      <c r="L93" s="1">
        <v>16</v>
      </c>
      <c r="M93" s="1" t="s">
        <v>29</v>
      </c>
      <c r="N93" s="3">
        <v>-158.03</v>
      </c>
      <c r="O93" s="1" t="s">
        <v>2149</v>
      </c>
      <c r="P93" s="1" t="s">
        <v>2076</v>
      </c>
      <c r="Q93" s="1" t="str">
        <f>TEXT((Data[[#This Row],[Order_Date]]), "mmm")</f>
        <v>Jun</v>
      </c>
    </row>
    <row r="94" spans="4:17" x14ac:dyDescent="0.3">
      <c r="D94" s="1" t="s">
        <v>156</v>
      </c>
      <c r="E94" s="2">
        <v>45615</v>
      </c>
      <c r="F94" s="2">
        <v>45619</v>
      </c>
      <c r="G94" s="1" t="s">
        <v>22</v>
      </c>
      <c r="H94" s="1" t="s">
        <v>12</v>
      </c>
      <c r="I94" s="1" t="s">
        <v>38</v>
      </c>
      <c r="J94" s="1" t="s">
        <v>85</v>
      </c>
      <c r="K94" s="3">
        <v>3918.77</v>
      </c>
      <c r="L94" s="1">
        <v>4</v>
      </c>
      <c r="M94" s="1" t="s">
        <v>49</v>
      </c>
      <c r="N94" s="3">
        <v>391.52</v>
      </c>
      <c r="O94" s="1" t="s">
        <v>2150</v>
      </c>
      <c r="P94" s="1" t="s">
        <v>2071</v>
      </c>
      <c r="Q94" s="1" t="str">
        <f>TEXT((Data[[#This Row],[Order_Date]]), "mmm")</f>
        <v>Nov</v>
      </c>
    </row>
    <row r="95" spans="4:17" x14ac:dyDescent="0.3">
      <c r="D95" s="1" t="s">
        <v>157</v>
      </c>
      <c r="E95" s="2">
        <v>45306</v>
      </c>
      <c r="F95" s="2">
        <v>45306</v>
      </c>
      <c r="G95" s="1" t="s">
        <v>36</v>
      </c>
      <c r="H95" s="1" t="s">
        <v>17</v>
      </c>
      <c r="I95" s="1" t="s">
        <v>27</v>
      </c>
      <c r="J95" s="1" t="s">
        <v>110</v>
      </c>
      <c r="K95" s="3">
        <v>1655.65</v>
      </c>
      <c r="L95" s="1">
        <v>5</v>
      </c>
      <c r="M95" s="1" t="s">
        <v>44</v>
      </c>
      <c r="N95" s="3">
        <v>346.61</v>
      </c>
      <c r="O95" s="1" t="s">
        <v>2151</v>
      </c>
      <c r="P95" s="1" t="s">
        <v>2078</v>
      </c>
      <c r="Q95" s="1" t="str">
        <f>TEXT((Data[[#This Row],[Order_Date]]), "mmm")</f>
        <v>Jan</v>
      </c>
    </row>
    <row r="96" spans="4:17" x14ac:dyDescent="0.3">
      <c r="D96" s="1" t="s">
        <v>158</v>
      </c>
      <c r="E96" s="2">
        <v>45384</v>
      </c>
      <c r="F96" s="2">
        <v>45386</v>
      </c>
      <c r="G96" s="1" t="s">
        <v>22</v>
      </c>
      <c r="H96" s="1" t="s">
        <v>17</v>
      </c>
      <c r="I96" s="1" t="s">
        <v>32</v>
      </c>
      <c r="J96" s="1" t="s">
        <v>33</v>
      </c>
      <c r="K96" s="3">
        <v>2573.91</v>
      </c>
      <c r="L96" s="1">
        <v>8</v>
      </c>
      <c r="M96" s="1" t="s">
        <v>49</v>
      </c>
      <c r="N96" s="3">
        <v>-833.56</v>
      </c>
      <c r="O96" s="1" t="s">
        <v>2144</v>
      </c>
      <c r="P96" s="1" t="s">
        <v>2078</v>
      </c>
      <c r="Q96" s="1" t="str">
        <f>TEXT((Data[[#This Row],[Order_Date]]), "mmm")</f>
        <v>Apr</v>
      </c>
    </row>
    <row r="97" spans="4:17" x14ac:dyDescent="0.3">
      <c r="D97" s="1" t="s">
        <v>159</v>
      </c>
      <c r="E97" s="2">
        <v>45528</v>
      </c>
      <c r="F97" s="2">
        <v>45532</v>
      </c>
      <c r="G97" s="1" t="s">
        <v>31</v>
      </c>
      <c r="H97" s="1" t="s">
        <v>23</v>
      </c>
      <c r="I97" s="1" t="s">
        <v>61</v>
      </c>
      <c r="J97" s="1" t="s">
        <v>98</v>
      </c>
      <c r="K97" s="3">
        <v>3629.54</v>
      </c>
      <c r="L97" s="1">
        <v>18</v>
      </c>
      <c r="M97" s="1" t="s">
        <v>44</v>
      </c>
      <c r="N97" s="3">
        <v>261.89999999999998</v>
      </c>
      <c r="O97" s="1" t="s">
        <v>2149</v>
      </c>
      <c r="P97" s="1" t="s">
        <v>2078</v>
      </c>
      <c r="Q97" s="1" t="str">
        <f>TEXT((Data[[#This Row],[Order_Date]]), "mmm")</f>
        <v>Aug</v>
      </c>
    </row>
    <row r="98" spans="4:17" x14ac:dyDescent="0.3">
      <c r="D98" s="1" t="s">
        <v>160</v>
      </c>
      <c r="E98" s="2">
        <v>45592</v>
      </c>
      <c r="F98" s="2">
        <v>45596</v>
      </c>
      <c r="G98" s="1" t="s">
        <v>31</v>
      </c>
      <c r="H98" s="1" t="s">
        <v>12</v>
      </c>
      <c r="I98" s="1" t="s">
        <v>13</v>
      </c>
      <c r="J98" s="1" t="s">
        <v>96</v>
      </c>
      <c r="K98" s="3">
        <v>3419.89</v>
      </c>
      <c r="L98" s="1">
        <v>7</v>
      </c>
      <c r="M98" s="1" t="s">
        <v>49</v>
      </c>
      <c r="N98" s="3">
        <v>-1046.49</v>
      </c>
      <c r="O98" s="1" t="s">
        <v>2146</v>
      </c>
      <c r="P98" s="1" t="s">
        <v>2076</v>
      </c>
      <c r="Q98" s="1" t="str">
        <f>TEXT((Data[[#This Row],[Order_Date]]), "mmm")</f>
        <v>Oct</v>
      </c>
    </row>
    <row r="99" spans="4:17" x14ac:dyDescent="0.3">
      <c r="D99" s="1" t="s">
        <v>161</v>
      </c>
      <c r="E99" s="2">
        <v>45487</v>
      </c>
      <c r="F99" s="2">
        <v>45492</v>
      </c>
      <c r="G99" s="1" t="s">
        <v>36</v>
      </c>
      <c r="H99" s="1" t="s">
        <v>12</v>
      </c>
      <c r="I99" s="1" t="s">
        <v>13</v>
      </c>
      <c r="J99" s="1" t="s">
        <v>51</v>
      </c>
      <c r="K99" s="3">
        <v>3917.29</v>
      </c>
      <c r="L99" s="1">
        <v>13</v>
      </c>
      <c r="M99" s="1" t="s">
        <v>34</v>
      </c>
      <c r="N99" s="3">
        <v>205.38</v>
      </c>
      <c r="O99" s="1" t="s">
        <v>2152</v>
      </c>
      <c r="P99" s="1" t="s">
        <v>2078</v>
      </c>
      <c r="Q99" s="1" t="str">
        <f>TEXT((Data[[#This Row],[Order_Date]]), "mmm")</f>
        <v>Jul</v>
      </c>
    </row>
    <row r="100" spans="4:17" x14ac:dyDescent="0.3">
      <c r="D100" s="1" t="s">
        <v>162</v>
      </c>
      <c r="E100" s="2">
        <v>45317</v>
      </c>
      <c r="F100" s="2">
        <v>45324</v>
      </c>
      <c r="G100" s="1" t="s">
        <v>36</v>
      </c>
      <c r="H100" s="1" t="s">
        <v>17</v>
      </c>
      <c r="I100" s="1" t="s">
        <v>32</v>
      </c>
      <c r="J100" s="1" t="s">
        <v>33</v>
      </c>
      <c r="K100" s="3">
        <v>1071.27</v>
      </c>
      <c r="L100" s="1">
        <v>7</v>
      </c>
      <c r="M100" s="1" t="s">
        <v>29</v>
      </c>
      <c r="N100" s="3">
        <v>134.11000000000001</v>
      </c>
      <c r="O100" s="1" t="s">
        <v>2153</v>
      </c>
      <c r="P100" s="1" t="s">
        <v>2071</v>
      </c>
      <c r="Q100" s="1" t="str">
        <f>TEXT((Data[[#This Row],[Order_Date]]), "mmm")</f>
        <v>Jan</v>
      </c>
    </row>
    <row r="101" spans="4:17" x14ac:dyDescent="0.3">
      <c r="D101" s="1" t="s">
        <v>163</v>
      </c>
      <c r="E101" s="2">
        <v>45629</v>
      </c>
      <c r="F101" s="2">
        <v>45631</v>
      </c>
      <c r="G101" s="1" t="s">
        <v>11</v>
      </c>
      <c r="H101" s="1" t="s">
        <v>12</v>
      </c>
      <c r="I101" s="1" t="s">
        <v>38</v>
      </c>
      <c r="J101" s="1" t="s">
        <v>85</v>
      </c>
      <c r="K101" s="3">
        <v>3207.29</v>
      </c>
      <c r="L101" s="1">
        <v>2</v>
      </c>
      <c r="M101" s="1" t="s">
        <v>29</v>
      </c>
      <c r="N101" s="3">
        <v>-511.43</v>
      </c>
      <c r="O101" s="1" t="s">
        <v>2154</v>
      </c>
      <c r="P101" s="1" t="s">
        <v>2078</v>
      </c>
      <c r="Q101" s="1" t="str">
        <f>TEXT((Data[[#This Row],[Order_Date]]), "mmm")</f>
        <v>Dec</v>
      </c>
    </row>
    <row r="102" spans="4:17" x14ac:dyDescent="0.3">
      <c r="D102" s="1" t="s">
        <v>164</v>
      </c>
      <c r="E102" s="2">
        <v>45443</v>
      </c>
      <c r="F102" s="2">
        <v>45448</v>
      </c>
      <c r="G102" s="1" t="s">
        <v>31</v>
      </c>
      <c r="H102" s="1" t="s">
        <v>17</v>
      </c>
      <c r="I102" s="1" t="s">
        <v>18</v>
      </c>
      <c r="J102" s="1" t="s">
        <v>19</v>
      </c>
      <c r="K102" s="3">
        <v>3199.42</v>
      </c>
      <c r="L102" s="1">
        <v>12</v>
      </c>
      <c r="M102" s="1" t="s">
        <v>29</v>
      </c>
      <c r="N102" s="3">
        <v>641.61</v>
      </c>
      <c r="O102" s="1" t="s">
        <v>2122</v>
      </c>
      <c r="P102" s="1" t="s">
        <v>2071</v>
      </c>
      <c r="Q102" s="1" t="str">
        <f>TEXT((Data[[#This Row],[Order_Date]]), "mmm")</f>
        <v>May</v>
      </c>
    </row>
    <row r="103" spans="4:17" x14ac:dyDescent="0.3">
      <c r="D103" s="1" t="s">
        <v>165</v>
      </c>
      <c r="E103" s="2">
        <v>45376</v>
      </c>
      <c r="F103" s="2">
        <v>45380</v>
      </c>
      <c r="G103" s="1" t="s">
        <v>31</v>
      </c>
      <c r="H103" s="1" t="s">
        <v>23</v>
      </c>
      <c r="I103" s="1" t="s">
        <v>24</v>
      </c>
      <c r="J103" s="1" t="s">
        <v>25</v>
      </c>
      <c r="K103" s="3">
        <v>2006.24</v>
      </c>
      <c r="L103" s="1">
        <v>3</v>
      </c>
      <c r="M103" s="1" t="s">
        <v>44</v>
      </c>
      <c r="N103" s="3">
        <v>554.21</v>
      </c>
      <c r="O103" s="1" t="s">
        <v>2155</v>
      </c>
      <c r="P103" s="1" t="s">
        <v>2076</v>
      </c>
      <c r="Q103" s="1" t="str">
        <f>TEXT((Data[[#This Row],[Order_Date]]), "mmm")</f>
        <v>Mar</v>
      </c>
    </row>
    <row r="104" spans="4:17" x14ac:dyDescent="0.3">
      <c r="D104" s="1" t="s">
        <v>166</v>
      </c>
      <c r="E104" s="2">
        <v>45638</v>
      </c>
      <c r="F104" s="2">
        <v>45644</v>
      </c>
      <c r="G104" s="1" t="s">
        <v>36</v>
      </c>
      <c r="H104" s="1" t="s">
        <v>17</v>
      </c>
      <c r="I104" s="1" t="s">
        <v>27</v>
      </c>
      <c r="J104" s="1" t="s">
        <v>28</v>
      </c>
      <c r="K104" s="3">
        <v>1241.72</v>
      </c>
      <c r="L104" s="1">
        <v>4</v>
      </c>
      <c r="M104" s="1" t="s">
        <v>49</v>
      </c>
      <c r="N104" s="3">
        <v>199.39</v>
      </c>
      <c r="O104" s="1" t="s">
        <v>2085</v>
      </c>
      <c r="P104" s="1" t="s">
        <v>2076</v>
      </c>
      <c r="Q104" s="1" t="str">
        <f>TEXT((Data[[#This Row],[Order_Date]]), "mmm")</f>
        <v>Dec</v>
      </c>
    </row>
    <row r="105" spans="4:17" x14ac:dyDescent="0.3">
      <c r="D105" s="1" t="s">
        <v>167</v>
      </c>
      <c r="E105" s="2">
        <v>45426</v>
      </c>
      <c r="F105" s="2">
        <v>45432</v>
      </c>
      <c r="G105" s="1" t="s">
        <v>36</v>
      </c>
      <c r="H105" s="1" t="s">
        <v>17</v>
      </c>
      <c r="I105" s="1" t="s">
        <v>32</v>
      </c>
      <c r="J105" s="1" t="s">
        <v>56</v>
      </c>
      <c r="K105" s="3">
        <v>2018.04</v>
      </c>
      <c r="L105" s="1">
        <v>20</v>
      </c>
      <c r="M105" s="1" t="s">
        <v>29</v>
      </c>
      <c r="N105" s="3">
        <v>299.48</v>
      </c>
      <c r="O105" s="1" t="s">
        <v>2073</v>
      </c>
      <c r="P105" s="1" t="s">
        <v>2071</v>
      </c>
      <c r="Q105" s="1" t="str">
        <f>TEXT((Data[[#This Row],[Order_Date]]), "mmm")</f>
        <v>May</v>
      </c>
    </row>
    <row r="106" spans="4:17" x14ac:dyDescent="0.3">
      <c r="D106" s="1" t="s">
        <v>168</v>
      </c>
      <c r="E106" s="2">
        <v>45623</v>
      </c>
      <c r="F106" s="2">
        <v>45624</v>
      </c>
      <c r="G106" s="1" t="s">
        <v>31</v>
      </c>
      <c r="H106" s="1" t="s">
        <v>12</v>
      </c>
      <c r="I106" s="1" t="s">
        <v>13</v>
      </c>
      <c r="J106" s="1" t="s">
        <v>96</v>
      </c>
      <c r="K106" s="3">
        <v>687.53</v>
      </c>
      <c r="L106" s="1">
        <v>2</v>
      </c>
      <c r="M106" s="1" t="s">
        <v>20</v>
      </c>
      <c r="N106" s="3">
        <v>97.15</v>
      </c>
      <c r="O106" s="1" t="s">
        <v>2126</v>
      </c>
      <c r="P106" s="1" t="s">
        <v>2071</v>
      </c>
      <c r="Q106" s="1" t="str">
        <f>TEXT((Data[[#This Row],[Order_Date]]), "mmm")</f>
        <v>Nov</v>
      </c>
    </row>
    <row r="107" spans="4:17" x14ac:dyDescent="0.3">
      <c r="D107" s="1" t="s">
        <v>169</v>
      </c>
      <c r="E107" s="2">
        <v>45341</v>
      </c>
      <c r="F107" s="2">
        <v>45344</v>
      </c>
      <c r="G107" s="1" t="s">
        <v>22</v>
      </c>
      <c r="H107" s="1" t="s">
        <v>23</v>
      </c>
      <c r="I107" s="1" t="s">
        <v>65</v>
      </c>
      <c r="J107" s="1" t="s">
        <v>114</v>
      </c>
      <c r="K107" s="3">
        <v>2764.32</v>
      </c>
      <c r="L107" s="1">
        <v>18</v>
      </c>
      <c r="M107" s="1" t="s">
        <v>49</v>
      </c>
      <c r="N107" s="3">
        <v>625.29</v>
      </c>
      <c r="O107" s="1" t="s">
        <v>2156</v>
      </c>
      <c r="P107" s="1" t="s">
        <v>2076</v>
      </c>
      <c r="Q107" s="1" t="str">
        <f>TEXT((Data[[#This Row],[Order_Date]]), "mmm")</f>
        <v>Feb</v>
      </c>
    </row>
    <row r="108" spans="4:17" x14ac:dyDescent="0.3">
      <c r="D108" s="1" t="s">
        <v>170</v>
      </c>
      <c r="E108" s="2">
        <v>45504</v>
      </c>
      <c r="F108" s="2">
        <v>45505</v>
      </c>
      <c r="G108" s="1" t="s">
        <v>31</v>
      </c>
      <c r="H108" s="1" t="s">
        <v>12</v>
      </c>
      <c r="I108" s="1" t="s">
        <v>42</v>
      </c>
      <c r="J108" s="1" t="s">
        <v>46</v>
      </c>
      <c r="K108" s="3">
        <v>372.69</v>
      </c>
      <c r="L108" s="1">
        <v>12</v>
      </c>
      <c r="M108" s="1" t="s">
        <v>44</v>
      </c>
      <c r="N108" s="3">
        <v>68.209999999999994</v>
      </c>
      <c r="O108" s="1" t="s">
        <v>2147</v>
      </c>
      <c r="P108" s="1" t="s">
        <v>2078</v>
      </c>
      <c r="Q108" s="1" t="str">
        <f>TEXT((Data[[#This Row],[Order_Date]]), "mmm")</f>
        <v>Jul</v>
      </c>
    </row>
    <row r="109" spans="4:17" x14ac:dyDescent="0.3">
      <c r="D109" s="1" t="s">
        <v>171</v>
      </c>
      <c r="E109" s="2">
        <v>45477</v>
      </c>
      <c r="F109" s="2">
        <v>45478</v>
      </c>
      <c r="G109" s="1" t="s">
        <v>36</v>
      </c>
      <c r="H109" s="1" t="s">
        <v>12</v>
      </c>
      <c r="I109" s="1" t="s">
        <v>13</v>
      </c>
      <c r="J109" s="1" t="s">
        <v>51</v>
      </c>
      <c r="K109" s="3">
        <v>1743.02</v>
      </c>
      <c r="L109" s="1">
        <v>7</v>
      </c>
      <c r="M109" s="1" t="s">
        <v>20</v>
      </c>
      <c r="N109" s="3">
        <v>583.39</v>
      </c>
      <c r="O109" s="1" t="s">
        <v>2157</v>
      </c>
      <c r="P109" s="1" t="s">
        <v>2076</v>
      </c>
      <c r="Q109" s="1" t="str">
        <f>TEXT((Data[[#This Row],[Order_Date]]), "mmm")</f>
        <v>Jul</v>
      </c>
    </row>
    <row r="110" spans="4:17" x14ac:dyDescent="0.3">
      <c r="D110" s="1" t="s">
        <v>172</v>
      </c>
      <c r="E110" s="2">
        <v>45338</v>
      </c>
      <c r="F110" s="2">
        <v>45341</v>
      </c>
      <c r="G110" s="1" t="s">
        <v>11</v>
      </c>
      <c r="H110" s="1" t="s">
        <v>17</v>
      </c>
      <c r="I110" s="1" t="s">
        <v>27</v>
      </c>
      <c r="J110" s="1" t="s">
        <v>132</v>
      </c>
      <c r="K110" s="3">
        <v>3958.08</v>
      </c>
      <c r="L110" s="1">
        <v>19</v>
      </c>
      <c r="M110" s="1" t="s">
        <v>44</v>
      </c>
      <c r="N110" s="3">
        <v>279.37</v>
      </c>
      <c r="O110" s="1" t="s">
        <v>2158</v>
      </c>
      <c r="P110" s="1" t="s">
        <v>2071</v>
      </c>
      <c r="Q110" s="1" t="str">
        <f>TEXT((Data[[#This Row],[Order_Date]]), "mmm")</f>
        <v>Feb</v>
      </c>
    </row>
    <row r="111" spans="4:17" x14ac:dyDescent="0.3">
      <c r="D111" s="1" t="s">
        <v>173</v>
      </c>
      <c r="E111" s="2">
        <v>45398</v>
      </c>
      <c r="F111" s="2">
        <v>45401</v>
      </c>
      <c r="G111" s="1" t="s">
        <v>22</v>
      </c>
      <c r="H111" s="1" t="s">
        <v>23</v>
      </c>
      <c r="I111" s="1" t="s">
        <v>78</v>
      </c>
      <c r="J111" s="1" t="s">
        <v>118</v>
      </c>
      <c r="K111" s="3">
        <v>1289.78</v>
      </c>
      <c r="L111" s="1">
        <v>5</v>
      </c>
      <c r="M111" s="1" t="s">
        <v>44</v>
      </c>
      <c r="N111" s="3">
        <v>273.52</v>
      </c>
      <c r="O111" s="1" t="s">
        <v>2159</v>
      </c>
      <c r="P111" s="1" t="s">
        <v>2071</v>
      </c>
      <c r="Q111" s="1" t="str">
        <f>TEXT((Data[[#This Row],[Order_Date]]), "mmm")</f>
        <v>Apr</v>
      </c>
    </row>
    <row r="112" spans="4:17" x14ac:dyDescent="0.3">
      <c r="D112" s="1" t="s">
        <v>174</v>
      </c>
      <c r="E112" s="2">
        <v>45348</v>
      </c>
      <c r="F112" s="2">
        <v>45348</v>
      </c>
      <c r="G112" s="1" t="s">
        <v>22</v>
      </c>
      <c r="H112" s="1" t="s">
        <v>17</v>
      </c>
      <c r="I112" s="1" t="s">
        <v>27</v>
      </c>
      <c r="J112" s="1" t="s">
        <v>132</v>
      </c>
      <c r="K112" s="3">
        <v>2458.1999999999998</v>
      </c>
      <c r="L112" s="1">
        <v>1</v>
      </c>
      <c r="M112" s="1" t="s">
        <v>44</v>
      </c>
      <c r="N112" s="3">
        <v>-318.61</v>
      </c>
      <c r="O112" s="1" t="s">
        <v>2082</v>
      </c>
      <c r="P112" s="1" t="s">
        <v>2071</v>
      </c>
      <c r="Q112" s="1" t="str">
        <f>TEXT((Data[[#This Row],[Order_Date]]), "mmm")</f>
        <v>Feb</v>
      </c>
    </row>
    <row r="113" spans="4:17" x14ac:dyDescent="0.3">
      <c r="D113" s="1" t="s">
        <v>175</v>
      </c>
      <c r="E113" s="2">
        <v>45507</v>
      </c>
      <c r="F113" s="2">
        <v>45508</v>
      </c>
      <c r="G113" s="1" t="s">
        <v>11</v>
      </c>
      <c r="H113" s="1" t="s">
        <v>23</v>
      </c>
      <c r="I113" s="1" t="s">
        <v>65</v>
      </c>
      <c r="J113" s="1" t="s">
        <v>114</v>
      </c>
      <c r="K113" s="3">
        <v>2174.64</v>
      </c>
      <c r="L113" s="1">
        <v>4</v>
      </c>
      <c r="M113" s="1" t="s">
        <v>49</v>
      </c>
      <c r="N113" s="3">
        <v>437.43</v>
      </c>
      <c r="O113" s="1" t="s">
        <v>2152</v>
      </c>
      <c r="P113" s="1" t="s">
        <v>2071</v>
      </c>
      <c r="Q113" s="1" t="str">
        <f>TEXT((Data[[#This Row],[Order_Date]]), "mmm")</f>
        <v>Aug</v>
      </c>
    </row>
    <row r="114" spans="4:17" x14ac:dyDescent="0.3">
      <c r="D114" s="1" t="s">
        <v>176</v>
      </c>
      <c r="E114" s="2">
        <v>45314</v>
      </c>
      <c r="F114" s="2">
        <v>45318</v>
      </c>
      <c r="G114" s="1" t="s">
        <v>31</v>
      </c>
      <c r="H114" s="1" t="s">
        <v>12</v>
      </c>
      <c r="I114" s="1" t="s">
        <v>38</v>
      </c>
      <c r="J114" s="1" t="s">
        <v>81</v>
      </c>
      <c r="K114" s="3">
        <v>3994.7</v>
      </c>
      <c r="L114" s="1">
        <v>13</v>
      </c>
      <c r="M114" s="1" t="s">
        <v>49</v>
      </c>
      <c r="N114" s="3">
        <v>1021.96</v>
      </c>
      <c r="O114" s="1" t="s">
        <v>2160</v>
      </c>
      <c r="P114" s="1" t="s">
        <v>2071</v>
      </c>
      <c r="Q114" s="1" t="str">
        <f>TEXT((Data[[#This Row],[Order_Date]]), "mmm")</f>
        <v>Jan</v>
      </c>
    </row>
    <row r="115" spans="4:17" x14ac:dyDescent="0.3">
      <c r="D115" s="1" t="s">
        <v>177</v>
      </c>
      <c r="E115" s="2">
        <v>45519</v>
      </c>
      <c r="F115" s="2">
        <v>45520</v>
      </c>
      <c r="G115" s="1" t="s">
        <v>11</v>
      </c>
      <c r="H115" s="1" t="s">
        <v>23</v>
      </c>
      <c r="I115" s="1" t="s">
        <v>78</v>
      </c>
      <c r="J115" s="1" t="s">
        <v>118</v>
      </c>
      <c r="K115" s="3">
        <v>723.22</v>
      </c>
      <c r="L115" s="1">
        <v>20</v>
      </c>
      <c r="M115" s="1" t="s">
        <v>15</v>
      </c>
      <c r="N115" s="3">
        <v>163.16999999999999</v>
      </c>
      <c r="O115" s="1" t="s">
        <v>2161</v>
      </c>
      <c r="P115" s="1" t="s">
        <v>2071</v>
      </c>
      <c r="Q115" s="1" t="str">
        <f>TEXT((Data[[#This Row],[Order_Date]]), "mmm")</f>
        <v>Aug</v>
      </c>
    </row>
    <row r="116" spans="4:17" x14ac:dyDescent="0.3">
      <c r="D116" s="1" t="s">
        <v>178</v>
      </c>
      <c r="E116" s="2">
        <v>45487</v>
      </c>
      <c r="F116" s="2">
        <v>45491</v>
      </c>
      <c r="G116" s="1" t="s">
        <v>31</v>
      </c>
      <c r="H116" s="1" t="s">
        <v>12</v>
      </c>
      <c r="I116" s="1" t="s">
        <v>42</v>
      </c>
      <c r="J116" s="1" t="s">
        <v>48</v>
      </c>
      <c r="K116" s="3">
        <v>3224.11</v>
      </c>
      <c r="L116" s="1">
        <v>4</v>
      </c>
      <c r="M116" s="1" t="s">
        <v>15</v>
      </c>
      <c r="N116" s="3">
        <v>790.79</v>
      </c>
      <c r="O116" s="1" t="s">
        <v>2162</v>
      </c>
      <c r="P116" s="1" t="s">
        <v>2071</v>
      </c>
      <c r="Q116" s="1" t="str">
        <f>TEXT((Data[[#This Row],[Order_Date]]), "mmm")</f>
        <v>Jul</v>
      </c>
    </row>
    <row r="117" spans="4:17" x14ac:dyDescent="0.3">
      <c r="D117" s="1" t="s">
        <v>179</v>
      </c>
      <c r="E117" s="2">
        <v>45402</v>
      </c>
      <c r="F117" s="2">
        <v>45408</v>
      </c>
      <c r="G117" s="1" t="s">
        <v>31</v>
      </c>
      <c r="H117" s="1" t="s">
        <v>17</v>
      </c>
      <c r="I117" s="1" t="s">
        <v>27</v>
      </c>
      <c r="J117" s="1" t="s">
        <v>110</v>
      </c>
      <c r="K117" s="3">
        <v>3352.82</v>
      </c>
      <c r="L117" s="1">
        <v>13</v>
      </c>
      <c r="M117" s="1" t="s">
        <v>49</v>
      </c>
      <c r="N117" s="3">
        <v>901.52</v>
      </c>
      <c r="O117" s="1" t="s">
        <v>2163</v>
      </c>
      <c r="P117" s="1" t="s">
        <v>2078</v>
      </c>
      <c r="Q117" s="1" t="str">
        <f>TEXT((Data[[#This Row],[Order_Date]]), "mmm")</f>
        <v>Apr</v>
      </c>
    </row>
    <row r="118" spans="4:17" x14ac:dyDescent="0.3">
      <c r="D118" s="1" t="s">
        <v>180</v>
      </c>
      <c r="E118" s="2">
        <v>45452</v>
      </c>
      <c r="F118" s="2">
        <v>45456</v>
      </c>
      <c r="G118" s="1" t="s">
        <v>36</v>
      </c>
      <c r="H118" s="1" t="s">
        <v>17</v>
      </c>
      <c r="I118" s="1" t="s">
        <v>32</v>
      </c>
      <c r="J118" s="1" t="s">
        <v>33</v>
      </c>
      <c r="K118" s="3">
        <v>501.75</v>
      </c>
      <c r="L118" s="1">
        <v>3</v>
      </c>
      <c r="M118" s="1" t="s">
        <v>20</v>
      </c>
      <c r="N118" s="3">
        <v>90.1</v>
      </c>
      <c r="O118" s="1" t="s">
        <v>2164</v>
      </c>
      <c r="P118" s="1" t="s">
        <v>2071</v>
      </c>
      <c r="Q118" s="1" t="str">
        <f>TEXT((Data[[#This Row],[Order_Date]]), "mmm")</f>
        <v>Jun</v>
      </c>
    </row>
    <row r="119" spans="4:17" x14ac:dyDescent="0.3">
      <c r="D119" s="1" t="s">
        <v>181</v>
      </c>
      <c r="E119" s="2">
        <v>45482</v>
      </c>
      <c r="F119" s="2">
        <v>45484</v>
      </c>
      <c r="G119" s="1" t="s">
        <v>11</v>
      </c>
      <c r="H119" s="1" t="s">
        <v>12</v>
      </c>
      <c r="I119" s="1" t="s">
        <v>13</v>
      </c>
      <c r="J119" s="1" t="s">
        <v>51</v>
      </c>
      <c r="K119" s="3">
        <v>1790.53</v>
      </c>
      <c r="L119" s="1">
        <v>14</v>
      </c>
      <c r="M119" s="1" t="s">
        <v>15</v>
      </c>
      <c r="N119" s="3">
        <v>117.16</v>
      </c>
      <c r="O119" s="1" t="s">
        <v>2165</v>
      </c>
      <c r="P119" s="1" t="s">
        <v>2076</v>
      </c>
      <c r="Q119" s="1" t="str">
        <f>TEXT((Data[[#This Row],[Order_Date]]), "mmm")</f>
        <v>Jul</v>
      </c>
    </row>
    <row r="120" spans="4:17" x14ac:dyDescent="0.3">
      <c r="D120" s="1" t="s">
        <v>182</v>
      </c>
      <c r="E120" s="2">
        <v>45451</v>
      </c>
      <c r="F120" s="2">
        <v>45456</v>
      </c>
      <c r="G120" s="1" t="s">
        <v>11</v>
      </c>
      <c r="H120" s="1" t="s">
        <v>12</v>
      </c>
      <c r="I120" s="1" t="s">
        <v>58</v>
      </c>
      <c r="J120" s="1" t="s">
        <v>120</v>
      </c>
      <c r="K120" s="3">
        <v>2712.76</v>
      </c>
      <c r="L120" s="1">
        <v>8</v>
      </c>
      <c r="M120" s="1" t="s">
        <v>20</v>
      </c>
      <c r="N120" s="3">
        <v>420.57</v>
      </c>
      <c r="O120" s="1" t="s">
        <v>2166</v>
      </c>
      <c r="P120" s="1" t="s">
        <v>2071</v>
      </c>
      <c r="Q120" s="1" t="str">
        <f>TEXT((Data[[#This Row],[Order_Date]]), "mmm")</f>
        <v>Jun</v>
      </c>
    </row>
    <row r="121" spans="4:17" x14ac:dyDescent="0.3">
      <c r="D121" s="1" t="s">
        <v>183</v>
      </c>
      <c r="E121" s="2">
        <v>45350</v>
      </c>
      <c r="F121" s="2">
        <v>45354</v>
      </c>
      <c r="G121" s="1" t="s">
        <v>22</v>
      </c>
      <c r="H121" s="1" t="s">
        <v>23</v>
      </c>
      <c r="I121" s="1" t="s">
        <v>61</v>
      </c>
      <c r="J121" s="1" t="s">
        <v>62</v>
      </c>
      <c r="K121" s="3">
        <v>3734.07</v>
      </c>
      <c r="L121" s="1">
        <v>9</v>
      </c>
      <c r="M121" s="1" t="s">
        <v>20</v>
      </c>
      <c r="N121" s="3">
        <v>388.81</v>
      </c>
      <c r="O121" s="1" t="s">
        <v>2150</v>
      </c>
      <c r="P121" s="1" t="s">
        <v>2078</v>
      </c>
      <c r="Q121" s="1" t="str">
        <f>TEXT((Data[[#This Row],[Order_Date]]), "mmm")</f>
        <v>Feb</v>
      </c>
    </row>
    <row r="122" spans="4:17" x14ac:dyDescent="0.3">
      <c r="D122" s="1" t="s">
        <v>184</v>
      </c>
      <c r="E122" s="2">
        <v>45450</v>
      </c>
      <c r="F122" s="2">
        <v>45455</v>
      </c>
      <c r="G122" s="1" t="s">
        <v>36</v>
      </c>
      <c r="H122" s="1" t="s">
        <v>17</v>
      </c>
      <c r="I122" s="1" t="s">
        <v>18</v>
      </c>
      <c r="J122" s="1" t="s">
        <v>19</v>
      </c>
      <c r="K122" s="3">
        <v>2373.6999999999998</v>
      </c>
      <c r="L122" s="1">
        <v>13</v>
      </c>
      <c r="M122" s="1" t="s">
        <v>20</v>
      </c>
      <c r="N122" s="3">
        <v>219.72</v>
      </c>
      <c r="O122" s="1" t="s">
        <v>2167</v>
      </c>
      <c r="P122" s="1" t="s">
        <v>2078</v>
      </c>
      <c r="Q122" s="1" t="str">
        <f>TEXT((Data[[#This Row],[Order_Date]]), "mmm")</f>
        <v>Jun</v>
      </c>
    </row>
    <row r="123" spans="4:17" x14ac:dyDescent="0.3">
      <c r="D123" s="1" t="s">
        <v>185</v>
      </c>
      <c r="E123" s="2">
        <v>45307</v>
      </c>
      <c r="F123" s="2">
        <v>45308</v>
      </c>
      <c r="G123" s="1" t="s">
        <v>22</v>
      </c>
      <c r="H123" s="1" t="s">
        <v>23</v>
      </c>
      <c r="I123" s="1" t="s">
        <v>65</v>
      </c>
      <c r="J123" s="1" t="s">
        <v>114</v>
      </c>
      <c r="K123" s="3">
        <v>1528.36</v>
      </c>
      <c r="L123" s="1">
        <v>12</v>
      </c>
      <c r="M123" s="1" t="s">
        <v>34</v>
      </c>
      <c r="N123" s="3">
        <v>407.28</v>
      </c>
      <c r="O123" s="1" t="s">
        <v>2168</v>
      </c>
      <c r="P123" s="1" t="s">
        <v>2076</v>
      </c>
      <c r="Q123" s="1" t="str">
        <f>TEXT((Data[[#This Row],[Order_Date]]), "mmm")</f>
        <v>Jan</v>
      </c>
    </row>
    <row r="124" spans="4:17" x14ac:dyDescent="0.3">
      <c r="D124" s="1" t="s">
        <v>186</v>
      </c>
      <c r="E124" s="2">
        <v>45582</v>
      </c>
      <c r="F124" s="2">
        <v>45583</v>
      </c>
      <c r="G124" s="1" t="s">
        <v>11</v>
      </c>
      <c r="H124" s="1" t="s">
        <v>17</v>
      </c>
      <c r="I124" s="1" t="s">
        <v>18</v>
      </c>
      <c r="J124" s="1" t="s">
        <v>90</v>
      </c>
      <c r="K124" s="3">
        <v>436.61</v>
      </c>
      <c r="L124" s="1">
        <v>3</v>
      </c>
      <c r="M124" s="1" t="s">
        <v>34</v>
      </c>
      <c r="N124" s="3">
        <v>79.87</v>
      </c>
      <c r="O124" s="1" t="s">
        <v>2169</v>
      </c>
      <c r="P124" s="1" t="s">
        <v>2078</v>
      </c>
      <c r="Q124" s="1" t="str">
        <f>TEXT((Data[[#This Row],[Order_Date]]), "mmm")</f>
        <v>Oct</v>
      </c>
    </row>
    <row r="125" spans="4:17" x14ac:dyDescent="0.3">
      <c r="D125" s="1" t="s">
        <v>187</v>
      </c>
      <c r="E125" s="2">
        <v>45602</v>
      </c>
      <c r="F125" s="2">
        <v>45609</v>
      </c>
      <c r="G125" s="1" t="s">
        <v>31</v>
      </c>
      <c r="H125" s="1" t="s">
        <v>23</v>
      </c>
      <c r="I125" s="1" t="s">
        <v>78</v>
      </c>
      <c r="J125" s="1" t="s">
        <v>118</v>
      </c>
      <c r="K125" s="3">
        <v>1544.4</v>
      </c>
      <c r="L125" s="1">
        <v>4</v>
      </c>
      <c r="M125" s="1" t="s">
        <v>34</v>
      </c>
      <c r="N125" s="3">
        <v>391.45</v>
      </c>
      <c r="O125" s="1" t="s">
        <v>2123</v>
      </c>
      <c r="P125" s="1" t="s">
        <v>2076</v>
      </c>
      <c r="Q125" s="1" t="str">
        <f>TEXT((Data[[#This Row],[Order_Date]]), "mmm")</f>
        <v>Nov</v>
      </c>
    </row>
    <row r="126" spans="4:17" x14ac:dyDescent="0.3">
      <c r="D126" s="1" t="s">
        <v>188</v>
      </c>
      <c r="E126" s="2">
        <v>45561</v>
      </c>
      <c r="F126" s="2">
        <v>45565</v>
      </c>
      <c r="G126" s="1" t="s">
        <v>11</v>
      </c>
      <c r="H126" s="1" t="s">
        <v>17</v>
      </c>
      <c r="I126" s="1" t="s">
        <v>27</v>
      </c>
      <c r="J126" s="1" t="s">
        <v>28</v>
      </c>
      <c r="K126" s="3">
        <v>278.83</v>
      </c>
      <c r="L126" s="1">
        <v>10</v>
      </c>
      <c r="M126" s="1" t="s">
        <v>44</v>
      </c>
      <c r="N126" s="3">
        <v>78.13</v>
      </c>
      <c r="O126" s="1" t="s">
        <v>2170</v>
      </c>
      <c r="P126" s="1" t="s">
        <v>2076</v>
      </c>
      <c r="Q126" s="1" t="str">
        <f>TEXT((Data[[#This Row],[Order_Date]]), "mmm")</f>
        <v>Sep</v>
      </c>
    </row>
    <row r="127" spans="4:17" x14ac:dyDescent="0.3">
      <c r="D127" s="1" t="s">
        <v>189</v>
      </c>
      <c r="E127" s="2">
        <v>45440</v>
      </c>
      <c r="F127" s="2">
        <v>45445</v>
      </c>
      <c r="G127" s="1" t="s">
        <v>11</v>
      </c>
      <c r="H127" s="1" t="s">
        <v>17</v>
      </c>
      <c r="I127" s="1" t="s">
        <v>27</v>
      </c>
      <c r="J127" s="1" t="s">
        <v>108</v>
      </c>
      <c r="K127" s="3">
        <v>908.86</v>
      </c>
      <c r="L127" s="1">
        <v>13</v>
      </c>
      <c r="M127" s="1" t="s">
        <v>29</v>
      </c>
      <c r="N127" s="3">
        <v>237.3</v>
      </c>
      <c r="O127" s="1" t="s">
        <v>2070</v>
      </c>
      <c r="P127" s="1" t="s">
        <v>2071</v>
      </c>
      <c r="Q127" s="1" t="str">
        <f>TEXT((Data[[#This Row],[Order_Date]]), "mmm")</f>
        <v>May</v>
      </c>
    </row>
    <row r="128" spans="4:17" x14ac:dyDescent="0.3">
      <c r="D128" s="1" t="s">
        <v>190</v>
      </c>
      <c r="E128" s="2">
        <v>45634</v>
      </c>
      <c r="F128" s="2">
        <v>45639</v>
      </c>
      <c r="G128" s="1" t="s">
        <v>11</v>
      </c>
      <c r="H128" s="1" t="s">
        <v>23</v>
      </c>
      <c r="I128" s="1" t="s">
        <v>61</v>
      </c>
      <c r="J128" s="1" t="s">
        <v>98</v>
      </c>
      <c r="K128" s="3">
        <v>320.27999999999997</v>
      </c>
      <c r="L128" s="1">
        <v>3</v>
      </c>
      <c r="M128" s="1" t="s">
        <v>34</v>
      </c>
      <c r="N128" s="3">
        <v>71.34</v>
      </c>
      <c r="O128" s="1" t="s">
        <v>2171</v>
      </c>
      <c r="P128" s="1" t="s">
        <v>2071</v>
      </c>
      <c r="Q128" s="1" t="str">
        <f>TEXT((Data[[#This Row],[Order_Date]]), "mmm")</f>
        <v>Dec</v>
      </c>
    </row>
    <row r="129" spans="4:17" x14ac:dyDescent="0.3">
      <c r="D129" s="1" t="s">
        <v>191</v>
      </c>
      <c r="E129" s="2">
        <v>45655</v>
      </c>
      <c r="F129" s="2">
        <v>45661</v>
      </c>
      <c r="G129" s="1" t="s">
        <v>36</v>
      </c>
      <c r="H129" s="1" t="s">
        <v>17</v>
      </c>
      <c r="I129" s="1" t="s">
        <v>27</v>
      </c>
      <c r="J129" s="1" t="s">
        <v>28</v>
      </c>
      <c r="K129" s="3">
        <v>3873.25</v>
      </c>
      <c r="L129" s="1">
        <v>6</v>
      </c>
      <c r="M129" s="1" t="s">
        <v>29</v>
      </c>
      <c r="N129" s="3">
        <v>728.28</v>
      </c>
      <c r="O129" s="1" t="s">
        <v>2172</v>
      </c>
      <c r="P129" s="1" t="s">
        <v>2071</v>
      </c>
      <c r="Q129" s="1" t="str">
        <f>TEXT((Data[[#This Row],[Order_Date]]), "mmm")</f>
        <v>Dec</v>
      </c>
    </row>
    <row r="130" spans="4:17" x14ac:dyDescent="0.3">
      <c r="D130" s="1" t="s">
        <v>192</v>
      </c>
      <c r="E130" s="2">
        <v>45477</v>
      </c>
      <c r="F130" s="2">
        <v>45478</v>
      </c>
      <c r="G130" s="1" t="s">
        <v>31</v>
      </c>
      <c r="H130" s="1" t="s">
        <v>17</v>
      </c>
      <c r="I130" s="1" t="s">
        <v>18</v>
      </c>
      <c r="J130" s="1" t="s">
        <v>54</v>
      </c>
      <c r="K130" s="3">
        <v>2458.27</v>
      </c>
      <c r="L130" s="1">
        <v>17</v>
      </c>
      <c r="M130" s="1" t="s">
        <v>20</v>
      </c>
      <c r="N130" s="3">
        <v>414.78</v>
      </c>
      <c r="O130" s="1" t="s">
        <v>2173</v>
      </c>
      <c r="P130" s="1" t="s">
        <v>2071</v>
      </c>
      <c r="Q130" s="1" t="str">
        <f>TEXT((Data[[#This Row],[Order_Date]]), "mmm")</f>
        <v>Jul</v>
      </c>
    </row>
    <row r="131" spans="4:17" x14ac:dyDescent="0.3">
      <c r="D131" s="1" t="s">
        <v>193</v>
      </c>
      <c r="E131" s="2">
        <v>45465</v>
      </c>
      <c r="F131" s="2">
        <v>45468</v>
      </c>
      <c r="G131" s="1" t="s">
        <v>36</v>
      </c>
      <c r="H131" s="1" t="s">
        <v>17</v>
      </c>
      <c r="I131" s="1" t="s">
        <v>18</v>
      </c>
      <c r="J131" s="1" t="s">
        <v>90</v>
      </c>
      <c r="K131" s="3">
        <v>2624.59</v>
      </c>
      <c r="L131" s="1">
        <v>17</v>
      </c>
      <c r="M131" s="1" t="s">
        <v>29</v>
      </c>
      <c r="N131" s="3">
        <v>283.89999999999998</v>
      </c>
      <c r="O131" s="1" t="s">
        <v>2111</v>
      </c>
      <c r="P131" s="1" t="s">
        <v>2071</v>
      </c>
      <c r="Q131" s="1" t="str">
        <f>TEXT((Data[[#This Row],[Order_Date]]), "mmm")</f>
        <v>Jun</v>
      </c>
    </row>
    <row r="132" spans="4:17" x14ac:dyDescent="0.3">
      <c r="D132" s="1" t="s">
        <v>194</v>
      </c>
      <c r="E132" s="2">
        <v>45471</v>
      </c>
      <c r="F132" s="2">
        <v>45473</v>
      </c>
      <c r="G132" s="1" t="s">
        <v>22</v>
      </c>
      <c r="H132" s="1" t="s">
        <v>17</v>
      </c>
      <c r="I132" s="1" t="s">
        <v>18</v>
      </c>
      <c r="J132" s="1" t="s">
        <v>54</v>
      </c>
      <c r="K132" s="3">
        <v>989.77</v>
      </c>
      <c r="L132" s="1">
        <v>20</v>
      </c>
      <c r="M132" s="1" t="s">
        <v>44</v>
      </c>
      <c r="N132" s="3">
        <v>275.22000000000003</v>
      </c>
      <c r="O132" s="1" t="s">
        <v>2168</v>
      </c>
      <c r="P132" s="1" t="s">
        <v>2071</v>
      </c>
      <c r="Q132" s="1" t="str">
        <f>TEXT((Data[[#This Row],[Order_Date]]), "mmm")</f>
        <v>Jun</v>
      </c>
    </row>
    <row r="133" spans="4:17" x14ac:dyDescent="0.3">
      <c r="D133" s="1" t="s">
        <v>195</v>
      </c>
      <c r="E133" s="2">
        <v>45382</v>
      </c>
      <c r="F133" s="2">
        <v>45389</v>
      </c>
      <c r="G133" s="1" t="s">
        <v>31</v>
      </c>
      <c r="H133" s="1" t="s">
        <v>12</v>
      </c>
      <c r="I133" s="1" t="s">
        <v>42</v>
      </c>
      <c r="J133" s="1" t="s">
        <v>46</v>
      </c>
      <c r="K133" s="3">
        <v>3490.93</v>
      </c>
      <c r="L133" s="1">
        <v>11</v>
      </c>
      <c r="M133" s="1" t="s">
        <v>44</v>
      </c>
      <c r="N133" s="3">
        <v>635.1</v>
      </c>
      <c r="O133" s="1" t="s">
        <v>2108</v>
      </c>
      <c r="P133" s="1" t="s">
        <v>2078</v>
      </c>
      <c r="Q133" s="1" t="str">
        <f>TEXT((Data[[#This Row],[Order_Date]]), "mmm")</f>
        <v>Mar</v>
      </c>
    </row>
    <row r="134" spans="4:17" x14ac:dyDescent="0.3">
      <c r="D134" s="1" t="s">
        <v>196</v>
      </c>
      <c r="E134" s="2">
        <v>45615</v>
      </c>
      <c r="F134" s="2">
        <v>45619</v>
      </c>
      <c r="G134" s="1" t="s">
        <v>36</v>
      </c>
      <c r="H134" s="1" t="s">
        <v>12</v>
      </c>
      <c r="I134" s="1" t="s">
        <v>38</v>
      </c>
      <c r="J134" s="1" t="s">
        <v>85</v>
      </c>
      <c r="K134" s="3">
        <v>2152.5100000000002</v>
      </c>
      <c r="L134" s="1">
        <v>10</v>
      </c>
      <c r="M134" s="1" t="s">
        <v>49</v>
      </c>
      <c r="N134" s="3">
        <v>-399.45</v>
      </c>
      <c r="O134" s="1" t="s">
        <v>2101</v>
      </c>
      <c r="P134" s="1" t="s">
        <v>2076</v>
      </c>
      <c r="Q134" s="1" t="str">
        <f>TEXT((Data[[#This Row],[Order_Date]]), "mmm")</f>
        <v>Nov</v>
      </c>
    </row>
    <row r="135" spans="4:17" x14ac:dyDescent="0.3">
      <c r="D135" s="1" t="s">
        <v>197</v>
      </c>
      <c r="E135" s="2">
        <v>45438</v>
      </c>
      <c r="F135" s="2">
        <v>45439</v>
      </c>
      <c r="G135" s="1" t="s">
        <v>11</v>
      </c>
      <c r="H135" s="1" t="s">
        <v>12</v>
      </c>
      <c r="I135" s="1" t="s">
        <v>42</v>
      </c>
      <c r="J135" s="1" t="s">
        <v>43</v>
      </c>
      <c r="K135" s="3">
        <v>2426.2399999999998</v>
      </c>
      <c r="L135" s="1">
        <v>2</v>
      </c>
      <c r="M135" s="1" t="s">
        <v>49</v>
      </c>
      <c r="N135" s="3">
        <v>782.98</v>
      </c>
      <c r="O135" s="1" t="s">
        <v>2174</v>
      </c>
      <c r="P135" s="1" t="s">
        <v>2078</v>
      </c>
      <c r="Q135" s="1" t="str">
        <f>TEXT((Data[[#This Row],[Order_Date]]), "mmm")</f>
        <v>May</v>
      </c>
    </row>
    <row r="136" spans="4:17" x14ac:dyDescent="0.3">
      <c r="D136" s="1" t="s">
        <v>198</v>
      </c>
      <c r="E136" s="2">
        <v>45388</v>
      </c>
      <c r="F136" s="2">
        <v>45393</v>
      </c>
      <c r="G136" s="1" t="s">
        <v>31</v>
      </c>
      <c r="H136" s="1" t="s">
        <v>12</v>
      </c>
      <c r="I136" s="1" t="s">
        <v>58</v>
      </c>
      <c r="J136" s="1" t="s">
        <v>120</v>
      </c>
      <c r="K136" s="3">
        <v>1939.46</v>
      </c>
      <c r="L136" s="1">
        <v>11</v>
      </c>
      <c r="M136" s="1" t="s">
        <v>15</v>
      </c>
      <c r="N136" s="3">
        <v>146.04</v>
      </c>
      <c r="O136" s="1" t="s">
        <v>2175</v>
      </c>
      <c r="P136" s="1" t="s">
        <v>2076</v>
      </c>
      <c r="Q136" s="1" t="str">
        <f>TEXT((Data[[#This Row],[Order_Date]]), "mmm")</f>
        <v>Apr</v>
      </c>
    </row>
    <row r="137" spans="4:17" x14ac:dyDescent="0.3">
      <c r="D137" s="1" t="s">
        <v>199</v>
      </c>
      <c r="E137" s="2">
        <v>45312</v>
      </c>
      <c r="F137" s="2">
        <v>45315</v>
      </c>
      <c r="G137" s="1" t="s">
        <v>31</v>
      </c>
      <c r="H137" s="1" t="s">
        <v>23</v>
      </c>
      <c r="I137" s="1" t="s">
        <v>78</v>
      </c>
      <c r="J137" s="1" t="s">
        <v>79</v>
      </c>
      <c r="K137" s="3">
        <v>1648.19</v>
      </c>
      <c r="L137" s="1">
        <v>10</v>
      </c>
      <c r="M137" s="1" t="s">
        <v>49</v>
      </c>
      <c r="N137" s="3">
        <v>284.52999999999997</v>
      </c>
      <c r="O137" s="1" t="s">
        <v>2176</v>
      </c>
      <c r="P137" s="1" t="s">
        <v>2078</v>
      </c>
      <c r="Q137" s="1" t="str">
        <f>TEXT((Data[[#This Row],[Order_Date]]), "mmm")</f>
        <v>Jan</v>
      </c>
    </row>
    <row r="138" spans="4:17" x14ac:dyDescent="0.3">
      <c r="D138" s="1" t="s">
        <v>200</v>
      </c>
      <c r="E138" s="2">
        <v>45598</v>
      </c>
      <c r="F138" s="2">
        <v>45598</v>
      </c>
      <c r="G138" s="1" t="s">
        <v>36</v>
      </c>
      <c r="H138" s="1" t="s">
        <v>17</v>
      </c>
      <c r="I138" s="1" t="s">
        <v>27</v>
      </c>
      <c r="J138" s="1" t="s">
        <v>28</v>
      </c>
      <c r="K138" s="3">
        <v>2342.36</v>
      </c>
      <c r="L138" s="1">
        <v>13</v>
      </c>
      <c r="M138" s="1" t="s">
        <v>34</v>
      </c>
      <c r="N138" s="3">
        <v>294.2</v>
      </c>
      <c r="O138" s="1" t="s">
        <v>2142</v>
      </c>
      <c r="P138" s="1" t="s">
        <v>2078</v>
      </c>
      <c r="Q138" s="1" t="str">
        <f>TEXT((Data[[#This Row],[Order_Date]]), "mmm")</f>
        <v>Nov</v>
      </c>
    </row>
    <row r="139" spans="4:17" x14ac:dyDescent="0.3">
      <c r="D139" s="1" t="s">
        <v>201</v>
      </c>
      <c r="E139" s="2">
        <v>45600</v>
      </c>
      <c r="F139" s="2">
        <v>45602</v>
      </c>
      <c r="G139" s="1" t="s">
        <v>36</v>
      </c>
      <c r="H139" s="1" t="s">
        <v>17</v>
      </c>
      <c r="I139" s="1" t="s">
        <v>32</v>
      </c>
      <c r="J139" s="1" t="s">
        <v>56</v>
      </c>
      <c r="K139" s="3">
        <v>3687.8</v>
      </c>
      <c r="L139" s="1">
        <v>10</v>
      </c>
      <c r="M139" s="1" t="s">
        <v>15</v>
      </c>
      <c r="N139" s="3">
        <v>957.15</v>
      </c>
      <c r="O139" s="1" t="s">
        <v>2177</v>
      </c>
      <c r="P139" s="1" t="s">
        <v>2076</v>
      </c>
      <c r="Q139" s="1" t="str">
        <f>TEXT((Data[[#This Row],[Order_Date]]), "mmm")</f>
        <v>Nov</v>
      </c>
    </row>
    <row r="140" spans="4:17" x14ac:dyDescent="0.3">
      <c r="D140" s="1" t="s">
        <v>202</v>
      </c>
      <c r="E140" s="2">
        <v>45596</v>
      </c>
      <c r="F140" s="2">
        <v>45597</v>
      </c>
      <c r="G140" s="1" t="s">
        <v>36</v>
      </c>
      <c r="H140" s="1" t="s">
        <v>12</v>
      </c>
      <c r="I140" s="1" t="s">
        <v>42</v>
      </c>
      <c r="J140" s="1" t="s">
        <v>46</v>
      </c>
      <c r="K140" s="3">
        <v>3299.44</v>
      </c>
      <c r="L140" s="1">
        <v>17</v>
      </c>
      <c r="M140" s="1" t="s">
        <v>20</v>
      </c>
      <c r="N140" s="3">
        <v>804.43</v>
      </c>
      <c r="O140" s="1" t="s">
        <v>2121</v>
      </c>
      <c r="P140" s="1" t="s">
        <v>2078</v>
      </c>
      <c r="Q140" s="1" t="str">
        <f>TEXT((Data[[#This Row],[Order_Date]]), "mmm")</f>
        <v>Oct</v>
      </c>
    </row>
    <row r="141" spans="4:17" x14ac:dyDescent="0.3">
      <c r="D141" s="1" t="s">
        <v>203</v>
      </c>
      <c r="E141" s="2">
        <v>45477</v>
      </c>
      <c r="F141" s="2">
        <v>45477</v>
      </c>
      <c r="G141" s="1" t="s">
        <v>36</v>
      </c>
      <c r="H141" s="1" t="s">
        <v>23</v>
      </c>
      <c r="I141" s="1" t="s">
        <v>78</v>
      </c>
      <c r="J141" s="1" t="s">
        <v>118</v>
      </c>
      <c r="K141" s="3">
        <v>1531.5</v>
      </c>
      <c r="L141" s="1">
        <v>16</v>
      </c>
      <c r="M141" s="1" t="s">
        <v>44</v>
      </c>
      <c r="N141" s="3">
        <v>-180.66</v>
      </c>
      <c r="O141" s="1" t="s">
        <v>2124</v>
      </c>
      <c r="P141" s="1" t="s">
        <v>2078</v>
      </c>
      <c r="Q141" s="1" t="str">
        <f>TEXT((Data[[#This Row],[Order_Date]]), "mmm")</f>
        <v>Jul</v>
      </c>
    </row>
    <row r="142" spans="4:17" x14ac:dyDescent="0.3">
      <c r="D142" s="1" t="s">
        <v>204</v>
      </c>
      <c r="E142" s="2">
        <v>45331</v>
      </c>
      <c r="F142" s="2">
        <v>45335</v>
      </c>
      <c r="G142" s="1" t="s">
        <v>11</v>
      </c>
      <c r="H142" s="1" t="s">
        <v>12</v>
      </c>
      <c r="I142" s="1" t="s">
        <v>38</v>
      </c>
      <c r="J142" s="1" t="s">
        <v>39</v>
      </c>
      <c r="K142" s="3">
        <v>1512.87</v>
      </c>
      <c r="L142" s="1">
        <v>20</v>
      </c>
      <c r="M142" s="1" t="s">
        <v>44</v>
      </c>
      <c r="N142" s="3">
        <v>346.71</v>
      </c>
      <c r="O142" s="1" t="s">
        <v>2178</v>
      </c>
      <c r="P142" s="1" t="s">
        <v>2071</v>
      </c>
      <c r="Q142" s="1" t="str">
        <f>TEXT((Data[[#This Row],[Order_Date]]), "mmm")</f>
        <v>Feb</v>
      </c>
    </row>
    <row r="143" spans="4:17" x14ac:dyDescent="0.3">
      <c r="D143" s="1" t="s">
        <v>205</v>
      </c>
      <c r="E143" s="2">
        <v>45384</v>
      </c>
      <c r="F143" s="2">
        <v>45386</v>
      </c>
      <c r="G143" s="1" t="s">
        <v>31</v>
      </c>
      <c r="H143" s="1" t="s">
        <v>17</v>
      </c>
      <c r="I143" s="1" t="s">
        <v>27</v>
      </c>
      <c r="J143" s="1" t="s">
        <v>110</v>
      </c>
      <c r="K143" s="3">
        <v>2786.36</v>
      </c>
      <c r="L143" s="1">
        <v>8</v>
      </c>
      <c r="M143" s="1" t="s">
        <v>49</v>
      </c>
      <c r="N143" s="3">
        <v>649.72</v>
      </c>
      <c r="O143" s="1" t="s">
        <v>2179</v>
      </c>
      <c r="P143" s="1" t="s">
        <v>2071</v>
      </c>
      <c r="Q143" s="1" t="str">
        <f>TEXT((Data[[#This Row],[Order_Date]]), "mmm")</f>
        <v>Apr</v>
      </c>
    </row>
    <row r="144" spans="4:17" x14ac:dyDescent="0.3">
      <c r="D144" s="1" t="s">
        <v>206</v>
      </c>
      <c r="E144" s="2">
        <v>45521</v>
      </c>
      <c r="F144" s="2">
        <v>45524</v>
      </c>
      <c r="G144" s="1" t="s">
        <v>22</v>
      </c>
      <c r="H144" s="1" t="s">
        <v>23</v>
      </c>
      <c r="I144" s="1" t="s">
        <v>65</v>
      </c>
      <c r="J144" s="1" t="s">
        <v>66</v>
      </c>
      <c r="K144" s="3">
        <v>1629.4</v>
      </c>
      <c r="L144" s="1">
        <v>19</v>
      </c>
      <c r="M144" s="1" t="s">
        <v>49</v>
      </c>
      <c r="N144" s="3">
        <v>307.14999999999998</v>
      </c>
      <c r="O144" s="1" t="s">
        <v>2144</v>
      </c>
      <c r="P144" s="1" t="s">
        <v>2078</v>
      </c>
      <c r="Q144" s="1" t="str">
        <f>TEXT((Data[[#This Row],[Order_Date]]), "mmm")</f>
        <v>Aug</v>
      </c>
    </row>
    <row r="145" spans="4:17" x14ac:dyDescent="0.3">
      <c r="D145" s="1" t="s">
        <v>207</v>
      </c>
      <c r="E145" s="2">
        <v>45487</v>
      </c>
      <c r="F145" s="2">
        <v>45493</v>
      </c>
      <c r="G145" s="1" t="s">
        <v>22</v>
      </c>
      <c r="H145" s="1" t="s">
        <v>17</v>
      </c>
      <c r="I145" s="1" t="s">
        <v>32</v>
      </c>
      <c r="J145" s="1" t="s">
        <v>56</v>
      </c>
      <c r="K145" s="3">
        <v>3523.76</v>
      </c>
      <c r="L145" s="1">
        <v>2</v>
      </c>
      <c r="M145" s="1" t="s">
        <v>15</v>
      </c>
      <c r="N145" s="3">
        <v>684.23</v>
      </c>
      <c r="O145" s="1" t="s">
        <v>2180</v>
      </c>
      <c r="P145" s="1" t="s">
        <v>2076</v>
      </c>
      <c r="Q145" s="1" t="str">
        <f>TEXT((Data[[#This Row],[Order_Date]]), "mmm")</f>
        <v>Jul</v>
      </c>
    </row>
    <row r="146" spans="4:17" x14ac:dyDescent="0.3">
      <c r="D146" s="1" t="s">
        <v>208</v>
      </c>
      <c r="E146" s="2">
        <v>45344</v>
      </c>
      <c r="F146" s="2">
        <v>45345</v>
      </c>
      <c r="G146" s="1" t="s">
        <v>36</v>
      </c>
      <c r="H146" s="1" t="s">
        <v>17</v>
      </c>
      <c r="I146" s="1" t="s">
        <v>18</v>
      </c>
      <c r="J146" s="1" t="s">
        <v>54</v>
      </c>
      <c r="K146" s="3">
        <v>1934.95</v>
      </c>
      <c r="L146" s="1">
        <v>17</v>
      </c>
      <c r="M146" s="1" t="s">
        <v>44</v>
      </c>
      <c r="N146" s="3">
        <v>-579.16</v>
      </c>
      <c r="O146" s="1" t="s">
        <v>2181</v>
      </c>
      <c r="P146" s="1" t="s">
        <v>2078</v>
      </c>
      <c r="Q146" s="1" t="str">
        <f>TEXT((Data[[#This Row],[Order_Date]]), "mmm")</f>
        <v>Feb</v>
      </c>
    </row>
    <row r="147" spans="4:17" x14ac:dyDescent="0.3">
      <c r="D147" s="1" t="s">
        <v>209</v>
      </c>
      <c r="E147" s="2">
        <v>45405</v>
      </c>
      <c r="F147" s="2">
        <v>45412</v>
      </c>
      <c r="G147" s="1" t="s">
        <v>36</v>
      </c>
      <c r="H147" s="1" t="s">
        <v>17</v>
      </c>
      <c r="I147" s="1" t="s">
        <v>27</v>
      </c>
      <c r="J147" s="1" t="s">
        <v>28</v>
      </c>
      <c r="K147" s="3">
        <v>1736.7</v>
      </c>
      <c r="L147" s="1">
        <v>12</v>
      </c>
      <c r="M147" s="1" t="s">
        <v>44</v>
      </c>
      <c r="N147" s="3">
        <v>-288.02999999999997</v>
      </c>
      <c r="O147" s="1" t="s">
        <v>2182</v>
      </c>
      <c r="P147" s="1" t="s">
        <v>2076</v>
      </c>
      <c r="Q147" s="1" t="str">
        <f>TEXT((Data[[#This Row],[Order_Date]]), "mmm")</f>
        <v>Apr</v>
      </c>
    </row>
    <row r="148" spans="4:17" x14ac:dyDescent="0.3">
      <c r="D148" s="1" t="s">
        <v>210</v>
      </c>
      <c r="E148" s="2">
        <v>45406</v>
      </c>
      <c r="F148" s="2">
        <v>45406</v>
      </c>
      <c r="G148" s="1" t="s">
        <v>36</v>
      </c>
      <c r="H148" s="1" t="s">
        <v>17</v>
      </c>
      <c r="I148" s="1" t="s">
        <v>32</v>
      </c>
      <c r="J148" s="1" t="s">
        <v>33</v>
      </c>
      <c r="K148" s="3">
        <v>3217.68</v>
      </c>
      <c r="L148" s="1">
        <v>5</v>
      </c>
      <c r="M148" s="1" t="s">
        <v>20</v>
      </c>
      <c r="N148" s="3">
        <v>437.81</v>
      </c>
      <c r="O148" s="1" t="s">
        <v>2137</v>
      </c>
      <c r="P148" s="1" t="s">
        <v>2078</v>
      </c>
      <c r="Q148" s="1" t="str">
        <f>TEXT((Data[[#This Row],[Order_Date]]), "mmm")</f>
        <v>Apr</v>
      </c>
    </row>
    <row r="149" spans="4:17" x14ac:dyDescent="0.3">
      <c r="D149" s="1" t="s">
        <v>211</v>
      </c>
      <c r="E149" s="2">
        <v>45648</v>
      </c>
      <c r="F149" s="2">
        <v>45650</v>
      </c>
      <c r="G149" s="1" t="s">
        <v>31</v>
      </c>
      <c r="H149" s="1" t="s">
        <v>23</v>
      </c>
      <c r="I149" s="1" t="s">
        <v>61</v>
      </c>
      <c r="J149" s="1" t="s">
        <v>76</v>
      </c>
      <c r="K149" s="3">
        <v>321.26</v>
      </c>
      <c r="L149" s="1">
        <v>7</v>
      </c>
      <c r="M149" s="1" t="s">
        <v>44</v>
      </c>
      <c r="N149" s="3">
        <v>68.959999999999994</v>
      </c>
      <c r="O149" s="1" t="s">
        <v>2101</v>
      </c>
      <c r="P149" s="1" t="s">
        <v>2076</v>
      </c>
      <c r="Q149" s="1" t="str">
        <f>TEXT((Data[[#This Row],[Order_Date]]), "mmm")</f>
        <v>Dec</v>
      </c>
    </row>
    <row r="150" spans="4:17" x14ac:dyDescent="0.3">
      <c r="D150" s="1" t="s">
        <v>212</v>
      </c>
      <c r="E150" s="2">
        <v>45562</v>
      </c>
      <c r="F150" s="2">
        <v>45568</v>
      </c>
      <c r="G150" s="1" t="s">
        <v>11</v>
      </c>
      <c r="H150" s="1" t="s">
        <v>23</v>
      </c>
      <c r="I150" s="1" t="s">
        <v>78</v>
      </c>
      <c r="J150" s="1" t="s">
        <v>79</v>
      </c>
      <c r="K150" s="3">
        <v>706.93</v>
      </c>
      <c r="L150" s="1">
        <v>8</v>
      </c>
      <c r="M150" s="1" t="s">
        <v>49</v>
      </c>
      <c r="N150" s="3">
        <v>170.85</v>
      </c>
      <c r="O150" s="1" t="s">
        <v>2183</v>
      </c>
      <c r="P150" s="1" t="s">
        <v>2076</v>
      </c>
      <c r="Q150" s="1" t="str">
        <f>TEXT((Data[[#This Row],[Order_Date]]), "mmm")</f>
        <v>Sep</v>
      </c>
    </row>
    <row r="151" spans="4:17" x14ac:dyDescent="0.3">
      <c r="D151" s="1" t="s">
        <v>213</v>
      </c>
      <c r="E151" s="2">
        <v>45324</v>
      </c>
      <c r="F151" s="2">
        <v>45325</v>
      </c>
      <c r="G151" s="1" t="s">
        <v>31</v>
      </c>
      <c r="H151" s="1" t="s">
        <v>12</v>
      </c>
      <c r="I151" s="1" t="s">
        <v>38</v>
      </c>
      <c r="J151" s="1" t="s">
        <v>39</v>
      </c>
      <c r="K151" s="3">
        <v>2182.66</v>
      </c>
      <c r="L151" s="1">
        <v>8</v>
      </c>
      <c r="M151" s="1" t="s">
        <v>15</v>
      </c>
      <c r="N151" s="3">
        <v>203.15</v>
      </c>
      <c r="O151" s="1" t="s">
        <v>2115</v>
      </c>
      <c r="P151" s="1" t="s">
        <v>2078</v>
      </c>
      <c r="Q151" s="1" t="str">
        <f>TEXT((Data[[#This Row],[Order_Date]]), "mmm")</f>
        <v>Feb</v>
      </c>
    </row>
    <row r="152" spans="4:17" x14ac:dyDescent="0.3">
      <c r="D152" s="1" t="s">
        <v>214</v>
      </c>
      <c r="E152" s="2">
        <v>45606</v>
      </c>
      <c r="F152" s="2">
        <v>45611</v>
      </c>
      <c r="G152" s="1" t="s">
        <v>22</v>
      </c>
      <c r="H152" s="1" t="s">
        <v>12</v>
      </c>
      <c r="I152" s="1" t="s">
        <v>42</v>
      </c>
      <c r="J152" s="1" t="s">
        <v>72</v>
      </c>
      <c r="K152" s="3">
        <v>2741.39</v>
      </c>
      <c r="L152" s="1">
        <v>3</v>
      </c>
      <c r="M152" s="1" t="s">
        <v>29</v>
      </c>
      <c r="N152" s="3">
        <v>-938.64</v>
      </c>
      <c r="O152" s="1" t="s">
        <v>2100</v>
      </c>
      <c r="P152" s="1" t="s">
        <v>2078</v>
      </c>
      <c r="Q152" s="1" t="str">
        <f>TEXT((Data[[#This Row],[Order_Date]]), "mmm")</f>
        <v>Nov</v>
      </c>
    </row>
    <row r="153" spans="4:17" x14ac:dyDescent="0.3">
      <c r="D153" s="1" t="s">
        <v>215</v>
      </c>
      <c r="E153" s="2">
        <v>45561</v>
      </c>
      <c r="F153" s="2">
        <v>45561</v>
      </c>
      <c r="G153" s="1" t="s">
        <v>31</v>
      </c>
      <c r="H153" s="1" t="s">
        <v>23</v>
      </c>
      <c r="I153" s="1" t="s">
        <v>61</v>
      </c>
      <c r="J153" s="1" t="s">
        <v>62</v>
      </c>
      <c r="K153" s="3">
        <v>1700.8</v>
      </c>
      <c r="L153" s="1">
        <v>12</v>
      </c>
      <c r="M153" s="1" t="s">
        <v>34</v>
      </c>
      <c r="N153" s="3">
        <v>466.35</v>
      </c>
      <c r="O153" s="1" t="s">
        <v>2173</v>
      </c>
      <c r="P153" s="1" t="s">
        <v>2078</v>
      </c>
      <c r="Q153" s="1" t="str">
        <f>TEXT((Data[[#This Row],[Order_Date]]), "mmm")</f>
        <v>Sep</v>
      </c>
    </row>
    <row r="154" spans="4:17" x14ac:dyDescent="0.3">
      <c r="D154" s="1" t="s">
        <v>216</v>
      </c>
      <c r="E154" s="2">
        <v>45326</v>
      </c>
      <c r="F154" s="2">
        <v>45331</v>
      </c>
      <c r="G154" s="1" t="s">
        <v>22</v>
      </c>
      <c r="H154" s="1" t="s">
        <v>12</v>
      </c>
      <c r="I154" s="1" t="s">
        <v>38</v>
      </c>
      <c r="J154" s="1" t="s">
        <v>39</v>
      </c>
      <c r="K154" s="3">
        <v>3006.95</v>
      </c>
      <c r="L154" s="1">
        <v>11</v>
      </c>
      <c r="M154" s="1" t="s">
        <v>44</v>
      </c>
      <c r="N154" s="3">
        <v>190.34</v>
      </c>
      <c r="O154" s="1" t="s">
        <v>2166</v>
      </c>
      <c r="P154" s="1" t="s">
        <v>2078</v>
      </c>
      <c r="Q154" s="1" t="str">
        <f>TEXT((Data[[#This Row],[Order_Date]]), "mmm")</f>
        <v>Feb</v>
      </c>
    </row>
    <row r="155" spans="4:17" x14ac:dyDescent="0.3">
      <c r="D155" s="1" t="s">
        <v>217</v>
      </c>
      <c r="E155" s="2">
        <v>45621</v>
      </c>
      <c r="F155" s="2">
        <v>45623</v>
      </c>
      <c r="G155" s="1" t="s">
        <v>31</v>
      </c>
      <c r="H155" s="1" t="s">
        <v>12</v>
      </c>
      <c r="I155" s="1" t="s">
        <v>42</v>
      </c>
      <c r="J155" s="1" t="s">
        <v>72</v>
      </c>
      <c r="K155" s="3">
        <v>3293.12</v>
      </c>
      <c r="L155" s="1">
        <v>3</v>
      </c>
      <c r="M155" s="1" t="s">
        <v>15</v>
      </c>
      <c r="N155" s="3">
        <v>931.48</v>
      </c>
      <c r="O155" s="1" t="s">
        <v>2088</v>
      </c>
      <c r="P155" s="1" t="s">
        <v>2078</v>
      </c>
      <c r="Q155" s="1" t="str">
        <f>TEXT((Data[[#This Row],[Order_Date]]), "mmm")</f>
        <v>Nov</v>
      </c>
    </row>
    <row r="156" spans="4:17" x14ac:dyDescent="0.3">
      <c r="D156" s="1" t="s">
        <v>218</v>
      </c>
      <c r="E156" s="2">
        <v>45442</v>
      </c>
      <c r="F156" s="2">
        <v>45445</v>
      </c>
      <c r="G156" s="1" t="s">
        <v>11</v>
      </c>
      <c r="H156" s="1" t="s">
        <v>17</v>
      </c>
      <c r="I156" s="1" t="s">
        <v>18</v>
      </c>
      <c r="J156" s="1" t="s">
        <v>54</v>
      </c>
      <c r="K156" s="3">
        <v>3750.14</v>
      </c>
      <c r="L156" s="1">
        <v>17</v>
      </c>
      <c r="M156" s="1" t="s">
        <v>49</v>
      </c>
      <c r="N156" s="3">
        <v>1300.31</v>
      </c>
      <c r="O156" s="1" t="s">
        <v>2116</v>
      </c>
      <c r="P156" s="1" t="s">
        <v>2071</v>
      </c>
      <c r="Q156" s="1" t="str">
        <f>TEXT((Data[[#This Row],[Order_Date]]), "mmm")</f>
        <v>May</v>
      </c>
    </row>
    <row r="157" spans="4:17" x14ac:dyDescent="0.3">
      <c r="D157" s="1" t="s">
        <v>219</v>
      </c>
      <c r="E157" s="2">
        <v>45421</v>
      </c>
      <c r="F157" s="2">
        <v>45421</v>
      </c>
      <c r="G157" s="1" t="s">
        <v>22</v>
      </c>
      <c r="H157" s="1" t="s">
        <v>23</v>
      </c>
      <c r="I157" s="1" t="s">
        <v>24</v>
      </c>
      <c r="J157" s="1" t="s">
        <v>25</v>
      </c>
      <c r="K157" s="3">
        <v>3496.74</v>
      </c>
      <c r="L157" s="1">
        <v>11</v>
      </c>
      <c r="M157" s="1" t="s">
        <v>34</v>
      </c>
      <c r="N157" s="3">
        <v>305.41000000000003</v>
      </c>
      <c r="O157" s="1" t="s">
        <v>2137</v>
      </c>
      <c r="P157" s="1" t="s">
        <v>2076</v>
      </c>
      <c r="Q157" s="1" t="str">
        <f>TEXT((Data[[#This Row],[Order_Date]]), "mmm")</f>
        <v>May</v>
      </c>
    </row>
    <row r="158" spans="4:17" x14ac:dyDescent="0.3">
      <c r="D158" s="1" t="s">
        <v>220</v>
      </c>
      <c r="E158" s="2">
        <v>45496</v>
      </c>
      <c r="F158" s="2">
        <v>45503</v>
      </c>
      <c r="G158" s="1" t="s">
        <v>31</v>
      </c>
      <c r="H158" s="1" t="s">
        <v>23</v>
      </c>
      <c r="I158" s="1" t="s">
        <v>78</v>
      </c>
      <c r="J158" s="1" t="s">
        <v>79</v>
      </c>
      <c r="K158" s="3">
        <v>2845.26</v>
      </c>
      <c r="L158" s="1">
        <v>12</v>
      </c>
      <c r="M158" s="1" t="s">
        <v>29</v>
      </c>
      <c r="N158" s="3">
        <v>-369.93</v>
      </c>
      <c r="O158" s="1" t="s">
        <v>2122</v>
      </c>
      <c r="P158" s="1" t="s">
        <v>2078</v>
      </c>
      <c r="Q158" s="1" t="str">
        <f>TEXT((Data[[#This Row],[Order_Date]]), "mmm")</f>
        <v>Jul</v>
      </c>
    </row>
    <row r="159" spans="4:17" x14ac:dyDescent="0.3">
      <c r="D159" s="1" t="s">
        <v>221</v>
      </c>
      <c r="E159" s="2">
        <v>45509</v>
      </c>
      <c r="F159" s="2">
        <v>45510</v>
      </c>
      <c r="G159" s="1" t="s">
        <v>31</v>
      </c>
      <c r="H159" s="1" t="s">
        <v>12</v>
      </c>
      <c r="I159" s="1" t="s">
        <v>58</v>
      </c>
      <c r="J159" s="1" t="s">
        <v>59</v>
      </c>
      <c r="K159" s="3">
        <v>1351.62</v>
      </c>
      <c r="L159" s="1">
        <v>4</v>
      </c>
      <c r="M159" s="1" t="s">
        <v>20</v>
      </c>
      <c r="N159" s="3">
        <v>200.55</v>
      </c>
      <c r="O159" s="1" t="s">
        <v>2184</v>
      </c>
      <c r="P159" s="1" t="s">
        <v>2071</v>
      </c>
      <c r="Q159" s="1" t="str">
        <f>TEXT((Data[[#This Row],[Order_Date]]), "mmm")</f>
        <v>Aug</v>
      </c>
    </row>
    <row r="160" spans="4:17" x14ac:dyDescent="0.3">
      <c r="D160" s="1" t="s">
        <v>222</v>
      </c>
      <c r="E160" s="2">
        <v>45520</v>
      </c>
      <c r="F160" s="2">
        <v>45526</v>
      </c>
      <c r="G160" s="1" t="s">
        <v>22</v>
      </c>
      <c r="H160" s="1" t="s">
        <v>12</v>
      </c>
      <c r="I160" s="1" t="s">
        <v>42</v>
      </c>
      <c r="J160" s="1" t="s">
        <v>46</v>
      </c>
      <c r="K160" s="3">
        <v>1926.74</v>
      </c>
      <c r="L160" s="1">
        <v>12</v>
      </c>
      <c r="M160" s="1" t="s">
        <v>29</v>
      </c>
      <c r="N160" s="3">
        <v>673.29</v>
      </c>
      <c r="O160" s="1" t="s">
        <v>2094</v>
      </c>
      <c r="P160" s="1" t="s">
        <v>2078</v>
      </c>
      <c r="Q160" s="1" t="str">
        <f>TEXT((Data[[#This Row],[Order_Date]]), "mmm")</f>
        <v>Aug</v>
      </c>
    </row>
    <row r="161" spans="4:17" x14ac:dyDescent="0.3">
      <c r="D161" s="1" t="s">
        <v>223</v>
      </c>
      <c r="E161" s="2">
        <v>45321</v>
      </c>
      <c r="F161" s="2">
        <v>45322</v>
      </c>
      <c r="G161" s="1" t="s">
        <v>31</v>
      </c>
      <c r="H161" s="1" t="s">
        <v>23</v>
      </c>
      <c r="I161" s="1" t="s">
        <v>78</v>
      </c>
      <c r="J161" s="1" t="s">
        <v>118</v>
      </c>
      <c r="K161" s="3">
        <v>785.42</v>
      </c>
      <c r="L161" s="1">
        <v>20</v>
      </c>
      <c r="M161" s="1" t="s">
        <v>15</v>
      </c>
      <c r="N161" s="3">
        <v>-223.37</v>
      </c>
      <c r="O161" s="1" t="s">
        <v>2170</v>
      </c>
      <c r="P161" s="1" t="s">
        <v>2076</v>
      </c>
      <c r="Q161" s="1" t="str">
        <f>TEXT((Data[[#This Row],[Order_Date]]), "mmm")</f>
        <v>Jan</v>
      </c>
    </row>
    <row r="162" spans="4:17" x14ac:dyDescent="0.3">
      <c r="D162" s="1" t="s">
        <v>224</v>
      </c>
      <c r="E162" s="2">
        <v>45326</v>
      </c>
      <c r="F162" s="2">
        <v>45329</v>
      </c>
      <c r="G162" s="1" t="s">
        <v>36</v>
      </c>
      <c r="H162" s="1" t="s">
        <v>23</v>
      </c>
      <c r="I162" s="1" t="s">
        <v>65</v>
      </c>
      <c r="J162" s="1" t="s">
        <v>122</v>
      </c>
      <c r="K162" s="3">
        <v>371.44</v>
      </c>
      <c r="L162" s="1">
        <v>5</v>
      </c>
      <c r="M162" s="1" t="s">
        <v>15</v>
      </c>
      <c r="N162" s="3">
        <v>68.709999999999994</v>
      </c>
      <c r="O162" s="1" t="s">
        <v>2185</v>
      </c>
      <c r="P162" s="1" t="s">
        <v>2071</v>
      </c>
      <c r="Q162" s="1" t="str">
        <f>TEXT((Data[[#This Row],[Order_Date]]), "mmm")</f>
        <v>Feb</v>
      </c>
    </row>
    <row r="163" spans="4:17" x14ac:dyDescent="0.3">
      <c r="D163" s="1" t="s">
        <v>225</v>
      </c>
      <c r="E163" s="2">
        <v>45519</v>
      </c>
      <c r="F163" s="2">
        <v>45520</v>
      </c>
      <c r="G163" s="1" t="s">
        <v>22</v>
      </c>
      <c r="H163" s="1" t="s">
        <v>12</v>
      </c>
      <c r="I163" s="1" t="s">
        <v>13</v>
      </c>
      <c r="J163" s="1" t="s">
        <v>96</v>
      </c>
      <c r="K163" s="3">
        <v>1428.95</v>
      </c>
      <c r="L163" s="1">
        <v>9</v>
      </c>
      <c r="M163" s="1" t="s">
        <v>44</v>
      </c>
      <c r="N163" s="3">
        <v>-483.21</v>
      </c>
      <c r="O163" s="1" t="s">
        <v>2176</v>
      </c>
      <c r="P163" s="1" t="s">
        <v>2071</v>
      </c>
      <c r="Q163" s="1" t="str">
        <f>TEXT((Data[[#This Row],[Order_Date]]), "mmm")</f>
        <v>Aug</v>
      </c>
    </row>
    <row r="164" spans="4:17" x14ac:dyDescent="0.3">
      <c r="D164" s="1" t="s">
        <v>226</v>
      </c>
      <c r="E164" s="2">
        <v>45387</v>
      </c>
      <c r="F164" s="2">
        <v>45394</v>
      </c>
      <c r="G164" s="1" t="s">
        <v>31</v>
      </c>
      <c r="H164" s="1" t="s">
        <v>12</v>
      </c>
      <c r="I164" s="1" t="s">
        <v>38</v>
      </c>
      <c r="J164" s="1" t="s">
        <v>85</v>
      </c>
      <c r="K164" s="3">
        <v>3156.12</v>
      </c>
      <c r="L164" s="1">
        <v>15</v>
      </c>
      <c r="M164" s="1" t="s">
        <v>44</v>
      </c>
      <c r="N164" s="3">
        <v>1101.2</v>
      </c>
      <c r="O164" s="1" t="s">
        <v>2186</v>
      </c>
      <c r="P164" s="1" t="s">
        <v>2076</v>
      </c>
      <c r="Q164" s="1" t="str">
        <f>TEXT((Data[[#This Row],[Order_Date]]), "mmm")</f>
        <v>Apr</v>
      </c>
    </row>
    <row r="165" spans="4:17" x14ac:dyDescent="0.3">
      <c r="D165" s="1" t="s">
        <v>227</v>
      </c>
      <c r="E165" s="2">
        <v>45543</v>
      </c>
      <c r="F165" s="2">
        <v>45546</v>
      </c>
      <c r="G165" s="1" t="s">
        <v>11</v>
      </c>
      <c r="H165" s="1" t="s">
        <v>17</v>
      </c>
      <c r="I165" s="1" t="s">
        <v>18</v>
      </c>
      <c r="J165" s="1" t="s">
        <v>54</v>
      </c>
      <c r="K165" s="3">
        <v>897.46</v>
      </c>
      <c r="L165" s="1">
        <v>15</v>
      </c>
      <c r="M165" s="1" t="s">
        <v>20</v>
      </c>
      <c r="N165" s="3">
        <v>263.08999999999997</v>
      </c>
      <c r="O165" s="1" t="s">
        <v>2100</v>
      </c>
      <c r="P165" s="1" t="s">
        <v>2078</v>
      </c>
      <c r="Q165" s="1" t="str">
        <f>TEXT((Data[[#This Row],[Order_Date]]), "mmm")</f>
        <v>Sep</v>
      </c>
    </row>
    <row r="166" spans="4:17" x14ac:dyDescent="0.3">
      <c r="D166" s="1" t="s">
        <v>228</v>
      </c>
      <c r="E166" s="2">
        <v>45455</v>
      </c>
      <c r="F166" s="2">
        <v>45460</v>
      </c>
      <c r="G166" s="1" t="s">
        <v>11</v>
      </c>
      <c r="H166" s="1" t="s">
        <v>12</v>
      </c>
      <c r="I166" s="1" t="s">
        <v>13</v>
      </c>
      <c r="J166" s="1" t="s">
        <v>129</v>
      </c>
      <c r="K166" s="3">
        <v>3442.61</v>
      </c>
      <c r="L166" s="1">
        <v>6</v>
      </c>
      <c r="M166" s="1" t="s">
        <v>34</v>
      </c>
      <c r="N166" s="3">
        <v>-697.56</v>
      </c>
      <c r="O166" s="1" t="s">
        <v>2187</v>
      </c>
      <c r="P166" s="1" t="s">
        <v>2076</v>
      </c>
      <c r="Q166" s="1" t="str">
        <f>TEXT((Data[[#This Row],[Order_Date]]), "mmm")</f>
        <v>Jun</v>
      </c>
    </row>
    <row r="167" spans="4:17" x14ac:dyDescent="0.3">
      <c r="D167" s="1" t="s">
        <v>229</v>
      </c>
      <c r="E167" s="2">
        <v>45394</v>
      </c>
      <c r="F167" s="2">
        <v>45396</v>
      </c>
      <c r="G167" s="1" t="s">
        <v>22</v>
      </c>
      <c r="H167" s="1" t="s">
        <v>23</v>
      </c>
      <c r="I167" s="1" t="s">
        <v>61</v>
      </c>
      <c r="J167" s="1" t="s">
        <v>98</v>
      </c>
      <c r="K167" s="3">
        <v>2327.58</v>
      </c>
      <c r="L167" s="1">
        <v>12</v>
      </c>
      <c r="M167" s="1" t="s">
        <v>49</v>
      </c>
      <c r="N167" s="3">
        <v>677.56</v>
      </c>
      <c r="O167" s="1" t="s">
        <v>2188</v>
      </c>
      <c r="P167" s="1" t="s">
        <v>2076</v>
      </c>
      <c r="Q167" s="1" t="str">
        <f>TEXT((Data[[#This Row],[Order_Date]]), "mmm")</f>
        <v>Apr</v>
      </c>
    </row>
    <row r="168" spans="4:17" x14ac:dyDescent="0.3">
      <c r="D168" s="1" t="s">
        <v>230</v>
      </c>
      <c r="E168" s="2">
        <v>45605</v>
      </c>
      <c r="F168" s="2">
        <v>45606</v>
      </c>
      <c r="G168" s="1" t="s">
        <v>11</v>
      </c>
      <c r="H168" s="1" t="s">
        <v>23</v>
      </c>
      <c r="I168" s="1" t="s">
        <v>65</v>
      </c>
      <c r="J168" s="1" t="s">
        <v>122</v>
      </c>
      <c r="K168" s="3">
        <v>2945.76</v>
      </c>
      <c r="L168" s="1">
        <v>17</v>
      </c>
      <c r="M168" s="1" t="s">
        <v>49</v>
      </c>
      <c r="N168" s="3">
        <v>827.02</v>
      </c>
      <c r="O168" s="1" t="s">
        <v>2105</v>
      </c>
      <c r="P168" s="1" t="s">
        <v>2071</v>
      </c>
      <c r="Q168" s="1" t="str">
        <f>TEXT((Data[[#This Row],[Order_Date]]), "mmm")</f>
        <v>Nov</v>
      </c>
    </row>
    <row r="169" spans="4:17" x14ac:dyDescent="0.3">
      <c r="D169" s="1" t="s">
        <v>231</v>
      </c>
      <c r="E169" s="2">
        <v>45329</v>
      </c>
      <c r="F169" s="2">
        <v>45331</v>
      </c>
      <c r="G169" s="1" t="s">
        <v>36</v>
      </c>
      <c r="H169" s="1" t="s">
        <v>12</v>
      </c>
      <c r="I169" s="1" t="s">
        <v>38</v>
      </c>
      <c r="J169" s="1" t="s">
        <v>85</v>
      </c>
      <c r="K169" s="3">
        <v>1996.87</v>
      </c>
      <c r="L169" s="1">
        <v>17</v>
      </c>
      <c r="M169" s="1" t="s">
        <v>34</v>
      </c>
      <c r="N169" s="3">
        <v>176.72</v>
      </c>
      <c r="O169" s="1" t="s">
        <v>2136</v>
      </c>
      <c r="P169" s="1" t="s">
        <v>2076</v>
      </c>
      <c r="Q169" s="1" t="str">
        <f>TEXT((Data[[#This Row],[Order_Date]]), "mmm")</f>
        <v>Feb</v>
      </c>
    </row>
    <row r="170" spans="4:17" x14ac:dyDescent="0.3">
      <c r="D170" s="1" t="s">
        <v>232</v>
      </c>
      <c r="E170" s="2">
        <v>45574</v>
      </c>
      <c r="F170" s="2">
        <v>45576</v>
      </c>
      <c r="G170" s="1" t="s">
        <v>22</v>
      </c>
      <c r="H170" s="1" t="s">
        <v>23</v>
      </c>
      <c r="I170" s="1" t="s">
        <v>61</v>
      </c>
      <c r="J170" s="1" t="s">
        <v>76</v>
      </c>
      <c r="K170" s="3">
        <v>2192.88</v>
      </c>
      <c r="L170" s="1">
        <v>10</v>
      </c>
      <c r="M170" s="1" t="s">
        <v>44</v>
      </c>
      <c r="N170" s="3">
        <v>216.2</v>
      </c>
      <c r="O170" s="1" t="s">
        <v>2174</v>
      </c>
      <c r="P170" s="1" t="s">
        <v>2078</v>
      </c>
      <c r="Q170" s="1" t="str">
        <f>TEXT((Data[[#This Row],[Order_Date]]), "mmm")</f>
        <v>Oct</v>
      </c>
    </row>
    <row r="171" spans="4:17" x14ac:dyDescent="0.3">
      <c r="D171" s="1" t="s">
        <v>233</v>
      </c>
      <c r="E171" s="2">
        <v>45407</v>
      </c>
      <c r="F171" s="2">
        <v>45412</v>
      </c>
      <c r="G171" s="1" t="s">
        <v>36</v>
      </c>
      <c r="H171" s="1" t="s">
        <v>17</v>
      </c>
      <c r="I171" s="1" t="s">
        <v>27</v>
      </c>
      <c r="J171" s="1" t="s">
        <v>132</v>
      </c>
      <c r="K171" s="3">
        <v>2631.46</v>
      </c>
      <c r="L171" s="1">
        <v>18</v>
      </c>
      <c r="M171" s="1" t="s">
        <v>34</v>
      </c>
      <c r="N171" s="3">
        <v>230.39</v>
      </c>
      <c r="O171" s="1" t="s">
        <v>2183</v>
      </c>
      <c r="P171" s="1" t="s">
        <v>2078</v>
      </c>
      <c r="Q171" s="1" t="str">
        <f>TEXT((Data[[#This Row],[Order_Date]]), "mmm")</f>
        <v>Apr</v>
      </c>
    </row>
    <row r="172" spans="4:17" x14ac:dyDescent="0.3">
      <c r="D172" s="1" t="s">
        <v>234</v>
      </c>
      <c r="E172" s="2">
        <v>45565</v>
      </c>
      <c r="F172" s="2">
        <v>45566</v>
      </c>
      <c r="G172" s="1" t="s">
        <v>22</v>
      </c>
      <c r="H172" s="1" t="s">
        <v>12</v>
      </c>
      <c r="I172" s="1" t="s">
        <v>58</v>
      </c>
      <c r="J172" s="1" t="s">
        <v>120</v>
      </c>
      <c r="K172" s="3">
        <v>2720.25</v>
      </c>
      <c r="L172" s="1">
        <v>20</v>
      </c>
      <c r="M172" s="1" t="s">
        <v>34</v>
      </c>
      <c r="N172" s="3">
        <v>823.58</v>
      </c>
      <c r="O172" s="1" t="s">
        <v>2189</v>
      </c>
      <c r="P172" s="1" t="s">
        <v>2078</v>
      </c>
      <c r="Q172" s="1" t="str">
        <f>TEXT((Data[[#This Row],[Order_Date]]), "mmm")</f>
        <v>Sep</v>
      </c>
    </row>
    <row r="173" spans="4:17" x14ac:dyDescent="0.3">
      <c r="D173" s="1" t="s">
        <v>235</v>
      </c>
      <c r="E173" s="2">
        <v>45306</v>
      </c>
      <c r="F173" s="2">
        <v>45307</v>
      </c>
      <c r="G173" s="1" t="s">
        <v>11</v>
      </c>
      <c r="H173" s="1" t="s">
        <v>12</v>
      </c>
      <c r="I173" s="1" t="s">
        <v>13</v>
      </c>
      <c r="J173" s="1" t="s">
        <v>14</v>
      </c>
      <c r="K173" s="3">
        <v>3126.1</v>
      </c>
      <c r="L173" s="1">
        <v>14</v>
      </c>
      <c r="M173" s="1" t="s">
        <v>29</v>
      </c>
      <c r="N173" s="3">
        <v>755.57</v>
      </c>
      <c r="O173" s="1" t="s">
        <v>2092</v>
      </c>
      <c r="P173" s="1" t="s">
        <v>2078</v>
      </c>
      <c r="Q173" s="1" t="str">
        <f>TEXT((Data[[#This Row],[Order_Date]]), "mmm")</f>
        <v>Jan</v>
      </c>
    </row>
    <row r="174" spans="4:17" x14ac:dyDescent="0.3">
      <c r="D174" s="1" t="s">
        <v>236</v>
      </c>
      <c r="E174" s="2">
        <v>45613</v>
      </c>
      <c r="F174" s="2">
        <v>45617</v>
      </c>
      <c r="G174" s="1" t="s">
        <v>36</v>
      </c>
      <c r="H174" s="1" t="s">
        <v>23</v>
      </c>
      <c r="I174" s="1" t="s">
        <v>78</v>
      </c>
      <c r="J174" s="1" t="s">
        <v>79</v>
      </c>
      <c r="K174" s="3">
        <v>1365.38</v>
      </c>
      <c r="L174" s="1">
        <v>3</v>
      </c>
      <c r="M174" s="1" t="s">
        <v>15</v>
      </c>
      <c r="N174" s="3">
        <v>92.81</v>
      </c>
      <c r="O174" s="1" t="s">
        <v>2190</v>
      </c>
      <c r="P174" s="1" t="s">
        <v>2071</v>
      </c>
      <c r="Q174" s="1" t="str">
        <f>TEXT((Data[[#This Row],[Order_Date]]), "mmm")</f>
        <v>Nov</v>
      </c>
    </row>
    <row r="175" spans="4:17" x14ac:dyDescent="0.3">
      <c r="D175" s="1" t="s">
        <v>237</v>
      </c>
      <c r="E175" s="2">
        <v>45539</v>
      </c>
      <c r="F175" s="2">
        <v>45546</v>
      </c>
      <c r="G175" s="1" t="s">
        <v>22</v>
      </c>
      <c r="H175" s="1" t="s">
        <v>23</v>
      </c>
      <c r="I175" s="1" t="s">
        <v>78</v>
      </c>
      <c r="J175" s="1" t="s">
        <v>79</v>
      </c>
      <c r="K175" s="3">
        <v>3480.57</v>
      </c>
      <c r="L175" s="1">
        <v>11</v>
      </c>
      <c r="M175" s="1" t="s">
        <v>15</v>
      </c>
      <c r="N175" s="3">
        <v>1205.69</v>
      </c>
      <c r="O175" s="1" t="s">
        <v>2129</v>
      </c>
      <c r="P175" s="1" t="s">
        <v>2076</v>
      </c>
      <c r="Q175" s="1" t="str">
        <f>TEXT((Data[[#This Row],[Order_Date]]), "mmm")</f>
        <v>Sep</v>
      </c>
    </row>
    <row r="176" spans="4:17" x14ac:dyDescent="0.3">
      <c r="D176" s="1" t="s">
        <v>238</v>
      </c>
      <c r="E176" s="2">
        <v>45496</v>
      </c>
      <c r="F176" s="2">
        <v>45498</v>
      </c>
      <c r="G176" s="1" t="s">
        <v>36</v>
      </c>
      <c r="H176" s="1" t="s">
        <v>12</v>
      </c>
      <c r="I176" s="1" t="s">
        <v>38</v>
      </c>
      <c r="J176" s="1" t="s">
        <v>85</v>
      </c>
      <c r="K176" s="3">
        <v>1156.52</v>
      </c>
      <c r="L176" s="1">
        <v>4</v>
      </c>
      <c r="M176" s="1" t="s">
        <v>34</v>
      </c>
      <c r="N176" s="3">
        <v>-213.82</v>
      </c>
      <c r="O176" s="1" t="s">
        <v>2191</v>
      </c>
      <c r="P176" s="1" t="s">
        <v>2078</v>
      </c>
      <c r="Q176" s="1" t="str">
        <f>TEXT((Data[[#This Row],[Order_Date]]), "mmm")</f>
        <v>Jul</v>
      </c>
    </row>
    <row r="177" spans="4:17" x14ac:dyDescent="0.3">
      <c r="D177" s="1" t="s">
        <v>239</v>
      </c>
      <c r="E177" s="2">
        <v>45317</v>
      </c>
      <c r="F177" s="2">
        <v>45321</v>
      </c>
      <c r="G177" s="1" t="s">
        <v>31</v>
      </c>
      <c r="H177" s="1" t="s">
        <v>12</v>
      </c>
      <c r="I177" s="1" t="s">
        <v>42</v>
      </c>
      <c r="J177" s="1" t="s">
        <v>72</v>
      </c>
      <c r="K177" s="3">
        <v>3860.07</v>
      </c>
      <c r="L177" s="1">
        <v>6</v>
      </c>
      <c r="M177" s="1" t="s">
        <v>34</v>
      </c>
      <c r="N177" s="3">
        <v>1274.31</v>
      </c>
      <c r="O177" s="1" t="s">
        <v>2192</v>
      </c>
      <c r="P177" s="1" t="s">
        <v>2078</v>
      </c>
      <c r="Q177" s="1" t="str">
        <f>TEXT((Data[[#This Row],[Order_Date]]), "mmm")</f>
        <v>Jan</v>
      </c>
    </row>
    <row r="178" spans="4:17" x14ac:dyDescent="0.3">
      <c r="D178" s="1" t="s">
        <v>240</v>
      </c>
      <c r="E178" s="2">
        <v>45389</v>
      </c>
      <c r="F178" s="2">
        <v>45391</v>
      </c>
      <c r="G178" s="1" t="s">
        <v>31</v>
      </c>
      <c r="H178" s="1" t="s">
        <v>12</v>
      </c>
      <c r="I178" s="1" t="s">
        <v>42</v>
      </c>
      <c r="J178" s="1" t="s">
        <v>43</v>
      </c>
      <c r="K178" s="3">
        <v>3546.53</v>
      </c>
      <c r="L178" s="1">
        <v>16</v>
      </c>
      <c r="M178" s="1" t="s">
        <v>20</v>
      </c>
      <c r="N178" s="3">
        <v>273.14</v>
      </c>
      <c r="O178" s="1" t="s">
        <v>2193</v>
      </c>
      <c r="P178" s="1" t="s">
        <v>2071</v>
      </c>
      <c r="Q178" s="1" t="str">
        <f>TEXT((Data[[#This Row],[Order_Date]]), "mmm")</f>
        <v>Apr</v>
      </c>
    </row>
    <row r="179" spans="4:17" x14ac:dyDescent="0.3">
      <c r="D179" s="1" t="s">
        <v>241</v>
      </c>
      <c r="E179" s="2">
        <v>45526</v>
      </c>
      <c r="F179" s="2">
        <v>45529</v>
      </c>
      <c r="G179" s="1" t="s">
        <v>22</v>
      </c>
      <c r="H179" s="1" t="s">
        <v>12</v>
      </c>
      <c r="I179" s="1" t="s">
        <v>13</v>
      </c>
      <c r="J179" s="1" t="s">
        <v>51</v>
      </c>
      <c r="K179" s="3">
        <v>439.53</v>
      </c>
      <c r="L179" s="1">
        <v>16</v>
      </c>
      <c r="M179" s="1" t="s">
        <v>29</v>
      </c>
      <c r="N179" s="3">
        <v>138.32</v>
      </c>
      <c r="O179" s="1" t="s">
        <v>2194</v>
      </c>
      <c r="P179" s="1" t="s">
        <v>2078</v>
      </c>
      <c r="Q179" s="1" t="str">
        <f>TEXT((Data[[#This Row],[Order_Date]]), "mmm")</f>
        <v>Aug</v>
      </c>
    </row>
    <row r="180" spans="4:17" x14ac:dyDescent="0.3">
      <c r="D180" s="1" t="s">
        <v>242</v>
      </c>
      <c r="E180" s="2">
        <v>45532</v>
      </c>
      <c r="F180" s="2">
        <v>45536</v>
      </c>
      <c r="G180" s="1" t="s">
        <v>11</v>
      </c>
      <c r="H180" s="1" t="s">
        <v>17</v>
      </c>
      <c r="I180" s="1" t="s">
        <v>27</v>
      </c>
      <c r="J180" s="1" t="s">
        <v>132</v>
      </c>
      <c r="K180" s="3">
        <v>3559.21</v>
      </c>
      <c r="L180" s="1">
        <v>12</v>
      </c>
      <c r="M180" s="1" t="s">
        <v>49</v>
      </c>
      <c r="N180" s="3">
        <v>568.69000000000005</v>
      </c>
      <c r="O180" s="1" t="s">
        <v>2195</v>
      </c>
      <c r="P180" s="1" t="s">
        <v>2076</v>
      </c>
      <c r="Q180" s="1" t="str">
        <f>TEXT((Data[[#This Row],[Order_Date]]), "mmm")</f>
        <v>Aug</v>
      </c>
    </row>
    <row r="181" spans="4:17" x14ac:dyDescent="0.3">
      <c r="D181" s="1" t="s">
        <v>243</v>
      </c>
      <c r="E181" s="2">
        <v>45583</v>
      </c>
      <c r="F181" s="2">
        <v>45586</v>
      </c>
      <c r="G181" s="1" t="s">
        <v>36</v>
      </c>
      <c r="H181" s="1" t="s">
        <v>12</v>
      </c>
      <c r="I181" s="1" t="s">
        <v>13</v>
      </c>
      <c r="J181" s="1" t="s">
        <v>51</v>
      </c>
      <c r="K181" s="3">
        <v>1698.81</v>
      </c>
      <c r="L181" s="1">
        <v>15</v>
      </c>
      <c r="M181" s="1" t="s">
        <v>29</v>
      </c>
      <c r="N181" s="3">
        <v>227.5</v>
      </c>
      <c r="O181" s="1" t="s">
        <v>2079</v>
      </c>
      <c r="P181" s="1" t="s">
        <v>2076</v>
      </c>
      <c r="Q181" s="1" t="str">
        <f>TEXT((Data[[#This Row],[Order_Date]]), "mmm")</f>
        <v>Oct</v>
      </c>
    </row>
    <row r="182" spans="4:17" x14ac:dyDescent="0.3">
      <c r="D182" s="1" t="s">
        <v>244</v>
      </c>
      <c r="E182" s="2">
        <v>45640</v>
      </c>
      <c r="F182" s="2">
        <v>45641</v>
      </c>
      <c r="G182" s="1" t="s">
        <v>22</v>
      </c>
      <c r="H182" s="1" t="s">
        <v>17</v>
      </c>
      <c r="I182" s="1" t="s">
        <v>27</v>
      </c>
      <c r="J182" s="1" t="s">
        <v>110</v>
      </c>
      <c r="K182" s="3">
        <v>3230.86</v>
      </c>
      <c r="L182" s="1">
        <v>11</v>
      </c>
      <c r="M182" s="1" t="s">
        <v>29</v>
      </c>
      <c r="N182" s="3">
        <v>1071.6300000000001</v>
      </c>
      <c r="O182" s="1" t="s">
        <v>2196</v>
      </c>
      <c r="P182" s="1" t="s">
        <v>2078</v>
      </c>
      <c r="Q182" s="1" t="str">
        <f>TEXT((Data[[#This Row],[Order_Date]]), "mmm")</f>
        <v>Dec</v>
      </c>
    </row>
    <row r="183" spans="4:17" x14ac:dyDescent="0.3">
      <c r="D183" s="1" t="s">
        <v>245</v>
      </c>
      <c r="E183" s="2">
        <v>45393</v>
      </c>
      <c r="F183" s="2">
        <v>45399</v>
      </c>
      <c r="G183" s="1" t="s">
        <v>11</v>
      </c>
      <c r="H183" s="1" t="s">
        <v>17</v>
      </c>
      <c r="I183" s="1" t="s">
        <v>18</v>
      </c>
      <c r="J183" s="1" t="s">
        <v>19</v>
      </c>
      <c r="K183" s="3">
        <v>2925.97</v>
      </c>
      <c r="L183" s="1">
        <v>16</v>
      </c>
      <c r="M183" s="1" t="s">
        <v>29</v>
      </c>
      <c r="N183" s="3">
        <v>547.44000000000005</v>
      </c>
      <c r="O183" s="1" t="s">
        <v>2193</v>
      </c>
      <c r="P183" s="1" t="s">
        <v>2071</v>
      </c>
      <c r="Q183" s="1" t="str">
        <f>TEXT((Data[[#This Row],[Order_Date]]), "mmm")</f>
        <v>Apr</v>
      </c>
    </row>
    <row r="184" spans="4:17" x14ac:dyDescent="0.3">
      <c r="D184" s="1" t="s">
        <v>246</v>
      </c>
      <c r="E184" s="2">
        <v>45555</v>
      </c>
      <c r="F184" s="2">
        <v>45557</v>
      </c>
      <c r="G184" s="1" t="s">
        <v>36</v>
      </c>
      <c r="H184" s="1" t="s">
        <v>12</v>
      </c>
      <c r="I184" s="1" t="s">
        <v>13</v>
      </c>
      <c r="J184" s="1" t="s">
        <v>14</v>
      </c>
      <c r="K184" s="3">
        <v>1723.58</v>
      </c>
      <c r="L184" s="1">
        <v>20</v>
      </c>
      <c r="M184" s="1" t="s">
        <v>15</v>
      </c>
      <c r="N184" s="3">
        <v>521.87</v>
      </c>
      <c r="O184" s="1" t="s">
        <v>2197</v>
      </c>
      <c r="P184" s="1" t="s">
        <v>2071</v>
      </c>
      <c r="Q184" s="1" t="str">
        <f>TEXT((Data[[#This Row],[Order_Date]]), "mmm")</f>
        <v>Sep</v>
      </c>
    </row>
    <row r="185" spans="4:17" x14ac:dyDescent="0.3">
      <c r="D185" s="1" t="s">
        <v>247</v>
      </c>
      <c r="E185" s="2">
        <v>45551</v>
      </c>
      <c r="F185" s="2">
        <v>45558</v>
      </c>
      <c r="G185" s="1" t="s">
        <v>36</v>
      </c>
      <c r="H185" s="1" t="s">
        <v>23</v>
      </c>
      <c r="I185" s="1" t="s">
        <v>61</v>
      </c>
      <c r="J185" s="1" t="s">
        <v>98</v>
      </c>
      <c r="K185" s="3">
        <v>1492.15</v>
      </c>
      <c r="L185" s="1">
        <v>4</v>
      </c>
      <c r="M185" s="1" t="s">
        <v>49</v>
      </c>
      <c r="N185" s="3">
        <v>335.9</v>
      </c>
      <c r="O185" s="1" t="s">
        <v>2198</v>
      </c>
      <c r="P185" s="1" t="s">
        <v>2071</v>
      </c>
      <c r="Q185" s="1" t="str">
        <f>TEXT((Data[[#This Row],[Order_Date]]), "mmm")</f>
        <v>Sep</v>
      </c>
    </row>
    <row r="186" spans="4:17" x14ac:dyDescent="0.3">
      <c r="D186" s="1" t="s">
        <v>248</v>
      </c>
      <c r="E186" s="2">
        <v>45644</v>
      </c>
      <c r="F186" s="2">
        <v>45644</v>
      </c>
      <c r="G186" s="1" t="s">
        <v>31</v>
      </c>
      <c r="H186" s="1" t="s">
        <v>23</v>
      </c>
      <c r="I186" s="1" t="s">
        <v>78</v>
      </c>
      <c r="J186" s="1" t="s">
        <v>118</v>
      </c>
      <c r="K186" s="3">
        <v>2438.21</v>
      </c>
      <c r="L186" s="1">
        <v>6</v>
      </c>
      <c r="M186" s="1" t="s">
        <v>29</v>
      </c>
      <c r="N186" s="3">
        <v>582.02</v>
      </c>
      <c r="O186" s="1" t="s">
        <v>2146</v>
      </c>
      <c r="P186" s="1" t="s">
        <v>2071</v>
      </c>
      <c r="Q186" s="1" t="str">
        <f>TEXT((Data[[#This Row],[Order_Date]]), "mmm")</f>
        <v>Dec</v>
      </c>
    </row>
    <row r="187" spans="4:17" x14ac:dyDescent="0.3">
      <c r="D187" s="1" t="s">
        <v>249</v>
      </c>
      <c r="E187" s="2">
        <v>45486</v>
      </c>
      <c r="F187" s="2">
        <v>45488</v>
      </c>
      <c r="G187" s="1" t="s">
        <v>22</v>
      </c>
      <c r="H187" s="1" t="s">
        <v>17</v>
      </c>
      <c r="I187" s="1" t="s">
        <v>32</v>
      </c>
      <c r="J187" s="1" t="s">
        <v>56</v>
      </c>
      <c r="K187" s="3">
        <v>965.44</v>
      </c>
      <c r="L187" s="1">
        <v>15</v>
      </c>
      <c r="M187" s="1" t="s">
        <v>34</v>
      </c>
      <c r="N187" s="3">
        <v>169.56</v>
      </c>
      <c r="O187" s="1" t="s">
        <v>2189</v>
      </c>
      <c r="P187" s="1" t="s">
        <v>2076</v>
      </c>
      <c r="Q187" s="1" t="str">
        <f>TEXT((Data[[#This Row],[Order_Date]]), "mmm")</f>
        <v>Jul</v>
      </c>
    </row>
    <row r="188" spans="4:17" x14ac:dyDescent="0.3">
      <c r="D188" s="1" t="s">
        <v>250</v>
      </c>
      <c r="E188" s="2">
        <v>45396</v>
      </c>
      <c r="F188" s="2">
        <v>45402</v>
      </c>
      <c r="G188" s="1" t="s">
        <v>31</v>
      </c>
      <c r="H188" s="1" t="s">
        <v>12</v>
      </c>
      <c r="I188" s="1" t="s">
        <v>38</v>
      </c>
      <c r="J188" s="1" t="s">
        <v>39</v>
      </c>
      <c r="K188" s="3">
        <v>767.81</v>
      </c>
      <c r="L188" s="1">
        <v>7</v>
      </c>
      <c r="M188" s="1" t="s">
        <v>29</v>
      </c>
      <c r="N188" s="3">
        <v>113.26</v>
      </c>
      <c r="O188" s="1" t="s">
        <v>2199</v>
      </c>
      <c r="P188" s="1" t="s">
        <v>2076</v>
      </c>
      <c r="Q188" s="1" t="str">
        <f>TEXT((Data[[#This Row],[Order_Date]]), "mmm")</f>
        <v>Apr</v>
      </c>
    </row>
    <row r="189" spans="4:17" x14ac:dyDescent="0.3">
      <c r="D189" s="1" t="s">
        <v>251</v>
      </c>
      <c r="E189" s="2">
        <v>45561</v>
      </c>
      <c r="F189" s="2">
        <v>45567</v>
      </c>
      <c r="G189" s="1" t="s">
        <v>36</v>
      </c>
      <c r="H189" s="1" t="s">
        <v>17</v>
      </c>
      <c r="I189" s="1" t="s">
        <v>27</v>
      </c>
      <c r="J189" s="1" t="s">
        <v>110</v>
      </c>
      <c r="K189" s="3">
        <v>2298.52</v>
      </c>
      <c r="L189" s="1">
        <v>9</v>
      </c>
      <c r="M189" s="1" t="s">
        <v>29</v>
      </c>
      <c r="N189" s="3">
        <v>448.8</v>
      </c>
      <c r="O189" s="1" t="s">
        <v>2118</v>
      </c>
      <c r="P189" s="1" t="s">
        <v>2076</v>
      </c>
      <c r="Q189" s="1" t="str">
        <f>TEXT((Data[[#This Row],[Order_Date]]), "mmm")</f>
        <v>Sep</v>
      </c>
    </row>
    <row r="190" spans="4:17" x14ac:dyDescent="0.3">
      <c r="D190" s="1" t="s">
        <v>252</v>
      </c>
      <c r="E190" s="2">
        <v>45434</v>
      </c>
      <c r="F190" s="2">
        <v>45438</v>
      </c>
      <c r="G190" s="1" t="s">
        <v>22</v>
      </c>
      <c r="H190" s="1" t="s">
        <v>23</v>
      </c>
      <c r="I190" s="1" t="s">
        <v>24</v>
      </c>
      <c r="J190" s="1" t="s">
        <v>150</v>
      </c>
      <c r="K190" s="3">
        <v>1027.29</v>
      </c>
      <c r="L190" s="1">
        <v>16</v>
      </c>
      <c r="M190" s="1" t="s">
        <v>34</v>
      </c>
      <c r="N190" s="3">
        <v>199.23</v>
      </c>
      <c r="O190" s="1" t="s">
        <v>2198</v>
      </c>
      <c r="P190" s="1" t="s">
        <v>2078</v>
      </c>
      <c r="Q190" s="1" t="str">
        <f>TEXT((Data[[#This Row],[Order_Date]]), "mmm")</f>
        <v>May</v>
      </c>
    </row>
    <row r="191" spans="4:17" x14ac:dyDescent="0.3">
      <c r="D191" s="1" t="s">
        <v>253</v>
      </c>
      <c r="E191" s="2">
        <v>45432</v>
      </c>
      <c r="F191" s="2">
        <v>45436</v>
      </c>
      <c r="G191" s="1" t="s">
        <v>11</v>
      </c>
      <c r="H191" s="1" t="s">
        <v>12</v>
      </c>
      <c r="I191" s="1" t="s">
        <v>42</v>
      </c>
      <c r="J191" s="1" t="s">
        <v>43</v>
      </c>
      <c r="K191" s="3">
        <v>3318.92</v>
      </c>
      <c r="L191" s="1">
        <v>5</v>
      </c>
      <c r="M191" s="1" t="s">
        <v>34</v>
      </c>
      <c r="N191" s="3">
        <v>207.83</v>
      </c>
      <c r="O191" s="1" t="s">
        <v>2200</v>
      </c>
      <c r="P191" s="1" t="s">
        <v>2071</v>
      </c>
      <c r="Q191" s="1" t="str">
        <f>TEXT((Data[[#This Row],[Order_Date]]), "mmm")</f>
        <v>May</v>
      </c>
    </row>
    <row r="192" spans="4:17" x14ac:dyDescent="0.3">
      <c r="D192" s="1" t="s">
        <v>254</v>
      </c>
      <c r="E192" s="2">
        <v>45332</v>
      </c>
      <c r="F192" s="2">
        <v>45337</v>
      </c>
      <c r="G192" s="1" t="s">
        <v>31</v>
      </c>
      <c r="H192" s="1" t="s">
        <v>12</v>
      </c>
      <c r="I192" s="1" t="s">
        <v>13</v>
      </c>
      <c r="J192" s="1" t="s">
        <v>96</v>
      </c>
      <c r="K192" s="3">
        <v>1052.45</v>
      </c>
      <c r="L192" s="1">
        <v>18</v>
      </c>
      <c r="M192" s="1" t="s">
        <v>34</v>
      </c>
      <c r="N192" s="3">
        <v>347.21</v>
      </c>
      <c r="O192" s="1" t="s">
        <v>2134</v>
      </c>
      <c r="P192" s="1" t="s">
        <v>2076</v>
      </c>
      <c r="Q192" s="1" t="str">
        <f>TEXT((Data[[#This Row],[Order_Date]]), "mmm")</f>
        <v>Feb</v>
      </c>
    </row>
    <row r="193" spans="4:17" x14ac:dyDescent="0.3">
      <c r="D193" s="1" t="s">
        <v>255</v>
      </c>
      <c r="E193" s="2">
        <v>45362</v>
      </c>
      <c r="F193" s="2">
        <v>45363</v>
      </c>
      <c r="G193" s="1" t="s">
        <v>22</v>
      </c>
      <c r="H193" s="1" t="s">
        <v>17</v>
      </c>
      <c r="I193" s="1" t="s">
        <v>18</v>
      </c>
      <c r="J193" s="1" t="s">
        <v>90</v>
      </c>
      <c r="K193" s="3">
        <v>3644.44</v>
      </c>
      <c r="L193" s="1">
        <v>8</v>
      </c>
      <c r="M193" s="1" t="s">
        <v>15</v>
      </c>
      <c r="N193" s="3">
        <v>-436.79</v>
      </c>
      <c r="O193" s="1" t="s">
        <v>2158</v>
      </c>
      <c r="P193" s="1" t="s">
        <v>2071</v>
      </c>
      <c r="Q193" s="1" t="str">
        <f>TEXT((Data[[#This Row],[Order_Date]]), "mmm")</f>
        <v>Mar</v>
      </c>
    </row>
    <row r="194" spans="4:17" x14ac:dyDescent="0.3">
      <c r="D194" s="1" t="s">
        <v>256</v>
      </c>
      <c r="E194" s="2">
        <v>45461</v>
      </c>
      <c r="F194" s="2">
        <v>45468</v>
      </c>
      <c r="G194" s="1" t="s">
        <v>11</v>
      </c>
      <c r="H194" s="1" t="s">
        <v>12</v>
      </c>
      <c r="I194" s="1" t="s">
        <v>58</v>
      </c>
      <c r="J194" s="1" t="s">
        <v>120</v>
      </c>
      <c r="K194" s="3">
        <v>3866.95</v>
      </c>
      <c r="L194" s="1">
        <v>6</v>
      </c>
      <c r="M194" s="1" t="s">
        <v>49</v>
      </c>
      <c r="N194" s="3">
        <v>950.76</v>
      </c>
      <c r="O194" s="1" t="s">
        <v>2201</v>
      </c>
      <c r="P194" s="1" t="s">
        <v>2078</v>
      </c>
      <c r="Q194" s="1" t="str">
        <f>TEXT((Data[[#This Row],[Order_Date]]), "mmm")</f>
        <v>Jun</v>
      </c>
    </row>
    <row r="195" spans="4:17" x14ac:dyDescent="0.3">
      <c r="D195" s="1" t="s">
        <v>257</v>
      </c>
      <c r="E195" s="2">
        <v>45535</v>
      </c>
      <c r="F195" s="2">
        <v>45542</v>
      </c>
      <c r="G195" s="1" t="s">
        <v>22</v>
      </c>
      <c r="H195" s="1" t="s">
        <v>23</v>
      </c>
      <c r="I195" s="1" t="s">
        <v>24</v>
      </c>
      <c r="J195" s="1" t="s">
        <v>93</v>
      </c>
      <c r="K195" s="3">
        <v>2672.12</v>
      </c>
      <c r="L195" s="1">
        <v>3</v>
      </c>
      <c r="M195" s="1" t="s">
        <v>15</v>
      </c>
      <c r="N195" s="3">
        <v>593.85</v>
      </c>
      <c r="O195" s="1" t="s">
        <v>2130</v>
      </c>
      <c r="P195" s="1" t="s">
        <v>2076</v>
      </c>
      <c r="Q195" s="1" t="str">
        <f>TEXT((Data[[#This Row],[Order_Date]]), "mmm")</f>
        <v>Aug</v>
      </c>
    </row>
    <row r="196" spans="4:17" x14ac:dyDescent="0.3">
      <c r="D196" s="1" t="s">
        <v>258</v>
      </c>
      <c r="E196" s="2">
        <v>45311</v>
      </c>
      <c r="F196" s="2">
        <v>45313</v>
      </c>
      <c r="G196" s="1" t="s">
        <v>31</v>
      </c>
      <c r="H196" s="1" t="s">
        <v>17</v>
      </c>
      <c r="I196" s="1" t="s">
        <v>18</v>
      </c>
      <c r="J196" s="1" t="s">
        <v>54</v>
      </c>
      <c r="K196" s="3">
        <v>3204.85</v>
      </c>
      <c r="L196" s="1">
        <v>6</v>
      </c>
      <c r="M196" s="1" t="s">
        <v>15</v>
      </c>
      <c r="N196" s="3">
        <v>1085.29</v>
      </c>
      <c r="O196" s="1" t="s">
        <v>2202</v>
      </c>
      <c r="P196" s="1" t="s">
        <v>2076</v>
      </c>
      <c r="Q196" s="1" t="str">
        <f>TEXT((Data[[#This Row],[Order_Date]]), "mmm")</f>
        <v>Jan</v>
      </c>
    </row>
    <row r="197" spans="4:17" x14ac:dyDescent="0.3">
      <c r="D197" s="1" t="s">
        <v>259</v>
      </c>
      <c r="E197" s="2">
        <v>45311</v>
      </c>
      <c r="F197" s="2">
        <v>45311</v>
      </c>
      <c r="G197" s="1" t="s">
        <v>36</v>
      </c>
      <c r="H197" s="1" t="s">
        <v>12</v>
      </c>
      <c r="I197" s="1" t="s">
        <v>38</v>
      </c>
      <c r="J197" s="1" t="s">
        <v>85</v>
      </c>
      <c r="K197" s="3">
        <v>1317.11</v>
      </c>
      <c r="L197" s="1">
        <v>18</v>
      </c>
      <c r="M197" s="1" t="s">
        <v>29</v>
      </c>
      <c r="N197" s="3">
        <v>261.02</v>
      </c>
      <c r="O197" s="1" t="s">
        <v>2099</v>
      </c>
      <c r="P197" s="1" t="s">
        <v>2071</v>
      </c>
      <c r="Q197" s="1" t="str">
        <f>TEXT((Data[[#This Row],[Order_Date]]), "mmm")</f>
        <v>Jan</v>
      </c>
    </row>
    <row r="198" spans="4:17" x14ac:dyDescent="0.3">
      <c r="D198" s="1" t="s">
        <v>260</v>
      </c>
      <c r="E198" s="2">
        <v>45550</v>
      </c>
      <c r="F198" s="2">
        <v>45557</v>
      </c>
      <c r="G198" s="1" t="s">
        <v>36</v>
      </c>
      <c r="H198" s="1" t="s">
        <v>17</v>
      </c>
      <c r="I198" s="1" t="s">
        <v>18</v>
      </c>
      <c r="J198" s="1" t="s">
        <v>54</v>
      </c>
      <c r="K198" s="3">
        <v>859.35</v>
      </c>
      <c r="L198" s="1">
        <v>15</v>
      </c>
      <c r="M198" s="1" t="s">
        <v>15</v>
      </c>
      <c r="N198" s="3">
        <v>109.29</v>
      </c>
      <c r="O198" s="1" t="s">
        <v>2203</v>
      </c>
      <c r="P198" s="1" t="s">
        <v>2071</v>
      </c>
      <c r="Q198" s="1" t="str">
        <f>TEXT((Data[[#This Row],[Order_Date]]), "mmm")</f>
        <v>Sep</v>
      </c>
    </row>
    <row r="199" spans="4:17" x14ac:dyDescent="0.3">
      <c r="D199" s="1" t="s">
        <v>261</v>
      </c>
      <c r="E199" s="2">
        <v>45464</v>
      </c>
      <c r="F199" s="2">
        <v>45468</v>
      </c>
      <c r="G199" s="1" t="s">
        <v>22</v>
      </c>
      <c r="H199" s="1" t="s">
        <v>17</v>
      </c>
      <c r="I199" s="1" t="s">
        <v>32</v>
      </c>
      <c r="J199" s="1" t="s">
        <v>33</v>
      </c>
      <c r="K199" s="3">
        <v>3351.21</v>
      </c>
      <c r="L199" s="1">
        <v>17</v>
      </c>
      <c r="M199" s="1" t="s">
        <v>34</v>
      </c>
      <c r="N199" s="3">
        <v>254.76</v>
      </c>
      <c r="O199" s="1" t="s">
        <v>2186</v>
      </c>
      <c r="P199" s="1" t="s">
        <v>2078</v>
      </c>
      <c r="Q199" s="1" t="str">
        <f>TEXT((Data[[#This Row],[Order_Date]]), "mmm")</f>
        <v>Jun</v>
      </c>
    </row>
    <row r="200" spans="4:17" x14ac:dyDescent="0.3">
      <c r="D200" s="1" t="s">
        <v>262</v>
      </c>
      <c r="E200" s="2">
        <v>45386</v>
      </c>
      <c r="F200" s="2">
        <v>45388</v>
      </c>
      <c r="G200" s="1" t="s">
        <v>31</v>
      </c>
      <c r="H200" s="1" t="s">
        <v>23</v>
      </c>
      <c r="I200" s="1" t="s">
        <v>78</v>
      </c>
      <c r="J200" s="1" t="s">
        <v>118</v>
      </c>
      <c r="K200" s="3">
        <v>1227.94</v>
      </c>
      <c r="L200" s="1">
        <v>8</v>
      </c>
      <c r="M200" s="1" t="s">
        <v>49</v>
      </c>
      <c r="N200" s="3">
        <v>339.07</v>
      </c>
      <c r="O200" s="1" t="s">
        <v>2135</v>
      </c>
      <c r="P200" s="1" t="s">
        <v>2076</v>
      </c>
      <c r="Q200" s="1" t="str">
        <f>TEXT((Data[[#This Row],[Order_Date]]), "mmm")</f>
        <v>Apr</v>
      </c>
    </row>
    <row r="201" spans="4:17" x14ac:dyDescent="0.3">
      <c r="D201" s="1" t="s">
        <v>263</v>
      </c>
      <c r="E201" s="2">
        <v>45446</v>
      </c>
      <c r="F201" s="2">
        <v>45446</v>
      </c>
      <c r="G201" s="1" t="s">
        <v>36</v>
      </c>
      <c r="H201" s="1" t="s">
        <v>12</v>
      </c>
      <c r="I201" s="1" t="s">
        <v>13</v>
      </c>
      <c r="J201" s="1" t="s">
        <v>14</v>
      </c>
      <c r="K201" s="3">
        <v>482.97</v>
      </c>
      <c r="L201" s="1">
        <v>4</v>
      </c>
      <c r="M201" s="1" t="s">
        <v>49</v>
      </c>
      <c r="N201" s="3">
        <v>68.599999999999994</v>
      </c>
      <c r="O201" s="1" t="s">
        <v>2204</v>
      </c>
      <c r="P201" s="1" t="s">
        <v>2076</v>
      </c>
      <c r="Q201" s="1" t="str">
        <f>TEXT((Data[[#This Row],[Order_Date]]), "mmm")</f>
        <v>Jun</v>
      </c>
    </row>
    <row r="202" spans="4:17" x14ac:dyDescent="0.3">
      <c r="D202" s="1" t="s">
        <v>264</v>
      </c>
      <c r="E202" s="2">
        <v>45549</v>
      </c>
      <c r="F202" s="2">
        <v>45553</v>
      </c>
      <c r="G202" s="1" t="s">
        <v>11</v>
      </c>
      <c r="H202" s="1" t="s">
        <v>12</v>
      </c>
      <c r="I202" s="1" t="s">
        <v>13</v>
      </c>
      <c r="J202" s="1" t="s">
        <v>129</v>
      </c>
      <c r="K202" s="3">
        <v>2554.85</v>
      </c>
      <c r="L202" s="1">
        <v>8</v>
      </c>
      <c r="M202" s="1" t="s">
        <v>44</v>
      </c>
      <c r="N202" s="3">
        <v>494.25</v>
      </c>
      <c r="O202" s="1" t="s">
        <v>2205</v>
      </c>
      <c r="P202" s="1" t="s">
        <v>2071</v>
      </c>
      <c r="Q202" s="1" t="str">
        <f>TEXT((Data[[#This Row],[Order_Date]]), "mmm")</f>
        <v>Sep</v>
      </c>
    </row>
    <row r="203" spans="4:17" x14ac:dyDescent="0.3">
      <c r="D203" s="1" t="s">
        <v>265</v>
      </c>
      <c r="E203" s="2">
        <v>45602</v>
      </c>
      <c r="F203" s="2">
        <v>45607</v>
      </c>
      <c r="G203" s="1" t="s">
        <v>31</v>
      </c>
      <c r="H203" s="1" t="s">
        <v>12</v>
      </c>
      <c r="I203" s="1" t="s">
        <v>42</v>
      </c>
      <c r="J203" s="1" t="s">
        <v>72</v>
      </c>
      <c r="K203" s="3">
        <v>3106.97</v>
      </c>
      <c r="L203" s="1">
        <v>20</v>
      </c>
      <c r="M203" s="1" t="s">
        <v>20</v>
      </c>
      <c r="N203" s="3">
        <v>645.16999999999996</v>
      </c>
      <c r="O203" s="1" t="s">
        <v>2206</v>
      </c>
      <c r="P203" s="1" t="s">
        <v>2078</v>
      </c>
      <c r="Q203" s="1" t="str">
        <f>TEXT((Data[[#This Row],[Order_Date]]), "mmm")</f>
        <v>Nov</v>
      </c>
    </row>
    <row r="204" spans="4:17" x14ac:dyDescent="0.3">
      <c r="D204" s="1" t="s">
        <v>266</v>
      </c>
      <c r="E204" s="2">
        <v>45477</v>
      </c>
      <c r="F204" s="2">
        <v>45478</v>
      </c>
      <c r="G204" s="1" t="s">
        <v>11</v>
      </c>
      <c r="H204" s="1" t="s">
        <v>17</v>
      </c>
      <c r="I204" s="1" t="s">
        <v>32</v>
      </c>
      <c r="J204" s="1" t="s">
        <v>56</v>
      </c>
      <c r="K204" s="3">
        <v>2397.63</v>
      </c>
      <c r="L204" s="1">
        <v>5</v>
      </c>
      <c r="M204" s="1" t="s">
        <v>44</v>
      </c>
      <c r="N204" s="3">
        <v>355.89</v>
      </c>
      <c r="O204" s="1" t="s">
        <v>2094</v>
      </c>
      <c r="P204" s="1" t="s">
        <v>2076</v>
      </c>
      <c r="Q204" s="1" t="str">
        <f>TEXT((Data[[#This Row],[Order_Date]]), "mmm")</f>
        <v>Jul</v>
      </c>
    </row>
    <row r="205" spans="4:17" x14ac:dyDescent="0.3">
      <c r="D205" s="1" t="s">
        <v>267</v>
      </c>
      <c r="E205" s="2">
        <v>45351</v>
      </c>
      <c r="F205" s="2">
        <v>45354</v>
      </c>
      <c r="G205" s="1" t="s">
        <v>31</v>
      </c>
      <c r="H205" s="1" t="s">
        <v>17</v>
      </c>
      <c r="I205" s="1" t="s">
        <v>32</v>
      </c>
      <c r="J205" s="1" t="s">
        <v>33</v>
      </c>
      <c r="K205" s="3">
        <v>3282.6</v>
      </c>
      <c r="L205" s="1">
        <v>15</v>
      </c>
      <c r="M205" s="1" t="s">
        <v>44</v>
      </c>
      <c r="N205" s="3">
        <v>669.57</v>
      </c>
      <c r="O205" s="1" t="s">
        <v>2165</v>
      </c>
      <c r="P205" s="1" t="s">
        <v>2071</v>
      </c>
      <c r="Q205" s="1" t="str">
        <f>TEXT((Data[[#This Row],[Order_Date]]), "mmm")</f>
        <v>Feb</v>
      </c>
    </row>
    <row r="206" spans="4:17" x14ac:dyDescent="0.3">
      <c r="D206" s="1" t="s">
        <v>268</v>
      </c>
      <c r="E206" s="2">
        <v>45321</v>
      </c>
      <c r="F206" s="2">
        <v>45328</v>
      </c>
      <c r="G206" s="1" t="s">
        <v>36</v>
      </c>
      <c r="H206" s="1" t="s">
        <v>12</v>
      </c>
      <c r="I206" s="1" t="s">
        <v>38</v>
      </c>
      <c r="J206" s="1" t="s">
        <v>85</v>
      </c>
      <c r="K206" s="3">
        <v>1204.21</v>
      </c>
      <c r="L206" s="1">
        <v>1</v>
      </c>
      <c r="M206" s="1" t="s">
        <v>15</v>
      </c>
      <c r="N206" s="3">
        <v>-138.93</v>
      </c>
      <c r="O206" s="1" t="s">
        <v>2178</v>
      </c>
      <c r="P206" s="1" t="s">
        <v>2078</v>
      </c>
      <c r="Q206" s="1" t="str">
        <f>TEXT((Data[[#This Row],[Order_Date]]), "mmm")</f>
        <v>Jan</v>
      </c>
    </row>
    <row r="207" spans="4:17" x14ac:dyDescent="0.3">
      <c r="D207" s="1" t="s">
        <v>269</v>
      </c>
      <c r="E207" s="2">
        <v>45508</v>
      </c>
      <c r="F207" s="2">
        <v>45513</v>
      </c>
      <c r="G207" s="1" t="s">
        <v>11</v>
      </c>
      <c r="H207" s="1" t="s">
        <v>12</v>
      </c>
      <c r="I207" s="1" t="s">
        <v>38</v>
      </c>
      <c r="J207" s="1" t="s">
        <v>81</v>
      </c>
      <c r="K207" s="3">
        <v>3948.01</v>
      </c>
      <c r="L207" s="1">
        <v>16</v>
      </c>
      <c r="M207" s="1" t="s">
        <v>20</v>
      </c>
      <c r="N207" s="3">
        <v>537.42999999999995</v>
      </c>
      <c r="O207" s="1" t="s">
        <v>2109</v>
      </c>
      <c r="P207" s="1" t="s">
        <v>2076</v>
      </c>
      <c r="Q207" s="1" t="str">
        <f>TEXT((Data[[#This Row],[Order_Date]]), "mmm")</f>
        <v>Aug</v>
      </c>
    </row>
    <row r="208" spans="4:17" x14ac:dyDescent="0.3">
      <c r="D208" s="1" t="s">
        <v>270</v>
      </c>
      <c r="E208" s="2">
        <v>45361</v>
      </c>
      <c r="F208" s="2">
        <v>45367</v>
      </c>
      <c r="G208" s="1" t="s">
        <v>36</v>
      </c>
      <c r="H208" s="1" t="s">
        <v>23</v>
      </c>
      <c r="I208" s="1" t="s">
        <v>65</v>
      </c>
      <c r="J208" s="1" t="s">
        <v>114</v>
      </c>
      <c r="K208" s="3">
        <v>1658.67</v>
      </c>
      <c r="L208" s="1">
        <v>18</v>
      </c>
      <c r="M208" s="1" t="s">
        <v>44</v>
      </c>
      <c r="N208" s="3">
        <v>408.13</v>
      </c>
      <c r="O208" s="1" t="s">
        <v>2207</v>
      </c>
      <c r="P208" s="1" t="s">
        <v>2071</v>
      </c>
      <c r="Q208" s="1" t="str">
        <f>TEXT((Data[[#This Row],[Order_Date]]), "mmm")</f>
        <v>Mar</v>
      </c>
    </row>
    <row r="209" spans="4:17" x14ac:dyDescent="0.3">
      <c r="D209" s="1" t="s">
        <v>271</v>
      </c>
      <c r="E209" s="2">
        <v>45383</v>
      </c>
      <c r="F209" s="2">
        <v>45389</v>
      </c>
      <c r="G209" s="1" t="s">
        <v>22</v>
      </c>
      <c r="H209" s="1" t="s">
        <v>12</v>
      </c>
      <c r="I209" s="1" t="s">
        <v>58</v>
      </c>
      <c r="J209" s="1" t="s">
        <v>120</v>
      </c>
      <c r="K209" s="3">
        <v>3085.67</v>
      </c>
      <c r="L209" s="1">
        <v>10</v>
      </c>
      <c r="M209" s="1" t="s">
        <v>49</v>
      </c>
      <c r="N209" s="3">
        <v>777.74</v>
      </c>
      <c r="O209" s="1" t="s">
        <v>2208</v>
      </c>
      <c r="P209" s="1" t="s">
        <v>2076</v>
      </c>
      <c r="Q209" s="1" t="str">
        <f>TEXT((Data[[#This Row],[Order_Date]]), "mmm")</f>
        <v>Apr</v>
      </c>
    </row>
    <row r="210" spans="4:17" x14ac:dyDescent="0.3">
      <c r="D210" s="1" t="s">
        <v>272</v>
      </c>
      <c r="E210" s="2">
        <v>45564</v>
      </c>
      <c r="F210" s="2">
        <v>45570</v>
      </c>
      <c r="G210" s="1" t="s">
        <v>22</v>
      </c>
      <c r="H210" s="1" t="s">
        <v>17</v>
      </c>
      <c r="I210" s="1" t="s">
        <v>27</v>
      </c>
      <c r="J210" s="1" t="s">
        <v>110</v>
      </c>
      <c r="K210" s="3">
        <v>831.71</v>
      </c>
      <c r="L210" s="1">
        <v>7</v>
      </c>
      <c r="M210" s="1" t="s">
        <v>15</v>
      </c>
      <c r="N210" s="3">
        <v>-232.59</v>
      </c>
      <c r="O210" s="1" t="s">
        <v>2209</v>
      </c>
      <c r="P210" s="1" t="s">
        <v>2071</v>
      </c>
      <c r="Q210" s="1" t="str">
        <f>TEXT((Data[[#This Row],[Order_Date]]), "mmm")</f>
        <v>Sep</v>
      </c>
    </row>
    <row r="211" spans="4:17" x14ac:dyDescent="0.3">
      <c r="D211" s="1" t="s">
        <v>273</v>
      </c>
      <c r="E211" s="2">
        <v>45630</v>
      </c>
      <c r="F211" s="2">
        <v>45636</v>
      </c>
      <c r="G211" s="1" t="s">
        <v>11</v>
      </c>
      <c r="H211" s="1" t="s">
        <v>17</v>
      </c>
      <c r="I211" s="1" t="s">
        <v>18</v>
      </c>
      <c r="J211" s="1" t="s">
        <v>19</v>
      </c>
      <c r="K211" s="3">
        <v>628.36</v>
      </c>
      <c r="L211" s="1">
        <v>2</v>
      </c>
      <c r="M211" s="1" t="s">
        <v>49</v>
      </c>
      <c r="N211" s="3">
        <v>144.11000000000001</v>
      </c>
      <c r="O211" s="1" t="s">
        <v>2138</v>
      </c>
      <c r="P211" s="1" t="s">
        <v>2076</v>
      </c>
      <c r="Q211" s="1" t="str">
        <f>TEXT((Data[[#This Row],[Order_Date]]), "mmm")</f>
        <v>Dec</v>
      </c>
    </row>
    <row r="212" spans="4:17" x14ac:dyDescent="0.3">
      <c r="D212" s="1" t="s">
        <v>274</v>
      </c>
      <c r="E212" s="2">
        <v>45316</v>
      </c>
      <c r="F212" s="2">
        <v>45319</v>
      </c>
      <c r="G212" s="1" t="s">
        <v>11</v>
      </c>
      <c r="H212" s="1" t="s">
        <v>23</v>
      </c>
      <c r="I212" s="1" t="s">
        <v>65</v>
      </c>
      <c r="J212" s="1" t="s">
        <v>66</v>
      </c>
      <c r="K212" s="3">
        <v>2274.1</v>
      </c>
      <c r="L212" s="1">
        <v>2</v>
      </c>
      <c r="M212" s="1" t="s">
        <v>44</v>
      </c>
      <c r="N212" s="3">
        <v>457.48</v>
      </c>
      <c r="O212" s="1" t="s">
        <v>2210</v>
      </c>
      <c r="P212" s="1" t="s">
        <v>2071</v>
      </c>
      <c r="Q212" s="1" t="str">
        <f>TEXT((Data[[#This Row],[Order_Date]]), "mmm")</f>
        <v>Jan</v>
      </c>
    </row>
    <row r="213" spans="4:17" x14ac:dyDescent="0.3">
      <c r="D213" s="1" t="s">
        <v>275</v>
      </c>
      <c r="E213" s="2">
        <v>45586</v>
      </c>
      <c r="F213" s="2">
        <v>45591</v>
      </c>
      <c r="G213" s="1" t="s">
        <v>36</v>
      </c>
      <c r="H213" s="1" t="s">
        <v>17</v>
      </c>
      <c r="I213" s="1" t="s">
        <v>27</v>
      </c>
      <c r="J213" s="1" t="s">
        <v>132</v>
      </c>
      <c r="K213" s="3">
        <v>3946.36</v>
      </c>
      <c r="L213" s="1">
        <v>17</v>
      </c>
      <c r="M213" s="1" t="s">
        <v>44</v>
      </c>
      <c r="N213" s="3">
        <v>686.94</v>
      </c>
      <c r="O213" s="1" t="s">
        <v>2211</v>
      </c>
      <c r="P213" s="1" t="s">
        <v>2076</v>
      </c>
      <c r="Q213" s="1" t="str">
        <f>TEXT((Data[[#This Row],[Order_Date]]), "mmm")</f>
        <v>Oct</v>
      </c>
    </row>
    <row r="214" spans="4:17" x14ac:dyDescent="0.3">
      <c r="D214" s="1" t="s">
        <v>276</v>
      </c>
      <c r="E214" s="2">
        <v>45577</v>
      </c>
      <c r="F214" s="2">
        <v>45579</v>
      </c>
      <c r="G214" s="1" t="s">
        <v>31</v>
      </c>
      <c r="H214" s="1" t="s">
        <v>12</v>
      </c>
      <c r="I214" s="1" t="s">
        <v>42</v>
      </c>
      <c r="J214" s="1" t="s">
        <v>48</v>
      </c>
      <c r="K214" s="3">
        <v>3896.09</v>
      </c>
      <c r="L214" s="1">
        <v>13</v>
      </c>
      <c r="M214" s="1" t="s">
        <v>29</v>
      </c>
      <c r="N214" s="3">
        <v>567.35</v>
      </c>
      <c r="O214" s="1" t="s">
        <v>2212</v>
      </c>
      <c r="P214" s="1" t="s">
        <v>2078</v>
      </c>
      <c r="Q214" s="1" t="str">
        <f>TEXT((Data[[#This Row],[Order_Date]]), "mmm")</f>
        <v>Oct</v>
      </c>
    </row>
    <row r="215" spans="4:17" x14ac:dyDescent="0.3">
      <c r="D215" s="1" t="s">
        <v>277</v>
      </c>
      <c r="E215" s="2">
        <v>45368</v>
      </c>
      <c r="F215" s="2">
        <v>45372</v>
      </c>
      <c r="G215" s="1" t="s">
        <v>31</v>
      </c>
      <c r="H215" s="1" t="s">
        <v>17</v>
      </c>
      <c r="I215" s="1" t="s">
        <v>32</v>
      </c>
      <c r="J215" s="1" t="s">
        <v>33</v>
      </c>
      <c r="K215" s="3">
        <v>1153.6300000000001</v>
      </c>
      <c r="L215" s="1">
        <v>8</v>
      </c>
      <c r="M215" s="1" t="s">
        <v>34</v>
      </c>
      <c r="N215" s="3">
        <v>-354.47</v>
      </c>
      <c r="O215" s="1" t="s">
        <v>2213</v>
      </c>
      <c r="P215" s="1" t="s">
        <v>2071</v>
      </c>
      <c r="Q215" s="1" t="str">
        <f>TEXT((Data[[#This Row],[Order_Date]]), "mmm")</f>
        <v>Mar</v>
      </c>
    </row>
    <row r="216" spans="4:17" x14ac:dyDescent="0.3">
      <c r="D216" s="1" t="s">
        <v>278</v>
      </c>
      <c r="E216" s="2">
        <v>45529</v>
      </c>
      <c r="F216" s="2">
        <v>45529</v>
      </c>
      <c r="G216" s="1" t="s">
        <v>31</v>
      </c>
      <c r="H216" s="1" t="s">
        <v>23</v>
      </c>
      <c r="I216" s="1" t="s">
        <v>78</v>
      </c>
      <c r="J216" s="1" t="s">
        <v>79</v>
      </c>
      <c r="K216" s="3">
        <v>1160.72</v>
      </c>
      <c r="L216" s="1">
        <v>7</v>
      </c>
      <c r="M216" s="1" t="s">
        <v>34</v>
      </c>
      <c r="N216" s="3">
        <v>283.23</v>
      </c>
      <c r="O216" s="1" t="s">
        <v>2189</v>
      </c>
      <c r="P216" s="1" t="s">
        <v>2078</v>
      </c>
      <c r="Q216" s="1" t="str">
        <f>TEXT((Data[[#This Row],[Order_Date]]), "mmm")</f>
        <v>Aug</v>
      </c>
    </row>
    <row r="217" spans="4:17" x14ac:dyDescent="0.3">
      <c r="D217" s="1" t="s">
        <v>279</v>
      </c>
      <c r="E217" s="2">
        <v>45481</v>
      </c>
      <c r="F217" s="2">
        <v>45482</v>
      </c>
      <c r="G217" s="1" t="s">
        <v>22</v>
      </c>
      <c r="H217" s="1" t="s">
        <v>17</v>
      </c>
      <c r="I217" s="1" t="s">
        <v>27</v>
      </c>
      <c r="J217" s="1" t="s">
        <v>108</v>
      </c>
      <c r="K217" s="3">
        <v>2776.27</v>
      </c>
      <c r="L217" s="1">
        <v>20</v>
      </c>
      <c r="M217" s="1" t="s">
        <v>20</v>
      </c>
      <c r="N217" s="3">
        <v>866.44</v>
      </c>
      <c r="O217" s="1" t="s">
        <v>2214</v>
      </c>
      <c r="P217" s="1" t="s">
        <v>2076</v>
      </c>
      <c r="Q217" s="1" t="str">
        <f>TEXT((Data[[#This Row],[Order_Date]]), "mmm")</f>
        <v>Jul</v>
      </c>
    </row>
    <row r="218" spans="4:17" x14ac:dyDescent="0.3">
      <c r="D218" s="1" t="s">
        <v>280</v>
      </c>
      <c r="E218" s="2">
        <v>45592</v>
      </c>
      <c r="F218" s="2">
        <v>45595</v>
      </c>
      <c r="G218" s="1" t="s">
        <v>31</v>
      </c>
      <c r="H218" s="1" t="s">
        <v>17</v>
      </c>
      <c r="I218" s="1" t="s">
        <v>27</v>
      </c>
      <c r="J218" s="1" t="s">
        <v>110</v>
      </c>
      <c r="K218" s="3">
        <v>3838.82</v>
      </c>
      <c r="L218" s="1">
        <v>1</v>
      </c>
      <c r="M218" s="1" t="s">
        <v>44</v>
      </c>
      <c r="N218" s="3">
        <v>1271.22</v>
      </c>
      <c r="O218" s="1" t="s">
        <v>2074</v>
      </c>
      <c r="P218" s="1" t="s">
        <v>2078</v>
      </c>
      <c r="Q218" s="1" t="str">
        <f>TEXT((Data[[#This Row],[Order_Date]]), "mmm")</f>
        <v>Oct</v>
      </c>
    </row>
    <row r="219" spans="4:17" x14ac:dyDescent="0.3">
      <c r="D219" s="1" t="s">
        <v>281</v>
      </c>
      <c r="E219" s="2">
        <v>45352</v>
      </c>
      <c r="F219" s="2">
        <v>45359</v>
      </c>
      <c r="G219" s="1" t="s">
        <v>22</v>
      </c>
      <c r="H219" s="1" t="s">
        <v>12</v>
      </c>
      <c r="I219" s="1" t="s">
        <v>58</v>
      </c>
      <c r="J219" s="1" t="s">
        <v>105</v>
      </c>
      <c r="K219" s="3">
        <v>3681.72</v>
      </c>
      <c r="L219" s="1">
        <v>18</v>
      </c>
      <c r="M219" s="1" t="s">
        <v>34</v>
      </c>
      <c r="N219" s="3">
        <v>1040.6500000000001</v>
      </c>
      <c r="O219" s="1" t="s">
        <v>2178</v>
      </c>
      <c r="P219" s="1" t="s">
        <v>2076</v>
      </c>
      <c r="Q219" s="1" t="str">
        <f>TEXT((Data[[#This Row],[Order_Date]]), "mmm")</f>
        <v>Mar</v>
      </c>
    </row>
    <row r="220" spans="4:17" x14ac:dyDescent="0.3">
      <c r="D220" s="1" t="s">
        <v>282</v>
      </c>
      <c r="E220" s="2">
        <v>45565</v>
      </c>
      <c r="F220" s="2">
        <v>45570</v>
      </c>
      <c r="G220" s="1" t="s">
        <v>36</v>
      </c>
      <c r="H220" s="1" t="s">
        <v>23</v>
      </c>
      <c r="I220" s="1" t="s">
        <v>24</v>
      </c>
      <c r="J220" s="1" t="s">
        <v>150</v>
      </c>
      <c r="K220" s="3">
        <v>3560.54</v>
      </c>
      <c r="L220" s="1">
        <v>15</v>
      </c>
      <c r="M220" s="1" t="s">
        <v>20</v>
      </c>
      <c r="N220" s="3">
        <v>1035.57</v>
      </c>
      <c r="O220" s="1" t="s">
        <v>2215</v>
      </c>
      <c r="P220" s="1" t="s">
        <v>2076</v>
      </c>
      <c r="Q220" s="1" t="str">
        <f>TEXT((Data[[#This Row],[Order_Date]]), "mmm")</f>
        <v>Sep</v>
      </c>
    </row>
    <row r="221" spans="4:17" x14ac:dyDescent="0.3">
      <c r="D221" s="1" t="s">
        <v>283</v>
      </c>
      <c r="E221" s="2">
        <v>45455</v>
      </c>
      <c r="F221" s="2">
        <v>45458</v>
      </c>
      <c r="G221" s="1" t="s">
        <v>36</v>
      </c>
      <c r="H221" s="1" t="s">
        <v>23</v>
      </c>
      <c r="I221" s="1" t="s">
        <v>65</v>
      </c>
      <c r="J221" s="1" t="s">
        <v>66</v>
      </c>
      <c r="K221" s="3">
        <v>2359.4699999999998</v>
      </c>
      <c r="L221" s="1">
        <v>8</v>
      </c>
      <c r="M221" s="1" t="s">
        <v>15</v>
      </c>
      <c r="N221" s="3">
        <v>221.26</v>
      </c>
      <c r="O221" s="1" t="s">
        <v>2174</v>
      </c>
      <c r="P221" s="1" t="s">
        <v>2078</v>
      </c>
      <c r="Q221" s="1" t="str">
        <f>TEXT((Data[[#This Row],[Order_Date]]), "mmm")</f>
        <v>Jun</v>
      </c>
    </row>
    <row r="222" spans="4:17" x14ac:dyDescent="0.3">
      <c r="D222" s="1" t="s">
        <v>284</v>
      </c>
      <c r="E222" s="2">
        <v>45591</v>
      </c>
      <c r="F222" s="2">
        <v>45597</v>
      </c>
      <c r="G222" s="1" t="s">
        <v>36</v>
      </c>
      <c r="H222" s="1" t="s">
        <v>17</v>
      </c>
      <c r="I222" s="1" t="s">
        <v>18</v>
      </c>
      <c r="J222" s="1" t="s">
        <v>54</v>
      </c>
      <c r="K222" s="3">
        <v>1112.57</v>
      </c>
      <c r="L222" s="1">
        <v>19</v>
      </c>
      <c r="M222" s="1" t="s">
        <v>44</v>
      </c>
      <c r="N222" s="3">
        <v>222.28</v>
      </c>
      <c r="O222" s="1" t="s">
        <v>2096</v>
      </c>
      <c r="P222" s="1" t="s">
        <v>2076</v>
      </c>
      <c r="Q222" s="1" t="str">
        <f>TEXT((Data[[#This Row],[Order_Date]]), "mmm")</f>
        <v>Oct</v>
      </c>
    </row>
    <row r="223" spans="4:17" x14ac:dyDescent="0.3">
      <c r="D223" s="1" t="s">
        <v>285</v>
      </c>
      <c r="E223" s="2">
        <v>45642</v>
      </c>
      <c r="F223" s="2">
        <v>45647</v>
      </c>
      <c r="G223" s="1" t="s">
        <v>36</v>
      </c>
      <c r="H223" s="1" t="s">
        <v>23</v>
      </c>
      <c r="I223" s="1" t="s">
        <v>65</v>
      </c>
      <c r="J223" s="1" t="s">
        <v>114</v>
      </c>
      <c r="K223" s="3">
        <v>880.88</v>
      </c>
      <c r="L223" s="1">
        <v>12</v>
      </c>
      <c r="M223" s="1" t="s">
        <v>44</v>
      </c>
      <c r="N223" s="3">
        <v>81.03</v>
      </c>
      <c r="O223" s="1" t="s">
        <v>2168</v>
      </c>
      <c r="P223" s="1" t="s">
        <v>2071</v>
      </c>
      <c r="Q223" s="1" t="str">
        <f>TEXT((Data[[#This Row],[Order_Date]]), "mmm")</f>
        <v>Dec</v>
      </c>
    </row>
    <row r="224" spans="4:17" x14ac:dyDescent="0.3">
      <c r="D224" s="1" t="s">
        <v>286</v>
      </c>
      <c r="E224" s="2">
        <v>45386</v>
      </c>
      <c r="F224" s="2">
        <v>45386</v>
      </c>
      <c r="G224" s="1" t="s">
        <v>11</v>
      </c>
      <c r="H224" s="1" t="s">
        <v>17</v>
      </c>
      <c r="I224" s="1" t="s">
        <v>32</v>
      </c>
      <c r="J224" s="1" t="s">
        <v>56</v>
      </c>
      <c r="K224" s="3">
        <v>3116.27</v>
      </c>
      <c r="L224" s="1">
        <v>14</v>
      </c>
      <c r="M224" s="1" t="s">
        <v>44</v>
      </c>
      <c r="N224" s="3">
        <v>943.49</v>
      </c>
      <c r="O224" s="1" t="s">
        <v>2216</v>
      </c>
      <c r="P224" s="1" t="s">
        <v>2071</v>
      </c>
      <c r="Q224" s="1" t="str">
        <f>TEXT((Data[[#This Row],[Order_Date]]), "mmm")</f>
        <v>Apr</v>
      </c>
    </row>
    <row r="225" spans="4:17" x14ac:dyDescent="0.3">
      <c r="D225" s="1" t="s">
        <v>287</v>
      </c>
      <c r="E225" s="2">
        <v>45654</v>
      </c>
      <c r="F225" s="2">
        <v>45656</v>
      </c>
      <c r="G225" s="1" t="s">
        <v>11</v>
      </c>
      <c r="H225" s="1" t="s">
        <v>17</v>
      </c>
      <c r="I225" s="1" t="s">
        <v>32</v>
      </c>
      <c r="J225" s="1" t="s">
        <v>33</v>
      </c>
      <c r="K225" s="3">
        <v>1649.5</v>
      </c>
      <c r="L225" s="1">
        <v>20</v>
      </c>
      <c r="M225" s="1" t="s">
        <v>15</v>
      </c>
      <c r="N225" s="3">
        <v>412.42</v>
      </c>
      <c r="O225" s="1" t="s">
        <v>2217</v>
      </c>
      <c r="P225" s="1" t="s">
        <v>2078</v>
      </c>
      <c r="Q225" s="1" t="str">
        <f>TEXT((Data[[#This Row],[Order_Date]]), "mmm")</f>
        <v>Dec</v>
      </c>
    </row>
    <row r="226" spans="4:17" x14ac:dyDescent="0.3">
      <c r="D226" s="1" t="s">
        <v>288</v>
      </c>
      <c r="E226" s="2">
        <v>45539</v>
      </c>
      <c r="F226" s="2">
        <v>45546</v>
      </c>
      <c r="G226" s="1" t="s">
        <v>11</v>
      </c>
      <c r="H226" s="1" t="s">
        <v>17</v>
      </c>
      <c r="I226" s="1" t="s">
        <v>32</v>
      </c>
      <c r="J226" s="1" t="s">
        <v>33</v>
      </c>
      <c r="K226" s="3">
        <v>294.44</v>
      </c>
      <c r="L226" s="1">
        <v>17</v>
      </c>
      <c r="M226" s="1" t="s">
        <v>15</v>
      </c>
      <c r="N226" s="3">
        <v>38.99</v>
      </c>
      <c r="O226" s="1" t="s">
        <v>2218</v>
      </c>
      <c r="P226" s="1" t="s">
        <v>2078</v>
      </c>
      <c r="Q226" s="1" t="str">
        <f>TEXT((Data[[#This Row],[Order_Date]]), "mmm")</f>
        <v>Sep</v>
      </c>
    </row>
    <row r="227" spans="4:17" x14ac:dyDescent="0.3">
      <c r="D227" s="1" t="s">
        <v>289</v>
      </c>
      <c r="E227" s="2">
        <v>45300</v>
      </c>
      <c r="F227" s="2">
        <v>45306</v>
      </c>
      <c r="G227" s="1" t="s">
        <v>22</v>
      </c>
      <c r="H227" s="1" t="s">
        <v>17</v>
      </c>
      <c r="I227" s="1" t="s">
        <v>18</v>
      </c>
      <c r="J227" s="1" t="s">
        <v>90</v>
      </c>
      <c r="K227" s="3">
        <v>808.37</v>
      </c>
      <c r="L227" s="1">
        <v>7</v>
      </c>
      <c r="M227" s="1" t="s">
        <v>29</v>
      </c>
      <c r="N227" s="3">
        <v>168.09</v>
      </c>
      <c r="O227" s="1" t="s">
        <v>2217</v>
      </c>
      <c r="P227" s="1" t="s">
        <v>2071</v>
      </c>
      <c r="Q227" s="1" t="str">
        <f>TEXT((Data[[#This Row],[Order_Date]]), "mmm")</f>
        <v>Jan</v>
      </c>
    </row>
    <row r="228" spans="4:17" x14ac:dyDescent="0.3">
      <c r="D228" s="1" t="s">
        <v>290</v>
      </c>
      <c r="E228" s="2">
        <v>45428</v>
      </c>
      <c r="F228" s="2">
        <v>45434</v>
      </c>
      <c r="G228" s="1" t="s">
        <v>11</v>
      </c>
      <c r="H228" s="1" t="s">
        <v>23</v>
      </c>
      <c r="I228" s="1" t="s">
        <v>65</v>
      </c>
      <c r="J228" s="1" t="s">
        <v>114</v>
      </c>
      <c r="K228" s="3">
        <v>2368.7600000000002</v>
      </c>
      <c r="L228" s="1">
        <v>8</v>
      </c>
      <c r="M228" s="1" t="s">
        <v>34</v>
      </c>
      <c r="N228" s="3">
        <v>604.54</v>
      </c>
      <c r="O228" s="1" t="s">
        <v>2079</v>
      </c>
      <c r="P228" s="1" t="s">
        <v>2078</v>
      </c>
      <c r="Q228" s="1" t="str">
        <f>TEXT((Data[[#This Row],[Order_Date]]), "mmm")</f>
        <v>May</v>
      </c>
    </row>
    <row r="229" spans="4:17" x14ac:dyDescent="0.3">
      <c r="D229" s="1" t="s">
        <v>291</v>
      </c>
      <c r="E229" s="2">
        <v>45626</v>
      </c>
      <c r="F229" s="2">
        <v>45626</v>
      </c>
      <c r="G229" s="1" t="s">
        <v>11</v>
      </c>
      <c r="H229" s="1" t="s">
        <v>23</v>
      </c>
      <c r="I229" s="1" t="s">
        <v>65</v>
      </c>
      <c r="J229" s="1" t="s">
        <v>114</v>
      </c>
      <c r="K229" s="3">
        <v>2322.63</v>
      </c>
      <c r="L229" s="1">
        <v>2</v>
      </c>
      <c r="M229" s="1" t="s">
        <v>15</v>
      </c>
      <c r="N229" s="3">
        <v>122.72</v>
      </c>
      <c r="O229" s="1" t="s">
        <v>2219</v>
      </c>
      <c r="P229" s="1" t="s">
        <v>2076</v>
      </c>
      <c r="Q229" s="1" t="str">
        <f>TEXT((Data[[#This Row],[Order_Date]]), "mmm")</f>
        <v>Nov</v>
      </c>
    </row>
    <row r="230" spans="4:17" x14ac:dyDescent="0.3">
      <c r="D230" s="1" t="s">
        <v>292</v>
      </c>
      <c r="E230" s="2">
        <v>45547</v>
      </c>
      <c r="F230" s="2">
        <v>45553</v>
      </c>
      <c r="G230" s="1" t="s">
        <v>36</v>
      </c>
      <c r="H230" s="1" t="s">
        <v>12</v>
      </c>
      <c r="I230" s="1" t="s">
        <v>38</v>
      </c>
      <c r="J230" s="1" t="s">
        <v>39</v>
      </c>
      <c r="K230" s="3">
        <v>3696.82</v>
      </c>
      <c r="L230" s="1">
        <v>8</v>
      </c>
      <c r="M230" s="1" t="s">
        <v>44</v>
      </c>
      <c r="N230" s="3">
        <v>1184.3900000000001</v>
      </c>
      <c r="O230" s="1" t="s">
        <v>2220</v>
      </c>
      <c r="P230" s="1" t="s">
        <v>2076</v>
      </c>
      <c r="Q230" s="1" t="str">
        <f>TEXT((Data[[#This Row],[Order_Date]]), "mmm")</f>
        <v>Sep</v>
      </c>
    </row>
    <row r="231" spans="4:17" x14ac:dyDescent="0.3">
      <c r="D231" s="1" t="s">
        <v>293</v>
      </c>
      <c r="E231" s="2">
        <v>45582</v>
      </c>
      <c r="F231" s="2">
        <v>45589</v>
      </c>
      <c r="G231" s="1" t="s">
        <v>36</v>
      </c>
      <c r="H231" s="1" t="s">
        <v>17</v>
      </c>
      <c r="I231" s="1" t="s">
        <v>18</v>
      </c>
      <c r="J231" s="1" t="s">
        <v>90</v>
      </c>
      <c r="K231" s="3">
        <v>3720.94</v>
      </c>
      <c r="L231" s="1">
        <v>18</v>
      </c>
      <c r="M231" s="1" t="s">
        <v>29</v>
      </c>
      <c r="N231" s="3">
        <v>920.68</v>
      </c>
      <c r="O231" s="1" t="s">
        <v>2221</v>
      </c>
      <c r="P231" s="1" t="s">
        <v>2076</v>
      </c>
      <c r="Q231" s="1" t="str">
        <f>TEXT((Data[[#This Row],[Order_Date]]), "mmm")</f>
        <v>Oct</v>
      </c>
    </row>
    <row r="232" spans="4:17" x14ac:dyDescent="0.3">
      <c r="D232" s="1" t="s">
        <v>294</v>
      </c>
      <c r="E232" s="2">
        <v>45453</v>
      </c>
      <c r="F232" s="2">
        <v>45453</v>
      </c>
      <c r="G232" s="1" t="s">
        <v>22</v>
      </c>
      <c r="H232" s="1" t="s">
        <v>12</v>
      </c>
      <c r="I232" s="1" t="s">
        <v>58</v>
      </c>
      <c r="J232" s="1" t="s">
        <v>59</v>
      </c>
      <c r="K232" s="3">
        <v>3328.38</v>
      </c>
      <c r="L232" s="1">
        <v>3</v>
      </c>
      <c r="M232" s="1" t="s">
        <v>34</v>
      </c>
      <c r="N232" s="3">
        <v>328.63</v>
      </c>
      <c r="O232" s="1" t="s">
        <v>2118</v>
      </c>
      <c r="P232" s="1" t="s">
        <v>2071</v>
      </c>
      <c r="Q232" s="1" t="str">
        <f>TEXT((Data[[#This Row],[Order_Date]]), "mmm")</f>
        <v>Jun</v>
      </c>
    </row>
    <row r="233" spans="4:17" x14ac:dyDescent="0.3">
      <c r="D233" s="1" t="s">
        <v>295</v>
      </c>
      <c r="E233" s="2">
        <v>45491</v>
      </c>
      <c r="F233" s="2">
        <v>45496</v>
      </c>
      <c r="G233" s="1" t="s">
        <v>31</v>
      </c>
      <c r="H233" s="1" t="s">
        <v>12</v>
      </c>
      <c r="I233" s="1" t="s">
        <v>58</v>
      </c>
      <c r="J233" s="1" t="s">
        <v>59</v>
      </c>
      <c r="K233" s="3">
        <v>2965.61</v>
      </c>
      <c r="L233" s="1">
        <v>17</v>
      </c>
      <c r="M233" s="1" t="s">
        <v>15</v>
      </c>
      <c r="N233" s="3">
        <v>-1015.12</v>
      </c>
      <c r="O233" s="1" t="s">
        <v>2130</v>
      </c>
      <c r="P233" s="1" t="s">
        <v>2071</v>
      </c>
      <c r="Q233" s="1" t="str">
        <f>TEXT((Data[[#This Row],[Order_Date]]), "mmm")</f>
        <v>Jul</v>
      </c>
    </row>
    <row r="234" spans="4:17" x14ac:dyDescent="0.3">
      <c r="D234" s="1" t="s">
        <v>296</v>
      </c>
      <c r="E234" s="2">
        <v>45515</v>
      </c>
      <c r="F234" s="2">
        <v>45518</v>
      </c>
      <c r="G234" s="1" t="s">
        <v>11</v>
      </c>
      <c r="H234" s="1" t="s">
        <v>23</v>
      </c>
      <c r="I234" s="1" t="s">
        <v>65</v>
      </c>
      <c r="J234" s="1" t="s">
        <v>114</v>
      </c>
      <c r="K234" s="3">
        <v>361.1</v>
      </c>
      <c r="L234" s="1">
        <v>9</v>
      </c>
      <c r="M234" s="1" t="s">
        <v>49</v>
      </c>
      <c r="N234" s="3">
        <v>71.2</v>
      </c>
      <c r="O234" s="1" t="s">
        <v>2103</v>
      </c>
      <c r="P234" s="1" t="s">
        <v>2078</v>
      </c>
      <c r="Q234" s="1" t="str">
        <f>TEXT((Data[[#This Row],[Order_Date]]), "mmm")</f>
        <v>Aug</v>
      </c>
    </row>
    <row r="235" spans="4:17" x14ac:dyDescent="0.3">
      <c r="D235" s="1" t="s">
        <v>297</v>
      </c>
      <c r="E235" s="2">
        <v>45484</v>
      </c>
      <c r="F235" s="2">
        <v>45490</v>
      </c>
      <c r="G235" s="1" t="s">
        <v>22</v>
      </c>
      <c r="H235" s="1" t="s">
        <v>12</v>
      </c>
      <c r="I235" s="1" t="s">
        <v>42</v>
      </c>
      <c r="J235" s="1" t="s">
        <v>48</v>
      </c>
      <c r="K235" s="3">
        <v>3145.63</v>
      </c>
      <c r="L235" s="1">
        <v>10</v>
      </c>
      <c r="M235" s="1" t="s">
        <v>44</v>
      </c>
      <c r="N235" s="3">
        <v>-830.23</v>
      </c>
      <c r="O235" s="1" t="s">
        <v>2073</v>
      </c>
      <c r="P235" s="1" t="s">
        <v>2078</v>
      </c>
      <c r="Q235" s="1" t="str">
        <f>TEXT((Data[[#This Row],[Order_Date]]), "mmm")</f>
        <v>Jul</v>
      </c>
    </row>
    <row r="236" spans="4:17" x14ac:dyDescent="0.3">
      <c r="D236" s="1" t="s">
        <v>298</v>
      </c>
      <c r="E236" s="2">
        <v>45370</v>
      </c>
      <c r="F236" s="2">
        <v>45376</v>
      </c>
      <c r="G236" s="1" t="s">
        <v>22</v>
      </c>
      <c r="H236" s="1" t="s">
        <v>12</v>
      </c>
      <c r="I236" s="1" t="s">
        <v>42</v>
      </c>
      <c r="J236" s="1" t="s">
        <v>46</v>
      </c>
      <c r="K236" s="3">
        <v>1602.63</v>
      </c>
      <c r="L236" s="1">
        <v>3</v>
      </c>
      <c r="M236" s="1" t="s">
        <v>20</v>
      </c>
      <c r="N236" s="3">
        <v>533.5</v>
      </c>
      <c r="O236" s="1" t="s">
        <v>2081</v>
      </c>
      <c r="P236" s="1" t="s">
        <v>2078</v>
      </c>
      <c r="Q236" s="1" t="str">
        <f>TEXT((Data[[#This Row],[Order_Date]]), "mmm")</f>
        <v>Mar</v>
      </c>
    </row>
    <row r="237" spans="4:17" x14ac:dyDescent="0.3">
      <c r="D237" s="1" t="s">
        <v>299</v>
      </c>
      <c r="E237" s="2">
        <v>45430</v>
      </c>
      <c r="F237" s="2">
        <v>45431</v>
      </c>
      <c r="G237" s="1" t="s">
        <v>22</v>
      </c>
      <c r="H237" s="1" t="s">
        <v>17</v>
      </c>
      <c r="I237" s="1" t="s">
        <v>18</v>
      </c>
      <c r="J237" s="1" t="s">
        <v>54</v>
      </c>
      <c r="K237" s="3">
        <v>1933.16</v>
      </c>
      <c r="L237" s="1">
        <v>18</v>
      </c>
      <c r="M237" s="1" t="s">
        <v>29</v>
      </c>
      <c r="N237" s="3">
        <v>-333.3</v>
      </c>
      <c r="O237" s="1" t="s">
        <v>2222</v>
      </c>
      <c r="P237" s="1" t="s">
        <v>2078</v>
      </c>
      <c r="Q237" s="1" t="str">
        <f>TEXT((Data[[#This Row],[Order_Date]]), "mmm")</f>
        <v>May</v>
      </c>
    </row>
    <row r="238" spans="4:17" x14ac:dyDescent="0.3">
      <c r="D238" s="1" t="s">
        <v>300</v>
      </c>
      <c r="E238" s="2">
        <v>45473</v>
      </c>
      <c r="F238" s="2">
        <v>45474</v>
      </c>
      <c r="G238" s="1" t="s">
        <v>36</v>
      </c>
      <c r="H238" s="1" t="s">
        <v>23</v>
      </c>
      <c r="I238" s="1" t="s">
        <v>61</v>
      </c>
      <c r="J238" s="1" t="s">
        <v>98</v>
      </c>
      <c r="K238" s="3">
        <v>1801.79</v>
      </c>
      <c r="L238" s="1">
        <v>3</v>
      </c>
      <c r="M238" s="1" t="s">
        <v>15</v>
      </c>
      <c r="N238" s="3">
        <v>577.19000000000005</v>
      </c>
      <c r="O238" s="1" t="s">
        <v>2077</v>
      </c>
      <c r="P238" s="1" t="s">
        <v>2071</v>
      </c>
      <c r="Q238" s="1" t="str">
        <f>TEXT((Data[[#This Row],[Order_Date]]), "mmm")</f>
        <v>Jun</v>
      </c>
    </row>
    <row r="239" spans="4:17" x14ac:dyDescent="0.3">
      <c r="D239" s="1" t="s">
        <v>301</v>
      </c>
      <c r="E239" s="2">
        <v>45416</v>
      </c>
      <c r="F239" s="2">
        <v>45418</v>
      </c>
      <c r="G239" s="1" t="s">
        <v>31</v>
      </c>
      <c r="H239" s="1" t="s">
        <v>17</v>
      </c>
      <c r="I239" s="1" t="s">
        <v>18</v>
      </c>
      <c r="J239" s="1" t="s">
        <v>54</v>
      </c>
      <c r="K239" s="3">
        <v>1379.24</v>
      </c>
      <c r="L239" s="1">
        <v>16</v>
      </c>
      <c r="M239" s="1" t="s">
        <v>44</v>
      </c>
      <c r="N239" s="3">
        <v>95.14</v>
      </c>
      <c r="O239" s="1" t="s">
        <v>2223</v>
      </c>
      <c r="P239" s="1" t="s">
        <v>2076</v>
      </c>
      <c r="Q239" s="1" t="str">
        <f>TEXT((Data[[#This Row],[Order_Date]]), "mmm")</f>
        <v>May</v>
      </c>
    </row>
    <row r="240" spans="4:17" x14ac:dyDescent="0.3">
      <c r="D240" s="1" t="s">
        <v>302</v>
      </c>
      <c r="E240" s="2">
        <v>45507</v>
      </c>
      <c r="F240" s="2">
        <v>45511</v>
      </c>
      <c r="G240" s="1" t="s">
        <v>31</v>
      </c>
      <c r="H240" s="1" t="s">
        <v>17</v>
      </c>
      <c r="I240" s="1" t="s">
        <v>27</v>
      </c>
      <c r="J240" s="1" t="s">
        <v>110</v>
      </c>
      <c r="K240" s="3">
        <v>3790.83</v>
      </c>
      <c r="L240" s="1">
        <v>16</v>
      </c>
      <c r="M240" s="1" t="s">
        <v>29</v>
      </c>
      <c r="N240" s="3">
        <v>890.85</v>
      </c>
      <c r="O240" s="1" t="s">
        <v>2188</v>
      </c>
      <c r="P240" s="1" t="s">
        <v>2071</v>
      </c>
      <c r="Q240" s="1" t="str">
        <f>TEXT((Data[[#This Row],[Order_Date]]), "mmm")</f>
        <v>Aug</v>
      </c>
    </row>
    <row r="241" spans="4:17" x14ac:dyDescent="0.3">
      <c r="D241" s="1" t="s">
        <v>303</v>
      </c>
      <c r="E241" s="2">
        <v>45361</v>
      </c>
      <c r="F241" s="2">
        <v>45365</v>
      </c>
      <c r="G241" s="1" t="s">
        <v>11</v>
      </c>
      <c r="H241" s="1" t="s">
        <v>23</v>
      </c>
      <c r="I241" s="1" t="s">
        <v>24</v>
      </c>
      <c r="J241" s="1" t="s">
        <v>150</v>
      </c>
      <c r="K241" s="3">
        <v>1674.59</v>
      </c>
      <c r="L241" s="1">
        <v>11</v>
      </c>
      <c r="M241" s="1" t="s">
        <v>49</v>
      </c>
      <c r="N241" s="3">
        <v>251.89</v>
      </c>
      <c r="O241" s="1" t="s">
        <v>2085</v>
      </c>
      <c r="P241" s="1" t="s">
        <v>2076</v>
      </c>
      <c r="Q241" s="1" t="str">
        <f>TEXT((Data[[#This Row],[Order_Date]]), "mmm")</f>
        <v>Mar</v>
      </c>
    </row>
    <row r="242" spans="4:17" x14ac:dyDescent="0.3">
      <c r="D242" s="1" t="s">
        <v>304</v>
      </c>
      <c r="E242" s="2">
        <v>45625</v>
      </c>
      <c r="F242" s="2">
        <v>45627</v>
      </c>
      <c r="G242" s="1" t="s">
        <v>36</v>
      </c>
      <c r="H242" s="1" t="s">
        <v>23</v>
      </c>
      <c r="I242" s="1" t="s">
        <v>78</v>
      </c>
      <c r="J242" s="1" t="s">
        <v>79</v>
      </c>
      <c r="K242" s="3">
        <v>1428.19</v>
      </c>
      <c r="L242" s="1">
        <v>13</v>
      </c>
      <c r="M242" s="1" t="s">
        <v>34</v>
      </c>
      <c r="N242" s="3">
        <v>196.28</v>
      </c>
      <c r="O242" s="1" t="s">
        <v>2150</v>
      </c>
      <c r="P242" s="1" t="s">
        <v>2078</v>
      </c>
      <c r="Q242" s="1" t="str">
        <f>TEXT((Data[[#This Row],[Order_Date]]), "mmm")</f>
        <v>Nov</v>
      </c>
    </row>
    <row r="243" spans="4:17" x14ac:dyDescent="0.3">
      <c r="D243" s="1" t="s">
        <v>305</v>
      </c>
      <c r="E243" s="2">
        <v>45543</v>
      </c>
      <c r="F243" s="2">
        <v>45546</v>
      </c>
      <c r="G243" s="1" t="s">
        <v>36</v>
      </c>
      <c r="H243" s="1" t="s">
        <v>23</v>
      </c>
      <c r="I243" s="1" t="s">
        <v>24</v>
      </c>
      <c r="J243" s="1" t="s">
        <v>93</v>
      </c>
      <c r="K243" s="3">
        <v>1618.81</v>
      </c>
      <c r="L243" s="1">
        <v>19</v>
      </c>
      <c r="M243" s="1" t="s">
        <v>44</v>
      </c>
      <c r="N243" s="3">
        <v>368.55</v>
      </c>
      <c r="O243" s="1" t="s">
        <v>2213</v>
      </c>
      <c r="P243" s="1" t="s">
        <v>2078</v>
      </c>
      <c r="Q243" s="1" t="str">
        <f>TEXT((Data[[#This Row],[Order_Date]]), "mmm")</f>
        <v>Sep</v>
      </c>
    </row>
    <row r="244" spans="4:17" x14ac:dyDescent="0.3">
      <c r="D244" s="1" t="s">
        <v>306</v>
      </c>
      <c r="E244" s="2">
        <v>45641</v>
      </c>
      <c r="F244" s="2">
        <v>45641</v>
      </c>
      <c r="G244" s="1" t="s">
        <v>31</v>
      </c>
      <c r="H244" s="1" t="s">
        <v>12</v>
      </c>
      <c r="I244" s="1" t="s">
        <v>58</v>
      </c>
      <c r="J244" s="1" t="s">
        <v>105</v>
      </c>
      <c r="K244" s="3">
        <v>3241.32</v>
      </c>
      <c r="L244" s="1">
        <v>3</v>
      </c>
      <c r="M244" s="1" t="s">
        <v>49</v>
      </c>
      <c r="N244" s="3">
        <v>-816.47</v>
      </c>
      <c r="O244" s="1" t="s">
        <v>2222</v>
      </c>
      <c r="P244" s="1" t="s">
        <v>2076</v>
      </c>
      <c r="Q244" s="1" t="str">
        <f>TEXT((Data[[#This Row],[Order_Date]]), "mmm")</f>
        <v>Dec</v>
      </c>
    </row>
    <row r="245" spans="4:17" x14ac:dyDescent="0.3">
      <c r="D245" s="1" t="s">
        <v>307</v>
      </c>
      <c r="E245" s="2">
        <v>45447</v>
      </c>
      <c r="F245" s="2">
        <v>45450</v>
      </c>
      <c r="G245" s="1" t="s">
        <v>36</v>
      </c>
      <c r="H245" s="1" t="s">
        <v>12</v>
      </c>
      <c r="I245" s="1" t="s">
        <v>58</v>
      </c>
      <c r="J245" s="1" t="s">
        <v>59</v>
      </c>
      <c r="K245" s="3">
        <v>1836.73</v>
      </c>
      <c r="L245" s="1">
        <v>13</v>
      </c>
      <c r="M245" s="1" t="s">
        <v>20</v>
      </c>
      <c r="N245" s="3">
        <v>339.28</v>
      </c>
      <c r="O245" s="1" t="s">
        <v>2224</v>
      </c>
      <c r="P245" s="1" t="s">
        <v>2078</v>
      </c>
      <c r="Q245" s="1" t="str">
        <f>TEXT((Data[[#This Row],[Order_Date]]), "mmm")</f>
        <v>Jun</v>
      </c>
    </row>
    <row r="246" spans="4:17" x14ac:dyDescent="0.3">
      <c r="D246" s="1" t="s">
        <v>308</v>
      </c>
      <c r="E246" s="2">
        <v>45590</v>
      </c>
      <c r="F246" s="2">
        <v>45596</v>
      </c>
      <c r="G246" s="1" t="s">
        <v>31</v>
      </c>
      <c r="H246" s="1" t="s">
        <v>12</v>
      </c>
      <c r="I246" s="1" t="s">
        <v>38</v>
      </c>
      <c r="J246" s="1" t="s">
        <v>85</v>
      </c>
      <c r="K246" s="3">
        <v>2881.13</v>
      </c>
      <c r="L246" s="1">
        <v>18</v>
      </c>
      <c r="M246" s="1" t="s">
        <v>29</v>
      </c>
      <c r="N246" s="3">
        <v>-695.66</v>
      </c>
      <c r="O246" s="1" t="s">
        <v>2077</v>
      </c>
      <c r="P246" s="1" t="s">
        <v>2076</v>
      </c>
      <c r="Q246" s="1" t="str">
        <f>TEXT((Data[[#This Row],[Order_Date]]), "mmm")</f>
        <v>Oct</v>
      </c>
    </row>
    <row r="247" spans="4:17" x14ac:dyDescent="0.3">
      <c r="D247" s="1" t="s">
        <v>309</v>
      </c>
      <c r="E247" s="2">
        <v>45419</v>
      </c>
      <c r="F247" s="2">
        <v>45424</v>
      </c>
      <c r="G247" s="1" t="s">
        <v>22</v>
      </c>
      <c r="H247" s="1" t="s">
        <v>12</v>
      </c>
      <c r="I247" s="1" t="s">
        <v>38</v>
      </c>
      <c r="J247" s="1" t="s">
        <v>39</v>
      </c>
      <c r="K247" s="3">
        <v>3938.53</v>
      </c>
      <c r="L247" s="1">
        <v>13</v>
      </c>
      <c r="M247" s="1" t="s">
        <v>34</v>
      </c>
      <c r="N247" s="3">
        <v>1337.98</v>
      </c>
      <c r="O247" s="1" t="s">
        <v>2224</v>
      </c>
      <c r="P247" s="1" t="s">
        <v>2076</v>
      </c>
      <c r="Q247" s="1" t="str">
        <f>TEXT((Data[[#This Row],[Order_Date]]), "mmm")</f>
        <v>May</v>
      </c>
    </row>
    <row r="248" spans="4:17" x14ac:dyDescent="0.3">
      <c r="D248" s="1" t="s">
        <v>310</v>
      </c>
      <c r="E248" s="2">
        <v>45297</v>
      </c>
      <c r="F248" s="2">
        <v>45298</v>
      </c>
      <c r="G248" s="1" t="s">
        <v>36</v>
      </c>
      <c r="H248" s="1" t="s">
        <v>17</v>
      </c>
      <c r="I248" s="1" t="s">
        <v>32</v>
      </c>
      <c r="J248" s="1" t="s">
        <v>56</v>
      </c>
      <c r="K248" s="3">
        <v>1921.67</v>
      </c>
      <c r="L248" s="1">
        <v>13</v>
      </c>
      <c r="M248" s="1" t="s">
        <v>49</v>
      </c>
      <c r="N248" s="3">
        <v>541.34</v>
      </c>
      <c r="O248" s="1" t="s">
        <v>2225</v>
      </c>
      <c r="P248" s="1" t="s">
        <v>2078</v>
      </c>
      <c r="Q248" s="1" t="str">
        <f>TEXT((Data[[#This Row],[Order_Date]]), "mmm")</f>
        <v>Jan</v>
      </c>
    </row>
    <row r="249" spans="4:17" x14ac:dyDescent="0.3">
      <c r="D249" s="1" t="s">
        <v>311</v>
      </c>
      <c r="E249" s="2">
        <v>45548</v>
      </c>
      <c r="F249" s="2">
        <v>45550</v>
      </c>
      <c r="G249" s="1" t="s">
        <v>36</v>
      </c>
      <c r="H249" s="1" t="s">
        <v>17</v>
      </c>
      <c r="I249" s="1" t="s">
        <v>27</v>
      </c>
      <c r="J249" s="1" t="s">
        <v>28</v>
      </c>
      <c r="K249" s="3">
        <v>1357.87</v>
      </c>
      <c r="L249" s="1">
        <v>3</v>
      </c>
      <c r="M249" s="1" t="s">
        <v>20</v>
      </c>
      <c r="N249" s="3">
        <v>406.54</v>
      </c>
      <c r="O249" s="1" t="s">
        <v>2201</v>
      </c>
      <c r="P249" s="1" t="s">
        <v>2076</v>
      </c>
      <c r="Q249" s="1" t="str">
        <f>TEXT((Data[[#This Row],[Order_Date]]), "mmm")</f>
        <v>Sep</v>
      </c>
    </row>
    <row r="250" spans="4:17" x14ac:dyDescent="0.3">
      <c r="D250" s="1" t="s">
        <v>312</v>
      </c>
      <c r="E250" s="2">
        <v>45470</v>
      </c>
      <c r="F250" s="2">
        <v>45474</v>
      </c>
      <c r="G250" s="1" t="s">
        <v>36</v>
      </c>
      <c r="H250" s="1" t="s">
        <v>23</v>
      </c>
      <c r="I250" s="1" t="s">
        <v>78</v>
      </c>
      <c r="J250" s="1" t="s">
        <v>79</v>
      </c>
      <c r="K250" s="3">
        <v>1556.13</v>
      </c>
      <c r="L250" s="1">
        <v>4</v>
      </c>
      <c r="M250" s="1" t="s">
        <v>49</v>
      </c>
      <c r="N250" s="3">
        <v>414.86</v>
      </c>
      <c r="O250" s="1" t="s">
        <v>2133</v>
      </c>
      <c r="P250" s="1" t="s">
        <v>2076</v>
      </c>
      <c r="Q250" s="1" t="str">
        <f>TEXT((Data[[#This Row],[Order_Date]]), "mmm")</f>
        <v>Jun</v>
      </c>
    </row>
    <row r="251" spans="4:17" x14ac:dyDescent="0.3">
      <c r="D251" s="1" t="s">
        <v>313</v>
      </c>
      <c r="E251" s="2">
        <v>45326</v>
      </c>
      <c r="F251" s="2">
        <v>45330</v>
      </c>
      <c r="G251" s="1" t="s">
        <v>11</v>
      </c>
      <c r="H251" s="1" t="s">
        <v>12</v>
      </c>
      <c r="I251" s="1" t="s">
        <v>38</v>
      </c>
      <c r="J251" s="1" t="s">
        <v>81</v>
      </c>
      <c r="K251" s="3">
        <v>3434.43</v>
      </c>
      <c r="L251" s="1">
        <v>4</v>
      </c>
      <c r="M251" s="1" t="s">
        <v>15</v>
      </c>
      <c r="N251" s="3">
        <v>996.04</v>
      </c>
      <c r="O251" s="1" t="s">
        <v>2226</v>
      </c>
      <c r="P251" s="1" t="s">
        <v>2078</v>
      </c>
      <c r="Q251" s="1" t="str">
        <f>TEXT((Data[[#This Row],[Order_Date]]), "mmm")</f>
        <v>Feb</v>
      </c>
    </row>
    <row r="252" spans="4:17" x14ac:dyDescent="0.3">
      <c r="D252" s="1" t="s">
        <v>314</v>
      </c>
      <c r="E252" s="2">
        <v>45416</v>
      </c>
      <c r="F252" s="2">
        <v>45418</v>
      </c>
      <c r="G252" s="1" t="s">
        <v>22</v>
      </c>
      <c r="H252" s="1" t="s">
        <v>23</v>
      </c>
      <c r="I252" s="1" t="s">
        <v>65</v>
      </c>
      <c r="J252" s="1" t="s">
        <v>114</v>
      </c>
      <c r="K252" s="3">
        <v>1119.46</v>
      </c>
      <c r="L252" s="1">
        <v>13</v>
      </c>
      <c r="M252" s="1" t="s">
        <v>15</v>
      </c>
      <c r="N252" s="3">
        <v>117.92</v>
      </c>
      <c r="O252" s="1" t="s">
        <v>2227</v>
      </c>
      <c r="P252" s="1" t="s">
        <v>2076</v>
      </c>
      <c r="Q252" s="1" t="str">
        <f>TEXT((Data[[#This Row],[Order_Date]]), "mmm")</f>
        <v>May</v>
      </c>
    </row>
    <row r="253" spans="4:17" x14ac:dyDescent="0.3">
      <c r="D253" s="1" t="s">
        <v>315</v>
      </c>
      <c r="E253" s="2">
        <v>45513</v>
      </c>
      <c r="F253" s="2">
        <v>45519</v>
      </c>
      <c r="G253" s="1" t="s">
        <v>11</v>
      </c>
      <c r="H253" s="1" t="s">
        <v>12</v>
      </c>
      <c r="I253" s="1" t="s">
        <v>58</v>
      </c>
      <c r="J253" s="1" t="s">
        <v>105</v>
      </c>
      <c r="K253" s="3">
        <v>2470.7600000000002</v>
      </c>
      <c r="L253" s="1">
        <v>13</v>
      </c>
      <c r="M253" s="1" t="s">
        <v>20</v>
      </c>
      <c r="N253" s="3">
        <v>645.91</v>
      </c>
      <c r="O253" s="1" t="s">
        <v>2095</v>
      </c>
      <c r="P253" s="1" t="s">
        <v>2078</v>
      </c>
      <c r="Q253" s="1" t="str">
        <f>TEXT((Data[[#This Row],[Order_Date]]), "mmm")</f>
        <v>Aug</v>
      </c>
    </row>
    <row r="254" spans="4:17" x14ac:dyDescent="0.3">
      <c r="D254" s="1" t="s">
        <v>316</v>
      </c>
      <c r="E254" s="2">
        <v>45652</v>
      </c>
      <c r="F254" s="2">
        <v>45653</v>
      </c>
      <c r="G254" s="1" t="s">
        <v>11</v>
      </c>
      <c r="H254" s="1" t="s">
        <v>12</v>
      </c>
      <c r="I254" s="1" t="s">
        <v>58</v>
      </c>
      <c r="J254" s="1" t="s">
        <v>105</v>
      </c>
      <c r="K254" s="3">
        <v>1472.44</v>
      </c>
      <c r="L254" s="1">
        <v>15</v>
      </c>
      <c r="M254" s="1" t="s">
        <v>20</v>
      </c>
      <c r="N254" s="3">
        <v>189.51</v>
      </c>
      <c r="O254" s="1" t="s">
        <v>2228</v>
      </c>
      <c r="P254" s="1" t="s">
        <v>2078</v>
      </c>
      <c r="Q254" s="1" t="str">
        <f>TEXT((Data[[#This Row],[Order_Date]]), "mmm")</f>
        <v>Dec</v>
      </c>
    </row>
    <row r="255" spans="4:17" x14ac:dyDescent="0.3">
      <c r="D255" s="1" t="s">
        <v>317</v>
      </c>
      <c r="E255" s="2">
        <v>45562</v>
      </c>
      <c r="F255" s="2">
        <v>45567</v>
      </c>
      <c r="G255" s="1" t="s">
        <v>31</v>
      </c>
      <c r="H255" s="1" t="s">
        <v>12</v>
      </c>
      <c r="I255" s="1" t="s">
        <v>42</v>
      </c>
      <c r="J255" s="1" t="s">
        <v>48</v>
      </c>
      <c r="K255" s="3">
        <v>1554.72</v>
      </c>
      <c r="L255" s="1">
        <v>15</v>
      </c>
      <c r="M255" s="1" t="s">
        <v>29</v>
      </c>
      <c r="N255" s="3">
        <v>158.21</v>
      </c>
      <c r="O255" s="1" t="s">
        <v>2114</v>
      </c>
      <c r="P255" s="1" t="s">
        <v>2078</v>
      </c>
      <c r="Q255" s="1" t="str">
        <f>TEXT((Data[[#This Row],[Order_Date]]), "mmm")</f>
        <v>Sep</v>
      </c>
    </row>
    <row r="256" spans="4:17" x14ac:dyDescent="0.3">
      <c r="D256" s="1" t="s">
        <v>318</v>
      </c>
      <c r="E256" s="2">
        <v>45444</v>
      </c>
      <c r="F256" s="2">
        <v>45445</v>
      </c>
      <c r="G256" s="1" t="s">
        <v>22</v>
      </c>
      <c r="H256" s="1" t="s">
        <v>23</v>
      </c>
      <c r="I256" s="1" t="s">
        <v>61</v>
      </c>
      <c r="J256" s="1" t="s">
        <v>76</v>
      </c>
      <c r="K256" s="3">
        <v>1395.18</v>
      </c>
      <c r="L256" s="1">
        <v>6</v>
      </c>
      <c r="M256" s="1" t="s">
        <v>34</v>
      </c>
      <c r="N256" s="3">
        <v>360</v>
      </c>
      <c r="O256" s="1" t="s">
        <v>2172</v>
      </c>
      <c r="P256" s="1" t="s">
        <v>2076</v>
      </c>
      <c r="Q256" s="1" t="str">
        <f>TEXT((Data[[#This Row],[Order_Date]]), "mmm")</f>
        <v>Jun</v>
      </c>
    </row>
    <row r="257" spans="4:17" x14ac:dyDescent="0.3">
      <c r="D257" s="1" t="s">
        <v>319</v>
      </c>
      <c r="E257" s="2">
        <v>45506</v>
      </c>
      <c r="F257" s="2">
        <v>45508</v>
      </c>
      <c r="G257" s="1" t="s">
        <v>31</v>
      </c>
      <c r="H257" s="1" t="s">
        <v>23</v>
      </c>
      <c r="I257" s="1" t="s">
        <v>78</v>
      </c>
      <c r="J257" s="1" t="s">
        <v>79</v>
      </c>
      <c r="K257" s="3">
        <v>2633.13</v>
      </c>
      <c r="L257" s="1">
        <v>6</v>
      </c>
      <c r="M257" s="1" t="s">
        <v>29</v>
      </c>
      <c r="N257" s="3">
        <v>263.47000000000003</v>
      </c>
      <c r="O257" s="1" t="s">
        <v>2229</v>
      </c>
      <c r="P257" s="1" t="s">
        <v>2078</v>
      </c>
      <c r="Q257" s="1" t="str">
        <f>TEXT((Data[[#This Row],[Order_Date]]), "mmm")</f>
        <v>Aug</v>
      </c>
    </row>
    <row r="258" spans="4:17" x14ac:dyDescent="0.3">
      <c r="D258" s="1" t="s">
        <v>320</v>
      </c>
      <c r="E258" s="2">
        <v>45387</v>
      </c>
      <c r="F258" s="2">
        <v>45392</v>
      </c>
      <c r="G258" s="1" t="s">
        <v>31</v>
      </c>
      <c r="H258" s="1" t="s">
        <v>12</v>
      </c>
      <c r="I258" s="1" t="s">
        <v>38</v>
      </c>
      <c r="J258" s="1" t="s">
        <v>85</v>
      </c>
      <c r="K258" s="3">
        <v>3819.41</v>
      </c>
      <c r="L258" s="1">
        <v>16</v>
      </c>
      <c r="M258" s="1" t="s">
        <v>44</v>
      </c>
      <c r="N258" s="3">
        <v>414.55</v>
      </c>
      <c r="O258" s="1" t="s">
        <v>2201</v>
      </c>
      <c r="P258" s="1" t="s">
        <v>2078</v>
      </c>
      <c r="Q258" s="1" t="str">
        <f>TEXT((Data[[#This Row],[Order_Date]]), "mmm")</f>
        <v>Apr</v>
      </c>
    </row>
    <row r="259" spans="4:17" x14ac:dyDescent="0.3">
      <c r="D259" s="1" t="s">
        <v>321</v>
      </c>
      <c r="E259" s="2">
        <v>45579</v>
      </c>
      <c r="F259" s="2">
        <v>45586</v>
      </c>
      <c r="G259" s="1" t="s">
        <v>31</v>
      </c>
      <c r="H259" s="1" t="s">
        <v>12</v>
      </c>
      <c r="I259" s="1" t="s">
        <v>42</v>
      </c>
      <c r="J259" s="1" t="s">
        <v>43</v>
      </c>
      <c r="K259" s="3">
        <v>2913.03</v>
      </c>
      <c r="L259" s="1">
        <v>15</v>
      </c>
      <c r="M259" s="1" t="s">
        <v>49</v>
      </c>
      <c r="N259" s="3">
        <v>291.82</v>
      </c>
      <c r="O259" s="1" t="s">
        <v>2136</v>
      </c>
      <c r="P259" s="1" t="s">
        <v>2071</v>
      </c>
      <c r="Q259" s="1" t="str">
        <f>TEXT((Data[[#This Row],[Order_Date]]), "mmm")</f>
        <v>Oct</v>
      </c>
    </row>
    <row r="260" spans="4:17" x14ac:dyDescent="0.3">
      <c r="D260" s="1" t="s">
        <v>322</v>
      </c>
      <c r="E260" s="2">
        <v>45404</v>
      </c>
      <c r="F260" s="2">
        <v>45408</v>
      </c>
      <c r="G260" s="1" t="s">
        <v>11</v>
      </c>
      <c r="H260" s="1" t="s">
        <v>23</v>
      </c>
      <c r="I260" s="1" t="s">
        <v>78</v>
      </c>
      <c r="J260" s="1" t="s">
        <v>79</v>
      </c>
      <c r="K260" s="3">
        <v>880.78</v>
      </c>
      <c r="L260" s="1">
        <v>15</v>
      </c>
      <c r="M260" s="1" t="s">
        <v>29</v>
      </c>
      <c r="N260" s="3">
        <v>240.24</v>
      </c>
      <c r="O260" s="1" t="s">
        <v>2230</v>
      </c>
      <c r="P260" s="1" t="s">
        <v>2076</v>
      </c>
      <c r="Q260" s="1" t="str">
        <f>TEXT((Data[[#This Row],[Order_Date]]), "mmm")</f>
        <v>Apr</v>
      </c>
    </row>
    <row r="261" spans="4:17" x14ac:dyDescent="0.3">
      <c r="D261" s="1" t="s">
        <v>323</v>
      </c>
      <c r="E261" s="2">
        <v>45573</v>
      </c>
      <c r="F261" s="2">
        <v>45574</v>
      </c>
      <c r="G261" s="1" t="s">
        <v>11</v>
      </c>
      <c r="H261" s="1" t="s">
        <v>23</v>
      </c>
      <c r="I261" s="1" t="s">
        <v>24</v>
      </c>
      <c r="J261" s="1" t="s">
        <v>150</v>
      </c>
      <c r="K261" s="3">
        <v>3334.79</v>
      </c>
      <c r="L261" s="1">
        <v>2</v>
      </c>
      <c r="M261" s="1" t="s">
        <v>15</v>
      </c>
      <c r="N261" s="3">
        <v>608.29999999999995</v>
      </c>
      <c r="O261" s="1" t="s">
        <v>2096</v>
      </c>
      <c r="P261" s="1" t="s">
        <v>2071</v>
      </c>
      <c r="Q261" s="1" t="str">
        <f>TEXT((Data[[#This Row],[Order_Date]]), "mmm")</f>
        <v>Oct</v>
      </c>
    </row>
    <row r="262" spans="4:17" x14ac:dyDescent="0.3">
      <c r="D262" s="1" t="s">
        <v>324</v>
      </c>
      <c r="E262" s="2">
        <v>45509</v>
      </c>
      <c r="F262" s="2">
        <v>45510</v>
      </c>
      <c r="G262" s="1" t="s">
        <v>22</v>
      </c>
      <c r="H262" s="1" t="s">
        <v>23</v>
      </c>
      <c r="I262" s="1" t="s">
        <v>61</v>
      </c>
      <c r="J262" s="1" t="s">
        <v>98</v>
      </c>
      <c r="K262" s="3">
        <v>1235.56</v>
      </c>
      <c r="L262" s="1">
        <v>3</v>
      </c>
      <c r="M262" s="1" t="s">
        <v>49</v>
      </c>
      <c r="N262" s="3">
        <v>-382.51</v>
      </c>
      <c r="O262" s="1" t="s">
        <v>2102</v>
      </c>
      <c r="P262" s="1" t="s">
        <v>2078</v>
      </c>
      <c r="Q262" s="1" t="str">
        <f>TEXT((Data[[#This Row],[Order_Date]]), "mmm")</f>
        <v>Aug</v>
      </c>
    </row>
    <row r="263" spans="4:17" x14ac:dyDescent="0.3">
      <c r="D263" s="1" t="s">
        <v>325</v>
      </c>
      <c r="E263" s="2">
        <v>45413</v>
      </c>
      <c r="F263" s="2">
        <v>45416</v>
      </c>
      <c r="G263" s="1" t="s">
        <v>36</v>
      </c>
      <c r="H263" s="1" t="s">
        <v>12</v>
      </c>
      <c r="I263" s="1" t="s">
        <v>42</v>
      </c>
      <c r="J263" s="1" t="s">
        <v>72</v>
      </c>
      <c r="K263" s="3">
        <v>2560.5700000000002</v>
      </c>
      <c r="L263" s="1">
        <v>7</v>
      </c>
      <c r="M263" s="1" t="s">
        <v>44</v>
      </c>
      <c r="N263" s="3">
        <v>746.74</v>
      </c>
      <c r="O263" s="1" t="s">
        <v>2203</v>
      </c>
      <c r="P263" s="1" t="s">
        <v>2078</v>
      </c>
      <c r="Q263" s="1" t="str">
        <f>TEXT((Data[[#This Row],[Order_Date]]), "mmm")</f>
        <v>May</v>
      </c>
    </row>
    <row r="264" spans="4:17" x14ac:dyDescent="0.3">
      <c r="D264" s="1" t="s">
        <v>326</v>
      </c>
      <c r="E264" s="2">
        <v>45564</v>
      </c>
      <c r="F264" s="2">
        <v>45568</v>
      </c>
      <c r="G264" s="1" t="s">
        <v>22</v>
      </c>
      <c r="H264" s="1" t="s">
        <v>23</v>
      </c>
      <c r="I264" s="1" t="s">
        <v>24</v>
      </c>
      <c r="J264" s="1" t="s">
        <v>93</v>
      </c>
      <c r="K264" s="3">
        <v>2397.7600000000002</v>
      </c>
      <c r="L264" s="1">
        <v>17</v>
      </c>
      <c r="M264" s="1" t="s">
        <v>15</v>
      </c>
      <c r="N264" s="3">
        <v>-706.27</v>
      </c>
      <c r="O264" s="1" t="s">
        <v>2132</v>
      </c>
      <c r="P264" s="1" t="s">
        <v>2076</v>
      </c>
      <c r="Q264" s="1" t="str">
        <f>TEXT((Data[[#This Row],[Order_Date]]), "mmm")</f>
        <v>Sep</v>
      </c>
    </row>
    <row r="265" spans="4:17" x14ac:dyDescent="0.3">
      <c r="D265" s="1" t="s">
        <v>327</v>
      </c>
      <c r="E265" s="2">
        <v>45502</v>
      </c>
      <c r="F265" s="2">
        <v>45502</v>
      </c>
      <c r="G265" s="1" t="s">
        <v>36</v>
      </c>
      <c r="H265" s="1" t="s">
        <v>12</v>
      </c>
      <c r="I265" s="1" t="s">
        <v>58</v>
      </c>
      <c r="J265" s="1" t="s">
        <v>59</v>
      </c>
      <c r="K265" s="3">
        <v>3497.8</v>
      </c>
      <c r="L265" s="1">
        <v>8</v>
      </c>
      <c r="M265" s="1" t="s">
        <v>44</v>
      </c>
      <c r="N265" s="3">
        <v>921.39</v>
      </c>
      <c r="O265" s="1" t="s">
        <v>2203</v>
      </c>
      <c r="P265" s="1" t="s">
        <v>2078</v>
      </c>
      <c r="Q265" s="1" t="str">
        <f>TEXT((Data[[#This Row],[Order_Date]]), "mmm")</f>
        <v>Jul</v>
      </c>
    </row>
    <row r="266" spans="4:17" x14ac:dyDescent="0.3">
      <c r="D266" s="1" t="s">
        <v>328</v>
      </c>
      <c r="E266" s="2">
        <v>45638</v>
      </c>
      <c r="F266" s="2">
        <v>45644</v>
      </c>
      <c r="G266" s="1" t="s">
        <v>31</v>
      </c>
      <c r="H266" s="1" t="s">
        <v>17</v>
      </c>
      <c r="I266" s="1" t="s">
        <v>32</v>
      </c>
      <c r="J266" s="1" t="s">
        <v>33</v>
      </c>
      <c r="K266" s="3">
        <v>2604.3000000000002</v>
      </c>
      <c r="L266" s="1">
        <v>13</v>
      </c>
      <c r="M266" s="1" t="s">
        <v>49</v>
      </c>
      <c r="N266" s="3">
        <v>189.22</v>
      </c>
      <c r="O266" s="1" t="s">
        <v>2231</v>
      </c>
      <c r="P266" s="1" t="s">
        <v>2076</v>
      </c>
      <c r="Q266" s="1" t="str">
        <f>TEXT((Data[[#This Row],[Order_Date]]), "mmm")</f>
        <v>Dec</v>
      </c>
    </row>
    <row r="267" spans="4:17" x14ac:dyDescent="0.3">
      <c r="D267" s="1" t="s">
        <v>329</v>
      </c>
      <c r="E267" s="2">
        <v>45339</v>
      </c>
      <c r="F267" s="2">
        <v>45345</v>
      </c>
      <c r="G267" s="1" t="s">
        <v>36</v>
      </c>
      <c r="H267" s="1" t="s">
        <v>12</v>
      </c>
      <c r="I267" s="1" t="s">
        <v>13</v>
      </c>
      <c r="J267" s="1" t="s">
        <v>96</v>
      </c>
      <c r="K267" s="3">
        <v>3813.45</v>
      </c>
      <c r="L267" s="1">
        <v>11</v>
      </c>
      <c r="M267" s="1" t="s">
        <v>29</v>
      </c>
      <c r="N267" s="3">
        <v>193.5</v>
      </c>
      <c r="O267" s="1" t="s">
        <v>2232</v>
      </c>
      <c r="P267" s="1" t="s">
        <v>2071</v>
      </c>
      <c r="Q267" s="1" t="str">
        <f>TEXT((Data[[#This Row],[Order_Date]]), "mmm")</f>
        <v>Feb</v>
      </c>
    </row>
    <row r="268" spans="4:17" x14ac:dyDescent="0.3">
      <c r="D268" s="1" t="s">
        <v>330</v>
      </c>
      <c r="E268" s="2">
        <v>45339</v>
      </c>
      <c r="F268" s="2">
        <v>45346</v>
      </c>
      <c r="G268" s="1" t="s">
        <v>36</v>
      </c>
      <c r="H268" s="1" t="s">
        <v>17</v>
      </c>
      <c r="I268" s="1" t="s">
        <v>32</v>
      </c>
      <c r="J268" s="1" t="s">
        <v>33</v>
      </c>
      <c r="K268" s="3">
        <v>1066.8599999999999</v>
      </c>
      <c r="L268" s="1">
        <v>14</v>
      </c>
      <c r="M268" s="1" t="s">
        <v>44</v>
      </c>
      <c r="N268" s="3">
        <v>211.68</v>
      </c>
      <c r="O268" s="1" t="s">
        <v>2233</v>
      </c>
      <c r="P268" s="1" t="s">
        <v>2078</v>
      </c>
      <c r="Q268" s="1" t="str">
        <f>TEXT((Data[[#This Row],[Order_Date]]), "mmm")</f>
        <v>Feb</v>
      </c>
    </row>
    <row r="269" spans="4:17" x14ac:dyDescent="0.3">
      <c r="D269" s="1" t="s">
        <v>331</v>
      </c>
      <c r="E269" s="2">
        <v>45437</v>
      </c>
      <c r="F269" s="2">
        <v>45442</v>
      </c>
      <c r="G269" s="1" t="s">
        <v>22</v>
      </c>
      <c r="H269" s="1" t="s">
        <v>12</v>
      </c>
      <c r="I269" s="1" t="s">
        <v>42</v>
      </c>
      <c r="J269" s="1" t="s">
        <v>46</v>
      </c>
      <c r="K269" s="3">
        <v>3603.08</v>
      </c>
      <c r="L269" s="1">
        <v>2</v>
      </c>
      <c r="M269" s="1" t="s">
        <v>20</v>
      </c>
      <c r="N269" s="3">
        <v>287.79000000000002</v>
      </c>
      <c r="O269" s="1" t="s">
        <v>2086</v>
      </c>
      <c r="P269" s="1" t="s">
        <v>2078</v>
      </c>
      <c r="Q269" s="1" t="str">
        <f>TEXT((Data[[#This Row],[Order_Date]]), "mmm")</f>
        <v>May</v>
      </c>
    </row>
    <row r="270" spans="4:17" x14ac:dyDescent="0.3">
      <c r="D270" s="1" t="s">
        <v>332</v>
      </c>
      <c r="E270" s="2">
        <v>45527</v>
      </c>
      <c r="F270" s="2">
        <v>45527</v>
      </c>
      <c r="G270" s="1" t="s">
        <v>11</v>
      </c>
      <c r="H270" s="1" t="s">
        <v>17</v>
      </c>
      <c r="I270" s="1" t="s">
        <v>27</v>
      </c>
      <c r="J270" s="1" t="s">
        <v>108</v>
      </c>
      <c r="K270" s="3">
        <v>252.53</v>
      </c>
      <c r="L270" s="1">
        <v>14</v>
      </c>
      <c r="M270" s="1" t="s">
        <v>44</v>
      </c>
      <c r="N270" s="3">
        <v>88.06</v>
      </c>
      <c r="O270" s="1" t="s">
        <v>2072</v>
      </c>
      <c r="P270" s="1" t="s">
        <v>2078</v>
      </c>
      <c r="Q270" s="1" t="str">
        <f>TEXT((Data[[#This Row],[Order_Date]]), "mmm")</f>
        <v>Aug</v>
      </c>
    </row>
    <row r="271" spans="4:17" x14ac:dyDescent="0.3">
      <c r="D271" s="1" t="s">
        <v>333</v>
      </c>
      <c r="E271" s="2">
        <v>45624</v>
      </c>
      <c r="F271" s="2">
        <v>45628</v>
      </c>
      <c r="G271" s="1" t="s">
        <v>22</v>
      </c>
      <c r="H271" s="1" t="s">
        <v>23</v>
      </c>
      <c r="I271" s="1" t="s">
        <v>61</v>
      </c>
      <c r="J271" s="1" t="s">
        <v>62</v>
      </c>
      <c r="K271" s="3">
        <v>1601.63</v>
      </c>
      <c r="L271" s="1">
        <v>3</v>
      </c>
      <c r="M271" s="1" t="s">
        <v>34</v>
      </c>
      <c r="N271" s="3">
        <v>399.37</v>
      </c>
      <c r="O271" s="1" t="s">
        <v>2234</v>
      </c>
      <c r="P271" s="1" t="s">
        <v>2078</v>
      </c>
      <c r="Q271" s="1" t="str">
        <f>TEXT((Data[[#This Row],[Order_Date]]), "mmm")</f>
        <v>Nov</v>
      </c>
    </row>
    <row r="272" spans="4:17" x14ac:dyDescent="0.3">
      <c r="D272" s="1" t="s">
        <v>334</v>
      </c>
      <c r="E272" s="2">
        <v>45318</v>
      </c>
      <c r="F272" s="2">
        <v>45324</v>
      </c>
      <c r="G272" s="1" t="s">
        <v>36</v>
      </c>
      <c r="H272" s="1" t="s">
        <v>12</v>
      </c>
      <c r="I272" s="1" t="s">
        <v>58</v>
      </c>
      <c r="J272" s="1" t="s">
        <v>105</v>
      </c>
      <c r="K272" s="3">
        <v>2708.07</v>
      </c>
      <c r="L272" s="1">
        <v>4</v>
      </c>
      <c r="M272" s="1" t="s">
        <v>20</v>
      </c>
      <c r="N272" s="3">
        <v>-308.79000000000002</v>
      </c>
      <c r="O272" s="1" t="s">
        <v>2226</v>
      </c>
      <c r="P272" s="1" t="s">
        <v>2071</v>
      </c>
      <c r="Q272" s="1" t="str">
        <f>TEXT((Data[[#This Row],[Order_Date]]), "mmm")</f>
        <v>Jan</v>
      </c>
    </row>
    <row r="273" spans="4:17" x14ac:dyDescent="0.3">
      <c r="D273" s="1" t="s">
        <v>335</v>
      </c>
      <c r="E273" s="2">
        <v>45595</v>
      </c>
      <c r="F273" s="2">
        <v>45598</v>
      </c>
      <c r="G273" s="1" t="s">
        <v>31</v>
      </c>
      <c r="H273" s="1" t="s">
        <v>17</v>
      </c>
      <c r="I273" s="1" t="s">
        <v>18</v>
      </c>
      <c r="J273" s="1" t="s">
        <v>90</v>
      </c>
      <c r="K273" s="3">
        <v>1538.4</v>
      </c>
      <c r="L273" s="1">
        <v>4</v>
      </c>
      <c r="M273" s="1" t="s">
        <v>49</v>
      </c>
      <c r="N273" s="3">
        <v>397.23</v>
      </c>
      <c r="O273" s="1" t="s">
        <v>2138</v>
      </c>
      <c r="P273" s="1" t="s">
        <v>2071</v>
      </c>
      <c r="Q273" s="1" t="str">
        <f>TEXT((Data[[#This Row],[Order_Date]]), "mmm")</f>
        <v>Oct</v>
      </c>
    </row>
    <row r="274" spans="4:17" x14ac:dyDescent="0.3">
      <c r="D274" s="1" t="s">
        <v>336</v>
      </c>
      <c r="E274" s="2">
        <v>45409</v>
      </c>
      <c r="F274" s="2">
        <v>45415</v>
      </c>
      <c r="G274" s="1" t="s">
        <v>11</v>
      </c>
      <c r="H274" s="1" t="s">
        <v>12</v>
      </c>
      <c r="I274" s="1" t="s">
        <v>38</v>
      </c>
      <c r="J274" s="1" t="s">
        <v>81</v>
      </c>
      <c r="K274" s="3">
        <v>1425.07</v>
      </c>
      <c r="L274" s="1">
        <v>10</v>
      </c>
      <c r="M274" s="1" t="s">
        <v>44</v>
      </c>
      <c r="N274" s="3">
        <v>234.87</v>
      </c>
      <c r="O274" s="1" t="s">
        <v>2161</v>
      </c>
      <c r="P274" s="1" t="s">
        <v>2071</v>
      </c>
      <c r="Q274" s="1" t="str">
        <f>TEXT((Data[[#This Row],[Order_Date]]), "mmm")</f>
        <v>Apr</v>
      </c>
    </row>
    <row r="275" spans="4:17" x14ac:dyDescent="0.3">
      <c r="D275" s="1" t="s">
        <v>337</v>
      </c>
      <c r="E275" s="2">
        <v>45360</v>
      </c>
      <c r="F275" s="2">
        <v>45362</v>
      </c>
      <c r="G275" s="1" t="s">
        <v>11</v>
      </c>
      <c r="H275" s="1" t="s">
        <v>12</v>
      </c>
      <c r="I275" s="1" t="s">
        <v>38</v>
      </c>
      <c r="J275" s="1" t="s">
        <v>39</v>
      </c>
      <c r="K275" s="3">
        <v>2687.58</v>
      </c>
      <c r="L275" s="1">
        <v>15</v>
      </c>
      <c r="M275" s="1" t="s">
        <v>34</v>
      </c>
      <c r="N275" s="3">
        <v>716.86</v>
      </c>
      <c r="O275" s="1" t="s">
        <v>2196</v>
      </c>
      <c r="P275" s="1" t="s">
        <v>2078</v>
      </c>
      <c r="Q275" s="1" t="str">
        <f>TEXT((Data[[#This Row],[Order_Date]]), "mmm")</f>
        <v>Mar</v>
      </c>
    </row>
    <row r="276" spans="4:17" x14ac:dyDescent="0.3">
      <c r="D276" s="1" t="s">
        <v>338</v>
      </c>
      <c r="E276" s="2">
        <v>45369</v>
      </c>
      <c r="F276" s="2">
        <v>45375</v>
      </c>
      <c r="G276" s="1" t="s">
        <v>31</v>
      </c>
      <c r="H276" s="1" t="s">
        <v>17</v>
      </c>
      <c r="I276" s="1" t="s">
        <v>18</v>
      </c>
      <c r="J276" s="1" t="s">
        <v>19</v>
      </c>
      <c r="K276" s="3">
        <v>775.05</v>
      </c>
      <c r="L276" s="1">
        <v>4</v>
      </c>
      <c r="M276" s="1" t="s">
        <v>29</v>
      </c>
      <c r="N276" s="3">
        <v>208.49</v>
      </c>
      <c r="O276" s="1" t="s">
        <v>2141</v>
      </c>
      <c r="P276" s="1" t="s">
        <v>2076</v>
      </c>
      <c r="Q276" s="1" t="str">
        <f>TEXT((Data[[#This Row],[Order_Date]]), "mmm")</f>
        <v>Mar</v>
      </c>
    </row>
    <row r="277" spans="4:17" x14ac:dyDescent="0.3">
      <c r="D277" s="1" t="s">
        <v>339</v>
      </c>
      <c r="E277" s="2">
        <v>45511</v>
      </c>
      <c r="F277" s="2">
        <v>45516</v>
      </c>
      <c r="G277" s="1" t="s">
        <v>22</v>
      </c>
      <c r="H277" s="1" t="s">
        <v>17</v>
      </c>
      <c r="I277" s="1" t="s">
        <v>27</v>
      </c>
      <c r="J277" s="1" t="s">
        <v>28</v>
      </c>
      <c r="K277" s="3">
        <v>1180.6300000000001</v>
      </c>
      <c r="L277" s="1">
        <v>20</v>
      </c>
      <c r="M277" s="1" t="s">
        <v>29</v>
      </c>
      <c r="N277" s="3">
        <v>314.47000000000003</v>
      </c>
      <c r="O277" s="1" t="s">
        <v>2235</v>
      </c>
      <c r="P277" s="1" t="s">
        <v>2076</v>
      </c>
      <c r="Q277" s="1" t="str">
        <f>TEXT((Data[[#This Row],[Order_Date]]), "mmm")</f>
        <v>Aug</v>
      </c>
    </row>
    <row r="278" spans="4:17" x14ac:dyDescent="0.3">
      <c r="D278" s="1" t="s">
        <v>340</v>
      </c>
      <c r="E278" s="2">
        <v>45645</v>
      </c>
      <c r="F278" s="2">
        <v>45645</v>
      </c>
      <c r="G278" s="1" t="s">
        <v>36</v>
      </c>
      <c r="H278" s="1" t="s">
        <v>17</v>
      </c>
      <c r="I278" s="1" t="s">
        <v>32</v>
      </c>
      <c r="J278" s="1" t="s">
        <v>56</v>
      </c>
      <c r="K278" s="3">
        <v>3054.41</v>
      </c>
      <c r="L278" s="1">
        <v>10</v>
      </c>
      <c r="M278" s="1" t="s">
        <v>15</v>
      </c>
      <c r="N278" s="3">
        <v>202.72</v>
      </c>
      <c r="O278" s="1" t="s">
        <v>2236</v>
      </c>
      <c r="P278" s="1" t="s">
        <v>2071</v>
      </c>
      <c r="Q278" s="1" t="str">
        <f>TEXT((Data[[#This Row],[Order_Date]]), "mmm")</f>
        <v>Dec</v>
      </c>
    </row>
    <row r="279" spans="4:17" x14ac:dyDescent="0.3">
      <c r="D279" s="1" t="s">
        <v>341</v>
      </c>
      <c r="E279" s="2">
        <v>45414</v>
      </c>
      <c r="F279" s="2">
        <v>45421</v>
      </c>
      <c r="G279" s="1" t="s">
        <v>31</v>
      </c>
      <c r="H279" s="1" t="s">
        <v>17</v>
      </c>
      <c r="I279" s="1" t="s">
        <v>18</v>
      </c>
      <c r="J279" s="1" t="s">
        <v>54</v>
      </c>
      <c r="K279" s="3">
        <v>2642.81</v>
      </c>
      <c r="L279" s="1">
        <v>3</v>
      </c>
      <c r="M279" s="1" t="s">
        <v>29</v>
      </c>
      <c r="N279" s="3">
        <v>-836.76</v>
      </c>
      <c r="O279" s="1" t="s">
        <v>2237</v>
      </c>
      <c r="P279" s="1" t="s">
        <v>2078</v>
      </c>
      <c r="Q279" s="1" t="str">
        <f>TEXT((Data[[#This Row],[Order_Date]]), "mmm")</f>
        <v>May</v>
      </c>
    </row>
    <row r="280" spans="4:17" x14ac:dyDescent="0.3">
      <c r="D280" s="1" t="s">
        <v>342</v>
      </c>
      <c r="E280" s="2">
        <v>45476</v>
      </c>
      <c r="F280" s="2">
        <v>45481</v>
      </c>
      <c r="G280" s="1" t="s">
        <v>22</v>
      </c>
      <c r="H280" s="1" t="s">
        <v>23</v>
      </c>
      <c r="I280" s="1" t="s">
        <v>65</v>
      </c>
      <c r="J280" s="1" t="s">
        <v>114</v>
      </c>
      <c r="K280" s="3">
        <v>2298.84</v>
      </c>
      <c r="L280" s="1">
        <v>6</v>
      </c>
      <c r="M280" s="1" t="s">
        <v>49</v>
      </c>
      <c r="N280" s="3">
        <v>773.18</v>
      </c>
      <c r="O280" s="1" t="s">
        <v>2185</v>
      </c>
      <c r="P280" s="1" t="s">
        <v>2078</v>
      </c>
      <c r="Q280" s="1" t="str">
        <f>TEXT((Data[[#This Row],[Order_Date]]), "mmm")</f>
        <v>Jul</v>
      </c>
    </row>
    <row r="281" spans="4:17" x14ac:dyDescent="0.3">
      <c r="D281" s="1" t="s">
        <v>343</v>
      </c>
      <c r="E281" s="2">
        <v>45300</v>
      </c>
      <c r="F281" s="2">
        <v>45301</v>
      </c>
      <c r="G281" s="1" t="s">
        <v>11</v>
      </c>
      <c r="H281" s="1" t="s">
        <v>23</v>
      </c>
      <c r="I281" s="1" t="s">
        <v>78</v>
      </c>
      <c r="J281" s="1" t="s">
        <v>118</v>
      </c>
      <c r="K281" s="3">
        <v>3709.67</v>
      </c>
      <c r="L281" s="1">
        <v>13</v>
      </c>
      <c r="M281" s="1" t="s">
        <v>29</v>
      </c>
      <c r="N281" s="3">
        <v>504.32</v>
      </c>
      <c r="O281" s="1" t="s">
        <v>2096</v>
      </c>
      <c r="P281" s="1" t="s">
        <v>2071</v>
      </c>
      <c r="Q281" s="1" t="str">
        <f>TEXT((Data[[#This Row],[Order_Date]]), "mmm")</f>
        <v>Jan</v>
      </c>
    </row>
    <row r="282" spans="4:17" x14ac:dyDescent="0.3">
      <c r="D282" s="1" t="s">
        <v>344</v>
      </c>
      <c r="E282" s="2">
        <v>45504</v>
      </c>
      <c r="F282" s="2">
        <v>45510</v>
      </c>
      <c r="G282" s="1" t="s">
        <v>31</v>
      </c>
      <c r="H282" s="1" t="s">
        <v>17</v>
      </c>
      <c r="I282" s="1" t="s">
        <v>32</v>
      </c>
      <c r="J282" s="1" t="s">
        <v>56</v>
      </c>
      <c r="K282" s="3">
        <v>1290.5</v>
      </c>
      <c r="L282" s="1">
        <v>10</v>
      </c>
      <c r="M282" s="1" t="s">
        <v>20</v>
      </c>
      <c r="N282" s="3">
        <v>262.48</v>
      </c>
      <c r="O282" s="1" t="s">
        <v>2238</v>
      </c>
      <c r="P282" s="1" t="s">
        <v>2078</v>
      </c>
      <c r="Q282" s="1" t="str">
        <f>TEXT((Data[[#This Row],[Order_Date]]), "mmm")</f>
        <v>Jul</v>
      </c>
    </row>
    <row r="283" spans="4:17" x14ac:dyDescent="0.3">
      <c r="D283" s="1" t="s">
        <v>345</v>
      </c>
      <c r="E283" s="2">
        <v>45371</v>
      </c>
      <c r="F283" s="2">
        <v>45376</v>
      </c>
      <c r="G283" s="1" t="s">
        <v>31</v>
      </c>
      <c r="H283" s="1" t="s">
        <v>12</v>
      </c>
      <c r="I283" s="1" t="s">
        <v>38</v>
      </c>
      <c r="J283" s="1" t="s">
        <v>85</v>
      </c>
      <c r="K283" s="3">
        <v>2870.03</v>
      </c>
      <c r="L283" s="1">
        <v>8</v>
      </c>
      <c r="M283" s="1" t="s">
        <v>20</v>
      </c>
      <c r="N283" s="3">
        <v>354</v>
      </c>
      <c r="O283" s="1" t="s">
        <v>2111</v>
      </c>
      <c r="P283" s="1" t="s">
        <v>2071</v>
      </c>
      <c r="Q283" s="1" t="str">
        <f>TEXT((Data[[#This Row],[Order_Date]]), "mmm")</f>
        <v>Mar</v>
      </c>
    </row>
    <row r="284" spans="4:17" x14ac:dyDescent="0.3">
      <c r="D284" s="1" t="s">
        <v>346</v>
      </c>
      <c r="E284" s="2">
        <v>45351</v>
      </c>
      <c r="F284" s="2">
        <v>45358</v>
      </c>
      <c r="G284" s="1" t="s">
        <v>11</v>
      </c>
      <c r="H284" s="1" t="s">
        <v>23</v>
      </c>
      <c r="I284" s="1" t="s">
        <v>78</v>
      </c>
      <c r="J284" s="1" t="s">
        <v>118</v>
      </c>
      <c r="K284" s="3">
        <v>297.49</v>
      </c>
      <c r="L284" s="1">
        <v>5</v>
      </c>
      <c r="M284" s="1" t="s">
        <v>15</v>
      </c>
      <c r="N284" s="3">
        <v>15.89</v>
      </c>
      <c r="O284" s="1" t="s">
        <v>2075</v>
      </c>
      <c r="P284" s="1" t="s">
        <v>2071</v>
      </c>
      <c r="Q284" s="1" t="str">
        <f>TEXT((Data[[#This Row],[Order_Date]]), "mmm")</f>
        <v>Feb</v>
      </c>
    </row>
    <row r="285" spans="4:17" x14ac:dyDescent="0.3">
      <c r="D285" s="1" t="s">
        <v>347</v>
      </c>
      <c r="E285" s="2">
        <v>45469</v>
      </c>
      <c r="F285" s="2">
        <v>45473</v>
      </c>
      <c r="G285" s="1" t="s">
        <v>22</v>
      </c>
      <c r="H285" s="1" t="s">
        <v>23</v>
      </c>
      <c r="I285" s="1" t="s">
        <v>78</v>
      </c>
      <c r="J285" s="1" t="s">
        <v>79</v>
      </c>
      <c r="K285" s="3">
        <v>2998.51</v>
      </c>
      <c r="L285" s="1">
        <v>4</v>
      </c>
      <c r="M285" s="1" t="s">
        <v>20</v>
      </c>
      <c r="N285" s="3">
        <v>451.29</v>
      </c>
      <c r="O285" s="1" t="s">
        <v>2235</v>
      </c>
      <c r="P285" s="1" t="s">
        <v>2076</v>
      </c>
      <c r="Q285" s="1" t="str">
        <f>TEXT((Data[[#This Row],[Order_Date]]), "mmm")</f>
        <v>Jun</v>
      </c>
    </row>
    <row r="286" spans="4:17" x14ac:dyDescent="0.3">
      <c r="D286" s="1" t="s">
        <v>348</v>
      </c>
      <c r="E286" s="2">
        <v>45560</v>
      </c>
      <c r="F286" s="2">
        <v>45561</v>
      </c>
      <c r="G286" s="1" t="s">
        <v>36</v>
      </c>
      <c r="H286" s="1" t="s">
        <v>12</v>
      </c>
      <c r="I286" s="1" t="s">
        <v>38</v>
      </c>
      <c r="J286" s="1" t="s">
        <v>85</v>
      </c>
      <c r="K286" s="3">
        <v>1956.99</v>
      </c>
      <c r="L286" s="1">
        <v>12</v>
      </c>
      <c r="M286" s="1" t="s">
        <v>20</v>
      </c>
      <c r="N286" s="3">
        <v>391.17</v>
      </c>
      <c r="O286" s="1" t="s">
        <v>2239</v>
      </c>
      <c r="P286" s="1" t="s">
        <v>2078</v>
      </c>
      <c r="Q286" s="1" t="str">
        <f>TEXT((Data[[#This Row],[Order_Date]]), "mmm")</f>
        <v>Sep</v>
      </c>
    </row>
    <row r="287" spans="4:17" x14ac:dyDescent="0.3">
      <c r="D287" s="1" t="s">
        <v>349</v>
      </c>
      <c r="E287" s="2">
        <v>45480</v>
      </c>
      <c r="F287" s="2">
        <v>45482</v>
      </c>
      <c r="G287" s="1" t="s">
        <v>36</v>
      </c>
      <c r="H287" s="1" t="s">
        <v>17</v>
      </c>
      <c r="I287" s="1" t="s">
        <v>32</v>
      </c>
      <c r="J287" s="1" t="s">
        <v>56</v>
      </c>
      <c r="K287" s="3">
        <v>1106.52</v>
      </c>
      <c r="L287" s="1">
        <v>17</v>
      </c>
      <c r="M287" s="1" t="s">
        <v>20</v>
      </c>
      <c r="N287" s="3">
        <v>69.94</v>
      </c>
      <c r="O287" s="1" t="s">
        <v>2219</v>
      </c>
      <c r="P287" s="1" t="s">
        <v>2076</v>
      </c>
      <c r="Q287" s="1" t="str">
        <f>TEXT((Data[[#This Row],[Order_Date]]), "mmm")</f>
        <v>Jul</v>
      </c>
    </row>
    <row r="288" spans="4:17" x14ac:dyDescent="0.3">
      <c r="D288" s="1" t="s">
        <v>350</v>
      </c>
      <c r="E288" s="2">
        <v>45417</v>
      </c>
      <c r="F288" s="2">
        <v>45417</v>
      </c>
      <c r="G288" s="1" t="s">
        <v>31</v>
      </c>
      <c r="H288" s="1" t="s">
        <v>23</v>
      </c>
      <c r="I288" s="1" t="s">
        <v>65</v>
      </c>
      <c r="J288" s="1" t="s">
        <v>66</v>
      </c>
      <c r="K288" s="3">
        <v>921.1</v>
      </c>
      <c r="L288" s="1">
        <v>2</v>
      </c>
      <c r="M288" s="1" t="s">
        <v>29</v>
      </c>
      <c r="N288" s="3">
        <v>267.98</v>
      </c>
      <c r="O288" s="1" t="s">
        <v>2240</v>
      </c>
      <c r="P288" s="1" t="s">
        <v>2078</v>
      </c>
      <c r="Q288" s="1" t="str">
        <f>TEXT((Data[[#This Row],[Order_Date]]), "mmm")</f>
        <v>May</v>
      </c>
    </row>
    <row r="289" spans="4:17" x14ac:dyDescent="0.3">
      <c r="D289" s="1" t="s">
        <v>351</v>
      </c>
      <c r="E289" s="2">
        <v>45627</v>
      </c>
      <c r="F289" s="2">
        <v>45633</v>
      </c>
      <c r="G289" s="1" t="s">
        <v>22</v>
      </c>
      <c r="H289" s="1" t="s">
        <v>23</v>
      </c>
      <c r="I289" s="1" t="s">
        <v>78</v>
      </c>
      <c r="J289" s="1" t="s">
        <v>79</v>
      </c>
      <c r="K289" s="3">
        <v>3684.46</v>
      </c>
      <c r="L289" s="1">
        <v>11</v>
      </c>
      <c r="M289" s="1" t="s">
        <v>34</v>
      </c>
      <c r="N289" s="3">
        <v>1097.23</v>
      </c>
      <c r="O289" s="1" t="s">
        <v>2179</v>
      </c>
      <c r="P289" s="1" t="s">
        <v>2071</v>
      </c>
      <c r="Q289" s="1" t="str">
        <f>TEXT((Data[[#This Row],[Order_Date]]), "mmm")</f>
        <v>Dec</v>
      </c>
    </row>
    <row r="290" spans="4:17" x14ac:dyDescent="0.3">
      <c r="D290" s="1" t="s">
        <v>352</v>
      </c>
      <c r="E290" s="2">
        <v>45353</v>
      </c>
      <c r="F290" s="2">
        <v>45353</v>
      </c>
      <c r="G290" s="1" t="s">
        <v>22</v>
      </c>
      <c r="H290" s="1" t="s">
        <v>17</v>
      </c>
      <c r="I290" s="1" t="s">
        <v>32</v>
      </c>
      <c r="J290" s="1" t="s">
        <v>56</v>
      </c>
      <c r="K290" s="3">
        <v>3827.8</v>
      </c>
      <c r="L290" s="1">
        <v>3</v>
      </c>
      <c r="M290" s="1" t="s">
        <v>49</v>
      </c>
      <c r="N290" s="3">
        <v>1185.8900000000001</v>
      </c>
      <c r="O290" s="1" t="s">
        <v>2108</v>
      </c>
      <c r="P290" s="1" t="s">
        <v>2078</v>
      </c>
      <c r="Q290" s="1" t="str">
        <f>TEXT((Data[[#This Row],[Order_Date]]), "mmm")</f>
        <v>Mar</v>
      </c>
    </row>
    <row r="291" spans="4:17" x14ac:dyDescent="0.3">
      <c r="D291" s="1" t="s">
        <v>353</v>
      </c>
      <c r="E291" s="2">
        <v>45451</v>
      </c>
      <c r="F291" s="2">
        <v>45456</v>
      </c>
      <c r="G291" s="1" t="s">
        <v>11</v>
      </c>
      <c r="H291" s="1" t="s">
        <v>12</v>
      </c>
      <c r="I291" s="1" t="s">
        <v>42</v>
      </c>
      <c r="J291" s="1" t="s">
        <v>48</v>
      </c>
      <c r="K291" s="3">
        <v>1633.45</v>
      </c>
      <c r="L291" s="1">
        <v>10</v>
      </c>
      <c r="M291" s="1" t="s">
        <v>29</v>
      </c>
      <c r="N291" s="3">
        <v>466.11</v>
      </c>
      <c r="O291" s="1" t="s">
        <v>2241</v>
      </c>
      <c r="P291" s="1" t="s">
        <v>2076</v>
      </c>
      <c r="Q291" s="1" t="str">
        <f>TEXT((Data[[#This Row],[Order_Date]]), "mmm")</f>
        <v>Jun</v>
      </c>
    </row>
    <row r="292" spans="4:17" x14ac:dyDescent="0.3">
      <c r="D292" s="1" t="s">
        <v>354</v>
      </c>
      <c r="E292" s="2">
        <v>45416</v>
      </c>
      <c r="F292" s="2">
        <v>45423</v>
      </c>
      <c r="G292" s="1" t="s">
        <v>36</v>
      </c>
      <c r="H292" s="1" t="s">
        <v>12</v>
      </c>
      <c r="I292" s="1" t="s">
        <v>42</v>
      </c>
      <c r="J292" s="1" t="s">
        <v>72</v>
      </c>
      <c r="K292" s="3">
        <v>2996.74</v>
      </c>
      <c r="L292" s="1">
        <v>18</v>
      </c>
      <c r="M292" s="1" t="s">
        <v>44</v>
      </c>
      <c r="N292" s="3">
        <v>285.2</v>
      </c>
      <c r="O292" s="1" t="s">
        <v>2242</v>
      </c>
      <c r="P292" s="1" t="s">
        <v>2071</v>
      </c>
      <c r="Q292" s="1" t="str">
        <f>TEXT((Data[[#This Row],[Order_Date]]), "mmm")</f>
        <v>May</v>
      </c>
    </row>
    <row r="293" spans="4:17" x14ac:dyDescent="0.3">
      <c r="D293" s="1" t="s">
        <v>355</v>
      </c>
      <c r="E293" s="2">
        <v>45304</v>
      </c>
      <c r="F293" s="2">
        <v>45307</v>
      </c>
      <c r="G293" s="1" t="s">
        <v>36</v>
      </c>
      <c r="H293" s="1" t="s">
        <v>12</v>
      </c>
      <c r="I293" s="1" t="s">
        <v>38</v>
      </c>
      <c r="J293" s="1" t="s">
        <v>85</v>
      </c>
      <c r="K293" s="3">
        <v>255.48</v>
      </c>
      <c r="L293" s="1">
        <v>13</v>
      </c>
      <c r="M293" s="1" t="s">
        <v>15</v>
      </c>
      <c r="N293" s="3">
        <v>-68.510000000000005</v>
      </c>
      <c r="O293" s="1" t="s">
        <v>2243</v>
      </c>
      <c r="P293" s="1" t="s">
        <v>2078</v>
      </c>
      <c r="Q293" s="1" t="str">
        <f>TEXT((Data[[#This Row],[Order_Date]]), "mmm")</f>
        <v>Jan</v>
      </c>
    </row>
    <row r="294" spans="4:17" x14ac:dyDescent="0.3">
      <c r="D294" s="1" t="s">
        <v>356</v>
      </c>
      <c r="E294" s="2">
        <v>45563</v>
      </c>
      <c r="F294" s="2">
        <v>45566</v>
      </c>
      <c r="G294" s="1" t="s">
        <v>31</v>
      </c>
      <c r="H294" s="1" t="s">
        <v>23</v>
      </c>
      <c r="I294" s="1" t="s">
        <v>61</v>
      </c>
      <c r="J294" s="1" t="s">
        <v>76</v>
      </c>
      <c r="K294" s="3">
        <v>2918.7</v>
      </c>
      <c r="L294" s="1">
        <v>3</v>
      </c>
      <c r="M294" s="1" t="s">
        <v>20</v>
      </c>
      <c r="N294" s="3">
        <v>952.61</v>
      </c>
      <c r="O294" s="1" t="s">
        <v>2244</v>
      </c>
      <c r="P294" s="1" t="s">
        <v>2076</v>
      </c>
      <c r="Q294" s="1" t="str">
        <f>TEXT((Data[[#This Row],[Order_Date]]), "mmm")</f>
        <v>Sep</v>
      </c>
    </row>
    <row r="295" spans="4:17" x14ac:dyDescent="0.3">
      <c r="D295" s="1" t="s">
        <v>357</v>
      </c>
      <c r="E295" s="2">
        <v>45558</v>
      </c>
      <c r="F295" s="2">
        <v>45564</v>
      </c>
      <c r="G295" s="1" t="s">
        <v>36</v>
      </c>
      <c r="H295" s="1" t="s">
        <v>23</v>
      </c>
      <c r="I295" s="1" t="s">
        <v>61</v>
      </c>
      <c r="J295" s="1" t="s">
        <v>62</v>
      </c>
      <c r="K295" s="3">
        <v>608.41</v>
      </c>
      <c r="L295" s="1">
        <v>5</v>
      </c>
      <c r="M295" s="1" t="s">
        <v>15</v>
      </c>
      <c r="N295" s="3">
        <v>-180.08</v>
      </c>
      <c r="O295" s="1" t="s">
        <v>2245</v>
      </c>
      <c r="P295" s="1" t="s">
        <v>2078</v>
      </c>
      <c r="Q295" s="1" t="str">
        <f>TEXT((Data[[#This Row],[Order_Date]]), "mmm")</f>
        <v>Sep</v>
      </c>
    </row>
    <row r="296" spans="4:17" x14ac:dyDescent="0.3">
      <c r="D296" s="1" t="s">
        <v>358</v>
      </c>
      <c r="E296" s="2">
        <v>45582</v>
      </c>
      <c r="F296" s="2">
        <v>45582</v>
      </c>
      <c r="G296" s="1" t="s">
        <v>31</v>
      </c>
      <c r="H296" s="1" t="s">
        <v>12</v>
      </c>
      <c r="I296" s="1" t="s">
        <v>58</v>
      </c>
      <c r="J296" s="1" t="s">
        <v>120</v>
      </c>
      <c r="K296" s="3">
        <v>1343.79</v>
      </c>
      <c r="L296" s="1">
        <v>11</v>
      </c>
      <c r="M296" s="1" t="s">
        <v>49</v>
      </c>
      <c r="N296" s="3">
        <v>349.68</v>
      </c>
      <c r="O296" s="1" t="s">
        <v>2095</v>
      </c>
      <c r="P296" s="1" t="s">
        <v>2076</v>
      </c>
      <c r="Q296" s="1" t="str">
        <f>TEXT((Data[[#This Row],[Order_Date]]), "mmm")</f>
        <v>Oct</v>
      </c>
    </row>
    <row r="297" spans="4:17" x14ac:dyDescent="0.3">
      <c r="D297" s="1" t="s">
        <v>359</v>
      </c>
      <c r="E297" s="2">
        <v>45454</v>
      </c>
      <c r="F297" s="2">
        <v>45461</v>
      </c>
      <c r="G297" s="1" t="s">
        <v>36</v>
      </c>
      <c r="H297" s="1" t="s">
        <v>17</v>
      </c>
      <c r="I297" s="1" t="s">
        <v>18</v>
      </c>
      <c r="J297" s="1" t="s">
        <v>19</v>
      </c>
      <c r="K297" s="3">
        <v>760.42</v>
      </c>
      <c r="L297" s="1">
        <v>19</v>
      </c>
      <c r="M297" s="1" t="s">
        <v>20</v>
      </c>
      <c r="N297" s="3">
        <v>73.47</v>
      </c>
      <c r="O297" s="1" t="s">
        <v>2185</v>
      </c>
      <c r="P297" s="1" t="s">
        <v>2071</v>
      </c>
      <c r="Q297" s="1" t="str">
        <f>TEXT((Data[[#This Row],[Order_Date]]), "mmm")</f>
        <v>Jun</v>
      </c>
    </row>
    <row r="298" spans="4:17" x14ac:dyDescent="0.3">
      <c r="D298" s="1" t="s">
        <v>360</v>
      </c>
      <c r="E298" s="2">
        <v>45530</v>
      </c>
      <c r="F298" s="2">
        <v>45535</v>
      </c>
      <c r="G298" s="1" t="s">
        <v>31</v>
      </c>
      <c r="H298" s="1" t="s">
        <v>17</v>
      </c>
      <c r="I298" s="1" t="s">
        <v>32</v>
      </c>
      <c r="J298" s="1" t="s">
        <v>33</v>
      </c>
      <c r="K298" s="3">
        <v>3867.38</v>
      </c>
      <c r="L298" s="1">
        <v>7</v>
      </c>
      <c r="M298" s="1" t="s">
        <v>49</v>
      </c>
      <c r="N298" s="3">
        <v>551.07000000000005</v>
      </c>
      <c r="O298" s="1" t="s">
        <v>2168</v>
      </c>
      <c r="P298" s="1" t="s">
        <v>2071</v>
      </c>
      <c r="Q298" s="1" t="str">
        <f>TEXT((Data[[#This Row],[Order_Date]]), "mmm")</f>
        <v>Aug</v>
      </c>
    </row>
    <row r="299" spans="4:17" x14ac:dyDescent="0.3">
      <c r="D299" s="1" t="s">
        <v>361</v>
      </c>
      <c r="E299" s="2">
        <v>45353</v>
      </c>
      <c r="F299" s="2">
        <v>45354</v>
      </c>
      <c r="G299" s="1" t="s">
        <v>22</v>
      </c>
      <c r="H299" s="1" t="s">
        <v>12</v>
      </c>
      <c r="I299" s="1" t="s">
        <v>13</v>
      </c>
      <c r="J299" s="1" t="s">
        <v>51</v>
      </c>
      <c r="K299" s="3">
        <v>1056.33</v>
      </c>
      <c r="L299" s="1">
        <v>11</v>
      </c>
      <c r="M299" s="1" t="s">
        <v>44</v>
      </c>
      <c r="N299" s="3">
        <v>81.72</v>
      </c>
      <c r="O299" s="1" t="s">
        <v>2189</v>
      </c>
      <c r="P299" s="1" t="s">
        <v>2078</v>
      </c>
      <c r="Q299" s="1" t="str">
        <f>TEXT((Data[[#This Row],[Order_Date]]), "mmm")</f>
        <v>Mar</v>
      </c>
    </row>
    <row r="300" spans="4:17" x14ac:dyDescent="0.3">
      <c r="D300" s="1" t="s">
        <v>362</v>
      </c>
      <c r="E300" s="2">
        <v>45474</v>
      </c>
      <c r="F300" s="2">
        <v>45480</v>
      </c>
      <c r="G300" s="1" t="s">
        <v>11</v>
      </c>
      <c r="H300" s="1" t="s">
        <v>12</v>
      </c>
      <c r="I300" s="1" t="s">
        <v>13</v>
      </c>
      <c r="J300" s="1" t="s">
        <v>129</v>
      </c>
      <c r="K300" s="3">
        <v>3325.34</v>
      </c>
      <c r="L300" s="1">
        <v>6</v>
      </c>
      <c r="M300" s="1" t="s">
        <v>20</v>
      </c>
      <c r="N300" s="3">
        <v>1116.08</v>
      </c>
      <c r="O300" s="1" t="s">
        <v>2246</v>
      </c>
      <c r="P300" s="1" t="s">
        <v>2071</v>
      </c>
      <c r="Q300" s="1" t="str">
        <f>TEXT((Data[[#This Row],[Order_Date]]), "mmm")</f>
        <v>Jul</v>
      </c>
    </row>
    <row r="301" spans="4:17" x14ac:dyDescent="0.3">
      <c r="D301" s="1" t="s">
        <v>363</v>
      </c>
      <c r="E301" s="2">
        <v>45576</v>
      </c>
      <c r="F301" s="2">
        <v>45579</v>
      </c>
      <c r="G301" s="1" t="s">
        <v>11</v>
      </c>
      <c r="H301" s="1" t="s">
        <v>23</v>
      </c>
      <c r="I301" s="1" t="s">
        <v>61</v>
      </c>
      <c r="J301" s="1" t="s">
        <v>76</v>
      </c>
      <c r="K301" s="3">
        <v>705.45</v>
      </c>
      <c r="L301" s="1">
        <v>2</v>
      </c>
      <c r="M301" s="1" t="s">
        <v>44</v>
      </c>
      <c r="N301" s="3">
        <v>62.94</v>
      </c>
      <c r="O301" s="1" t="s">
        <v>2247</v>
      </c>
      <c r="P301" s="1" t="s">
        <v>2071</v>
      </c>
      <c r="Q301" s="1" t="str">
        <f>TEXT((Data[[#This Row],[Order_Date]]), "mmm")</f>
        <v>Oct</v>
      </c>
    </row>
    <row r="302" spans="4:17" x14ac:dyDescent="0.3">
      <c r="D302" s="1" t="s">
        <v>364</v>
      </c>
      <c r="E302" s="2">
        <v>45482</v>
      </c>
      <c r="F302" s="2">
        <v>45483</v>
      </c>
      <c r="G302" s="1" t="s">
        <v>36</v>
      </c>
      <c r="H302" s="1" t="s">
        <v>17</v>
      </c>
      <c r="I302" s="1" t="s">
        <v>18</v>
      </c>
      <c r="J302" s="1" t="s">
        <v>19</v>
      </c>
      <c r="K302" s="3">
        <v>991.56</v>
      </c>
      <c r="L302" s="1">
        <v>15</v>
      </c>
      <c r="M302" s="1" t="s">
        <v>44</v>
      </c>
      <c r="N302" s="3">
        <v>76.94</v>
      </c>
      <c r="O302" s="1" t="s">
        <v>2248</v>
      </c>
      <c r="P302" s="1" t="s">
        <v>2071</v>
      </c>
      <c r="Q302" s="1" t="str">
        <f>TEXT((Data[[#This Row],[Order_Date]]), "mmm")</f>
        <v>Jul</v>
      </c>
    </row>
    <row r="303" spans="4:17" x14ac:dyDescent="0.3">
      <c r="D303" s="1" t="s">
        <v>365</v>
      </c>
      <c r="E303" s="2">
        <v>45461</v>
      </c>
      <c r="F303" s="2">
        <v>45462</v>
      </c>
      <c r="G303" s="1" t="s">
        <v>11</v>
      </c>
      <c r="H303" s="1" t="s">
        <v>23</v>
      </c>
      <c r="I303" s="1" t="s">
        <v>61</v>
      </c>
      <c r="J303" s="1" t="s">
        <v>76</v>
      </c>
      <c r="K303" s="3">
        <v>3715.49</v>
      </c>
      <c r="L303" s="1">
        <v>14</v>
      </c>
      <c r="M303" s="1" t="s">
        <v>15</v>
      </c>
      <c r="N303" s="3">
        <v>-626.05999999999995</v>
      </c>
      <c r="O303" s="1" t="s">
        <v>2249</v>
      </c>
      <c r="P303" s="1" t="s">
        <v>2071</v>
      </c>
      <c r="Q303" s="1" t="str">
        <f>TEXT((Data[[#This Row],[Order_Date]]), "mmm")</f>
        <v>Jun</v>
      </c>
    </row>
    <row r="304" spans="4:17" x14ac:dyDescent="0.3">
      <c r="D304" s="1" t="s">
        <v>366</v>
      </c>
      <c r="E304" s="2">
        <v>45641</v>
      </c>
      <c r="F304" s="2">
        <v>45647</v>
      </c>
      <c r="G304" s="1" t="s">
        <v>22</v>
      </c>
      <c r="H304" s="1" t="s">
        <v>23</v>
      </c>
      <c r="I304" s="1" t="s">
        <v>78</v>
      </c>
      <c r="J304" s="1" t="s">
        <v>118</v>
      </c>
      <c r="K304" s="3">
        <v>1281.18</v>
      </c>
      <c r="L304" s="1">
        <v>15</v>
      </c>
      <c r="M304" s="1" t="s">
        <v>44</v>
      </c>
      <c r="N304" s="3">
        <v>77.38</v>
      </c>
      <c r="O304" s="1" t="s">
        <v>2137</v>
      </c>
      <c r="P304" s="1" t="s">
        <v>2076</v>
      </c>
      <c r="Q304" s="1" t="str">
        <f>TEXT((Data[[#This Row],[Order_Date]]), "mmm")</f>
        <v>Dec</v>
      </c>
    </row>
    <row r="305" spans="4:17" x14ac:dyDescent="0.3">
      <c r="D305" s="1" t="s">
        <v>367</v>
      </c>
      <c r="E305" s="2">
        <v>45417</v>
      </c>
      <c r="F305" s="2">
        <v>45421</v>
      </c>
      <c r="G305" s="1" t="s">
        <v>31</v>
      </c>
      <c r="H305" s="1" t="s">
        <v>23</v>
      </c>
      <c r="I305" s="1" t="s">
        <v>65</v>
      </c>
      <c r="J305" s="1" t="s">
        <v>66</v>
      </c>
      <c r="K305" s="3">
        <v>578.96</v>
      </c>
      <c r="L305" s="1">
        <v>13</v>
      </c>
      <c r="M305" s="1" t="s">
        <v>44</v>
      </c>
      <c r="N305" s="3">
        <v>101.76</v>
      </c>
      <c r="O305" s="1" t="s">
        <v>2250</v>
      </c>
      <c r="P305" s="1" t="s">
        <v>2078</v>
      </c>
      <c r="Q305" s="1" t="str">
        <f>TEXT((Data[[#This Row],[Order_Date]]), "mmm")</f>
        <v>May</v>
      </c>
    </row>
    <row r="306" spans="4:17" x14ac:dyDescent="0.3">
      <c r="D306" s="1" t="s">
        <v>368</v>
      </c>
      <c r="E306" s="2">
        <v>45561</v>
      </c>
      <c r="F306" s="2">
        <v>45564</v>
      </c>
      <c r="G306" s="1" t="s">
        <v>11</v>
      </c>
      <c r="H306" s="1" t="s">
        <v>23</v>
      </c>
      <c r="I306" s="1" t="s">
        <v>24</v>
      </c>
      <c r="J306" s="1" t="s">
        <v>93</v>
      </c>
      <c r="K306" s="3">
        <v>2291.94</v>
      </c>
      <c r="L306" s="1">
        <v>16</v>
      </c>
      <c r="M306" s="1" t="s">
        <v>34</v>
      </c>
      <c r="N306" s="3">
        <v>742.14</v>
      </c>
      <c r="O306" s="1" t="s">
        <v>2081</v>
      </c>
      <c r="P306" s="1" t="s">
        <v>2076</v>
      </c>
      <c r="Q306" s="1" t="str">
        <f>TEXT((Data[[#This Row],[Order_Date]]), "mmm")</f>
        <v>Sep</v>
      </c>
    </row>
    <row r="307" spans="4:17" x14ac:dyDescent="0.3">
      <c r="D307" s="1" t="s">
        <v>369</v>
      </c>
      <c r="E307" s="2">
        <v>45490</v>
      </c>
      <c r="F307" s="2">
        <v>45494</v>
      </c>
      <c r="G307" s="1" t="s">
        <v>22</v>
      </c>
      <c r="H307" s="1" t="s">
        <v>17</v>
      </c>
      <c r="I307" s="1" t="s">
        <v>27</v>
      </c>
      <c r="J307" s="1" t="s">
        <v>132</v>
      </c>
      <c r="K307" s="3">
        <v>359.89</v>
      </c>
      <c r="L307" s="1">
        <v>9</v>
      </c>
      <c r="M307" s="1" t="s">
        <v>20</v>
      </c>
      <c r="N307" s="3">
        <v>105.3</v>
      </c>
      <c r="O307" s="1" t="s">
        <v>2152</v>
      </c>
      <c r="P307" s="1" t="s">
        <v>2071</v>
      </c>
      <c r="Q307" s="1" t="str">
        <f>TEXT((Data[[#This Row],[Order_Date]]), "mmm")</f>
        <v>Jul</v>
      </c>
    </row>
    <row r="308" spans="4:17" x14ac:dyDescent="0.3">
      <c r="D308" s="1" t="s">
        <v>370</v>
      </c>
      <c r="E308" s="2">
        <v>45475</v>
      </c>
      <c r="F308" s="2">
        <v>45478</v>
      </c>
      <c r="G308" s="1" t="s">
        <v>22</v>
      </c>
      <c r="H308" s="1" t="s">
        <v>17</v>
      </c>
      <c r="I308" s="1" t="s">
        <v>18</v>
      </c>
      <c r="J308" s="1" t="s">
        <v>90</v>
      </c>
      <c r="K308" s="3">
        <v>1154.32</v>
      </c>
      <c r="L308" s="1">
        <v>18</v>
      </c>
      <c r="M308" s="1" t="s">
        <v>15</v>
      </c>
      <c r="N308" s="3">
        <v>77.08</v>
      </c>
      <c r="O308" s="1" t="s">
        <v>2251</v>
      </c>
      <c r="P308" s="1" t="s">
        <v>2076</v>
      </c>
      <c r="Q308" s="1" t="str">
        <f>TEXT((Data[[#This Row],[Order_Date]]), "mmm")</f>
        <v>Jul</v>
      </c>
    </row>
    <row r="309" spans="4:17" x14ac:dyDescent="0.3">
      <c r="D309" s="1" t="s">
        <v>371</v>
      </c>
      <c r="E309" s="2">
        <v>45404</v>
      </c>
      <c r="F309" s="2">
        <v>45410</v>
      </c>
      <c r="G309" s="1" t="s">
        <v>36</v>
      </c>
      <c r="H309" s="1" t="s">
        <v>17</v>
      </c>
      <c r="I309" s="1" t="s">
        <v>18</v>
      </c>
      <c r="J309" s="1" t="s">
        <v>19</v>
      </c>
      <c r="K309" s="3">
        <v>2471.9499999999998</v>
      </c>
      <c r="L309" s="1">
        <v>12</v>
      </c>
      <c r="M309" s="1" t="s">
        <v>29</v>
      </c>
      <c r="N309" s="3">
        <v>144.52000000000001</v>
      </c>
      <c r="O309" s="1" t="s">
        <v>2235</v>
      </c>
      <c r="P309" s="1" t="s">
        <v>2078</v>
      </c>
      <c r="Q309" s="1" t="str">
        <f>TEXT((Data[[#This Row],[Order_Date]]), "mmm")</f>
        <v>Apr</v>
      </c>
    </row>
    <row r="310" spans="4:17" x14ac:dyDescent="0.3">
      <c r="D310" s="1" t="s">
        <v>372</v>
      </c>
      <c r="E310" s="2">
        <v>45582</v>
      </c>
      <c r="F310" s="2">
        <v>45584</v>
      </c>
      <c r="G310" s="1" t="s">
        <v>22</v>
      </c>
      <c r="H310" s="1" t="s">
        <v>23</v>
      </c>
      <c r="I310" s="1" t="s">
        <v>24</v>
      </c>
      <c r="J310" s="1" t="s">
        <v>25</v>
      </c>
      <c r="K310" s="3">
        <v>2089.14</v>
      </c>
      <c r="L310" s="1">
        <v>3</v>
      </c>
      <c r="M310" s="1" t="s">
        <v>20</v>
      </c>
      <c r="N310" s="3">
        <v>250.25</v>
      </c>
      <c r="O310" s="1" t="s">
        <v>2081</v>
      </c>
      <c r="P310" s="1" t="s">
        <v>2076</v>
      </c>
      <c r="Q310" s="1" t="str">
        <f>TEXT((Data[[#This Row],[Order_Date]]), "mmm")</f>
        <v>Oct</v>
      </c>
    </row>
    <row r="311" spans="4:17" x14ac:dyDescent="0.3">
      <c r="D311" s="1" t="s">
        <v>373</v>
      </c>
      <c r="E311" s="2">
        <v>45561</v>
      </c>
      <c r="F311" s="2">
        <v>45568</v>
      </c>
      <c r="G311" s="1" t="s">
        <v>11</v>
      </c>
      <c r="H311" s="1" t="s">
        <v>23</v>
      </c>
      <c r="I311" s="1" t="s">
        <v>78</v>
      </c>
      <c r="J311" s="1" t="s">
        <v>118</v>
      </c>
      <c r="K311" s="3">
        <v>1527.85</v>
      </c>
      <c r="L311" s="1">
        <v>6</v>
      </c>
      <c r="M311" s="1" t="s">
        <v>34</v>
      </c>
      <c r="N311" s="3">
        <v>-103.69</v>
      </c>
      <c r="O311" s="1" t="s">
        <v>2213</v>
      </c>
      <c r="P311" s="1" t="s">
        <v>2076</v>
      </c>
      <c r="Q311" s="1" t="str">
        <f>TEXT((Data[[#This Row],[Order_Date]]), "mmm")</f>
        <v>Sep</v>
      </c>
    </row>
    <row r="312" spans="4:17" x14ac:dyDescent="0.3">
      <c r="D312" s="1" t="s">
        <v>374</v>
      </c>
      <c r="E312" s="2">
        <v>45652</v>
      </c>
      <c r="F312" s="2">
        <v>45654</v>
      </c>
      <c r="G312" s="1" t="s">
        <v>11</v>
      </c>
      <c r="H312" s="1" t="s">
        <v>12</v>
      </c>
      <c r="I312" s="1" t="s">
        <v>13</v>
      </c>
      <c r="J312" s="1" t="s">
        <v>51</v>
      </c>
      <c r="K312" s="3">
        <v>1650.97</v>
      </c>
      <c r="L312" s="1">
        <v>13</v>
      </c>
      <c r="M312" s="1" t="s">
        <v>29</v>
      </c>
      <c r="N312" s="3">
        <v>132.59</v>
      </c>
      <c r="O312" s="1" t="s">
        <v>2155</v>
      </c>
      <c r="P312" s="1" t="s">
        <v>2076</v>
      </c>
      <c r="Q312" s="1" t="str">
        <f>TEXT((Data[[#This Row],[Order_Date]]), "mmm")</f>
        <v>Dec</v>
      </c>
    </row>
    <row r="313" spans="4:17" x14ac:dyDescent="0.3">
      <c r="D313" s="1" t="s">
        <v>375</v>
      </c>
      <c r="E313" s="2">
        <v>45361</v>
      </c>
      <c r="F313" s="2">
        <v>45363</v>
      </c>
      <c r="G313" s="1" t="s">
        <v>31</v>
      </c>
      <c r="H313" s="1" t="s">
        <v>12</v>
      </c>
      <c r="I313" s="1" t="s">
        <v>42</v>
      </c>
      <c r="J313" s="1" t="s">
        <v>46</v>
      </c>
      <c r="K313" s="3">
        <v>903.26</v>
      </c>
      <c r="L313" s="1">
        <v>18</v>
      </c>
      <c r="M313" s="1" t="s">
        <v>15</v>
      </c>
      <c r="N313" s="3">
        <v>286.23</v>
      </c>
      <c r="O313" s="1" t="s">
        <v>2107</v>
      </c>
      <c r="P313" s="1" t="s">
        <v>2078</v>
      </c>
      <c r="Q313" s="1" t="str">
        <f>TEXT((Data[[#This Row],[Order_Date]]), "mmm")</f>
        <v>Mar</v>
      </c>
    </row>
    <row r="314" spans="4:17" x14ac:dyDescent="0.3">
      <c r="D314" s="1" t="s">
        <v>376</v>
      </c>
      <c r="E314" s="2">
        <v>45474</v>
      </c>
      <c r="F314" s="2">
        <v>45477</v>
      </c>
      <c r="G314" s="1" t="s">
        <v>22</v>
      </c>
      <c r="H314" s="1" t="s">
        <v>23</v>
      </c>
      <c r="I314" s="1" t="s">
        <v>24</v>
      </c>
      <c r="J314" s="1" t="s">
        <v>150</v>
      </c>
      <c r="K314" s="3">
        <v>2831.87</v>
      </c>
      <c r="L314" s="1">
        <v>5</v>
      </c>
      <c r="M314" s="1" t="s">
        <v>44</v>
      </c>
      <c r="N314" s="3">
        <v>760.78</v>
      </c>
      <c r="O314" s="1" t="s">
        <v>2217</v>
      </c>
      <c r="P314" s="1" t="s">
        <v>2076</v>
      </c>
      <c r="Q314" s="1" t="str">
        <f>TEXT((Data[[#This Row],[Order_Date]]), "mmm")</f>
        <v>Jul</v>
      </c>
    </row>
    <row r="315" spans="4:17" x14ac:dyDescent="0.3">
      <c r="D315" s="1" t="s">
        <v>377</v>
      </c>
      <c r="E315" s="2">
        <v>45585</v>
      </c>
      <c r="F315" s="2">
        <v>45591</v>
      </c>
      <c r="G315" s="1" t="s">
        <v>11</v>
      </c>
      <c r="H315" s="1" t="s">
        <v>17</v>
      </c>
      <c r="I315" s="1" t="s">
        <v>32</v>
      </c>
      <c r="J315" s="1" t="s">
        <v>33</v>
      </c>
      <c r="K315" s="3">
        <v>3703.89</v>
      </c>
      <c r="L315" s="1">
        <v>20</v>
      </c>
      <c r="M315" s="1" t="s">
        <v>44</v>
      </c>
      <c r="N315" s="3">
        <v>-895.95</v>
      </c>
      <c r="O315" s="1" t="s">
        <v>2103</v>
      </c>
      <c r="P315" s="1" t="s">
        <v>2076</v>
      </c>
      <c r="Q315" s="1" t="str">
        <f>TEXT((Data[[#This Row],[Order_Date]]), "mmm")</f>
        <v>Oct</v>
      </c>
    </row>
    <row r="316" spans="4:17" x14ac:dyDescent="0.3">
      <c r="D316" s="1" t="s">
        <v>378</v>
      </c>
      <c r="E316" s="2">
        <v>45546</v>
      </c>
      <c r="F316" s="2">
        <v>45548</v>
      </c>
      <c r="G316" s="1" t="s">
        <v>36</v>
      </c>
      <c r="H316" s="1" t="s">
        <v>12</v>
      </c>
      <c r="I316" s="1" t="s">
        <v>38</v>
      </c>
      <c r="J316" s="1" t="s">
        <v>81</v>
      </c>
      <c r="K316" s="3">
        <v>1550.54</v>
      </c>
      <c r="L316" s="1">
        <v>11</v>
      </c>
      <c r="M316" s="1" t="s">
        <v>44</v>
      </c>
      <c r="N316" s="3">
        <v>373.46</v>
      </c>
      <c r="O316" s="1" t="s">
        <v>2198</v>
      </c>
      <c r="P316" s="1" t="s">
        <v>2071</v>
      </c>
      <c r="Q316" s="1" t="str">
        <f>TEXT((Data[[#This Row],[Order_Date]]), "mmm")</f>
        <v>Sep</v>
      </c>
    </row>
    <row r="317" spans="4:17" x14ac:dyDescent="0.3">
      <c r="D317" s="1" t="s">
        <v>379</v>
      </c>
      <c r="E317" s="2">
        <v>45654</v>
      </c>
      <c r="F317" s="2">
        <v>45659</v>
      </c>
      <c r="G317" s="1" t="s">
        <v>31</v>
      </c>
      <c r="H317" s="1" t="s">
        <v>17</v>
      </c>
      <c r="I317" s="1" t="s">
        <v>27</v>
      </c>
      <c r="J317" s="1" t="s">
        <v>132</v>
      </c>
      <c r="K317" s="3">
        <v>1185.78</v>
      </c>
      <c r="L317" s="1">
        <v>3</v>
      </c>
      <c r="M317" s="1" t="s">
        <v>34</v>
      </c>
      <c r="N317" s="3">
        <v>-150.59</v>
      </c>
      <c r="O317" s="1" t="s">
        <v>2176</v>
      </c>
      <c r="P317" s="1" t="s">
        <v>2078</v>
      </c>
      <c r="Q317" s="1" t="str">
        <f>TEXT((Data[[#This Row],[Order_Date]]), "mmm")</f>
        <v>Dec</v>
      </c>
    </row>
    <row r="318" spans="4:17" x14ac:dyDescent="0.3">
      <c r="D318" s="1" t="s">
        <v>380</v>
      </c>
      <c r="E318" s="2">
        <v>45292</v>
      </c>
      <c r="F318" s="2">
        <v>45292</v>
      </c>
      <c r="G318" s="1" t="s">
        <v>31</v>
      </c>
      <c r="H318" s="1" t="s">
        <v>23</v>
      </c>
      <c r="I318" s="1" t="s">
        <v>65</v>
      </c>
      <c r="J318" s="1" t="s">
        <v>66</v>
      </c>
      <c r="K318" s="3">
        <v>3567.07</v>
      </c>
      <c r="L318" s="1">
        <v>16</v>
      </c>
      <c r="M318" s="1" t="s">
        <v>49</v>
      </c>
      <c r="N318" s="3">
        <v>554.21</v>
      </c>
      <c r="O318" s="1" t="s">
        <v>2115</v>
      </c>
      <c r="P318" s="1" t="s">
        <v>2076</v>
      </c>
      <c r="Q318" s="1" t="str">
        <f>TEXT((Data[[#This Row],[Order_Date]]), "mmm")</f>
        <v>Jan</v>
      </c>
    </row>
    <row r="319" spans="4:17" x14ac:dyDescent="0.3">
      <c r="D319" s="1" t="s">
        <v>381</v>
      </c>
      <c r="E319" s="2">
        <v>45537</v>
      </c>
      <c r="F319" s="2">
        <v>45540</v>
      </c>
      <c r="G319" s="1" t="s">
        <v>22</v>
      </c>
      <c r="H319" s="1" t="s">
        <v>23</v>
      </c>
      <c r="I319" s="1" t="s">
        <v>61</v>
      </c>
      <c r="J319" s="1" t="s">
        <v>76</v>
      </c>
      <c r="K319" s="3">
        <v>1355.91</v>
      </c>
      <c r="L319" s="1">
        <v>11</v>
      </c>
      <c r="M319" s="1" t="s">
        <v>34</v>
      </c>
      <c r="N319" s="3">
        <v>-454.91</v>
      </c>
      <c r="O319" s="1" t="s">
        <v>2176</v>
      </c>
      <c r="P319" s="1" t="s">
        <v>2076</v>
      </c>
      <c r="Q319" s="1" t="str">
        <f>TEXT((Data[[#This Row],[Order_Date]]), "mmm")</f>
        <v>Sep</v>
      </c>
    </row>
    <row r="320" spans="4:17" x14ac:dyDescent="0.3">
      <c r="D320" s="1" t="s">
        <v>382</v>
      </c>
      <c r="E320" s="2">
        <v>45379</v>
      </c>
      <c r="F320" s="2">
        <v>45385</v>
      </c>
      <c r="G320" s="1" t="s">
        <v>22</v>
      </c>
      <c r="H320" s="1" t="s">
        <v>12</v>
      </c>
      <c r="I320" s="1" t="s">
        <v>38</v>
      </c>
      <c r="J320" s="1" t="s">
        <v>39</v>
      </c>
      <c r="K320" s="3">
        <v>3781.88</v>
      </c>
      <c r="L320" s="1">
        <v>3</v>
      </c>
      <c r="M320" s="1" t="s">
        <v>34</v>
      </c>
      <c r="N320" s="3">
        <v>863.06</v>
      </c>
      <c r="O320" s="1" t="s">
        <v>2251</v>
      </c>
      <c r="P320" s="1" t="s">
        <v>2078</v>
      </c>
      <c r="Q320" s="1" t="str">
        <f>TEXT((Data[[#This Row],[Order_Date]]), "mmm")</f>
        <v>Mar</v>
      </c>
    </row>
    <row r="321" spans="4:17" x14ac:dyDescent="0.3">
      <c r="D321" s="1" t="s">
        <v>383</v>
      </c>
      <c r="E321" s="2">
        <v>45539</v>
      </c>
      <c r="F321" s="2">
        <v>45539</v>
      </c>
      <c r="G321" s="1" t="s">
        <v>31</v>
      </c>
      <c r="H321" s="1" t="s">
        <v>12</v>
      </c>
      <c r="I321" s="1" t="s">
        <v>58</v>
      </c>
      <c r="J321" s="1" t="s">
        <v>59</v>
      </c>
      <c r="K321" s="3">
        <v>3586.57</v>
      </c>
      <c r="L321" s="1">
        <v>6</v>
      </c>
      <c r="M321" s="1" t="s">
        <v>20</v>
      </c>
      <c r="N321" s="3">
        <v>288.27999999999997</v>
      </c>
      <c r="O321" s="1" t="s">
        <v>2097</v>
      </c>
      <c r="P321" s="1" t="s">
        <v>2071</v>
      </c>
      <c r="Q321" s="1" t="str">
        <f>TEXT((Data[[#This Row],[Order_Date]]), "mmm")</f>
        <v>Sep</v>
      </c>
    </row>
    <row r="322" spans="4:17" x14ac:dyDescent="0.3">
      <c r="D322" s="1" t="s">
        <v>384</v>
      </c>
      <c r="E322" s="2">
        <v>45389</v>
      </c>
      <c r="F322" s="2">
        <v>45395</v>
      </c>
      <c r="G322" s="1" t="s">
        <v>36</v>
      </c>
      <c r="H322" s="1" t="s">
        <v>12</v>
      </c>
      <c r="I322" s="1" t="s">
        <v>13</v>
      </c>
      <c r="J322" s="1" t="s">
        <v>129</v>
      </c>
      <c r="K322" s="3">
        <v>1140.81</v>
      </c>
      <c r="L322" s="1">
        <v>2</v>
      </c>
      <c r="M322" s="1" t="s">
        <v>49</v>
      </c>
      <c r="N322" s="3">
        <v>252.72</v>
      </c>
      <c r="O322" s="1" t="s">
        <v>2212</v>
      </c>
      <c r="P322" s="1" t="s">
        <v>2076</v>
      </c>
      <c r="Q322" s="1" t="str">
        <f>TEXT((Data[[#This Row],[Order_Date]]), "mmm")</f>
        <v>Apr</v>
      </c>
    </row>
    <row r="323" spans="4:17" x14ac:dyDescent="0.3">
      <c r="D323" s="1" t="s">
        <v>385</v>
      </c>
      <c r="E323" s="2">
        <v>45370</v>
      </c>
      <c r="F323" s="2">
        <v>45370</v>
      </c>
      <c r="G323" s="1" t="s">
        <v>36</v>
      </c>
      <c r="H323" s="1" t="s">
        <v>17</v>
      </c>
      <c r="I323" s="1" t="s">
        <v>27</v>
      </c>
      <c r="J323" s="1" t="s">
        <v>28</v>
      </c>
      <c r="K323" s="3">
        <v>1354.56</v>
      </c>
      <c r="L323" s="1">
        <v>20</v>
      </c>
      <c r="M323" s="1" t="s">
        <v>49</v>
      </c>
      <c r="N323" s="3">
        <v>-148.87</v>
      </c>
      <c r="O323" s="1" t="s">
        <v>2149</v>
      </c>
      <c r="P323" s="1" t="s">
        <v>2076</v>
      </c>
      <c r="Q323" s="1" t="str">
        <f>TEXT((Data[[#This Row],[Order_Date]]), "mmm")</f>
        <v>Mar</v>
      </c>
    </row>
    <row r="324" spans="4:17" x14ac:dyDescent="0.3">
      <c r="D324" s="1" t="s">
        <v>386</v>
      </c>
      <c r="E324" s="2">
        <v>45379</v>
      </c>
      <c r="F324" s="2">
        <v>45383</v>
      </c>
      <c r="G324" s="1" t="s">
        <v>11</v>
      </c>
      <c r="H324" s="1" t="s">
        <v>23</v>
      </c>
      <c r="I324" s="1" t="s">
        <v>61</v>
      </c>
      <c r="J324" s="1" t="s">
        <v>98</v>
      </c>
      <c r="K324" s="3">
        <v>3193.29</v>
      </c>
      <c r="L324" s="1">
        <v>16</v>
      </c>
      <c r="M324" s="1" t="s">
        <v>49</v>
      </c>
      <c r="N324" s="3">
        <v>1016.95</v>
      </c>
      <c r="O324" s="1" t="s">
        <v>2178</v>
      </c>
      <c r="P324" s="1" t="s">
        <v>2078</v>
      </c>
      <c r="Q324" s="1" t="str">
        <f>TEXT((Data[[#This Row],[Order_Date]]), "mmm")</f>
        <v>Mar</v>
      </c>
    </row>
    <row r="325" spans="4:17" x14ac:dyDescent="0.3">
      <c r="D325" s="1" t="s">
        <v>387</v>
      </c>
      <c r="E325" s="2">
        <v>45620</v>
      </c>
      <c r="F325" s="2">
        <v>45626</v>
      </c>
      <c r="G325" s="1" t="s">
        <v>22</v>
      </c>
      <c r="H325" s="1" t="s">
        <v>23</v>
      </c>
      <c r="I325" s="1" t="s">
        <v>65</v>
      </c>
      <c r="J325" s="1" t="s">
        <v>114</v>
      </c>
      <c r="K325" s="3">
        <v>949.69</v>
      </c>
      <c r="L325" s="1">
        <v>2</v>
      </c>
      <c r="M325" s="1" t="s">
        <v>34</v>
      </c>
      <c r="N325" s="3">
        <v>172.77</v>
      </c>
      <c r="O325" s="1" t="s">
        <v>2252</v>
      </c>
      <c r="P325" s="1" t="s">
        <v>2078</v>
      </c>
      <c r="Q325" s="1" t="str">
        <f>TEXT((Data[[#This Row],[Order_Date]]), "mmm")</f>
        <v>Nov</v>
      </c>
    </row>
    <row r="326" spans="4:17" x14ac:dyDescent="0.3">
      <c r="D326" s="1" t="s">
        <v>388</v>
      </c>
      <c r="E326" s="2">
        <v>45429</v>
      </c>
      <c r="F326" s="2">
        <v>45429</v>
      </c>
      <c r="G326" s="1" t="s">
        <v>22</v>
      </c>
      <c r="H326" s="1" t="s">
        <v>12</v>
      </c>
      <c r="I326" s="1" t="s">
        <v>38</v>
      </c>
      <c r="J326" s="1" t="s">
        <v>81</v>
      </c>
      <c r="K326" s="3">
        <v>2755.53</v>
      </c>
      <c r="L326" s="1">
        <v>18</v>
      </c>
      <c r="M326" s="1" t="s">
        <v>49</v>
      </c>
      <c r="N326" s="3">
        <v>940.22</v>
      </c>
      <c r="O326" s="1" t="s">
        <v>2143</v>
      </c>
      <c r="P326" s="1" t="s">
        <v>2078</v>
      </c>
      <c r="Q326" s="1" t="str">
        <f>TEXT((Data[[#This Row],[Order_Date]]), "mmm")</f>
        <v>May</v>
      </c>
    </row>
    <row r="327" spans="4:17" x14ac:dyDescent="0.3">
      <c r="D327" s="1" t="s">
        <v>389</v>
      </c>
      <c r="E327" s="2">
        <v>45575</v>
      </c>
      <c r="F327" s="2">
        <v>45575</v>
      </c>
      <c r="G327" s="1" t="s">
        <v>31</v>
      </c>
      <c r="H327" s="1" t="s">
        <v>12</v>
      </c>
      <c r="I327" s="1" t="s">
        <v>42</v>
      </c>
      <c r="J327" s="1" t="s">
        <v>43</v>
      </c>
      <c r="K327" s="3">
        <v>2397.6799999999998</v>
      </c>
      <c r="L327" s="1">
        <v>8</v>
      </c>
      <c r="M327" s="1" t="s">
        <v>49</v>
      </c>
      <c r="N327" s="3">
        <v>334.85</v>
      </c>
      <c r="O327" s="1" t="s">
        <v>2184</v>
      </c>
      <c r="P327" s="1" t="s">
        <v>2071</v>
      </c>
      <c r="Q327" s="1" t="str">
        <f>TEXT((Data[[#This Row],[Order_Date]]), "mmm")</f>
        <v>Oct</v>
      </c>
    </row>
    <row r="328" spans="4:17" x14ac:dyDescent="0.3">
      <c r="D328" s="1" t="s">
        <v>390</v>
      </c>
      <c r="E328" s="2">
        <v>45657</v>
      </c>
      <c r="F328" s="2">
        <v>45657</v>
      </c>
      <c r="G328" s="1" t="s">
        <v>22</v>
      </c>
      <c r="H328" s="1" t="s">
        <v>17</v>
      </c>
      <c r="I328" s="1" t="s">
        <v>27</v>
      </c>
      <c r="J328" s="1" t="s">
        <v>132</v>
      </c>
      <c r="K328" s="3">
        <v>3808.98</v>
      </c>
      <c r="L328" s="1">
        <v>6</v>
      </c>
      <c r="M328" s="1" t="s">
        <v>44</v>
      </c>
      <c r="N328" s="3">
        <v>-1114.27</v>
      </c>
      <c r="O328" s="1" t="s">
        <v>2246</v>
      </c>
      <c r="P328" s="1" t="s">
        <v>2078</v>
      </c>
      <c r="Q328" s="1" t="str">
        <f>TEXT((Data[[#This Row],[Order_Date]]), "mmm")</f>
        <v>Dec</v>
      </c>
    </row>
    <row r="329" spans="4:17" x14ac:dyDescent="0.3">
      <c r="D329" s="1" t="s">
        <v>391</v>
      </c>
      <c r="E329" s="2">
        <v>45508</v>
      </c>
      <c r="F329" s="2">
        <v>45509</v>
      </c>
      <c r="G329" s="1" t="s">
        <v>31</v>
      </c>
      <c r="H329" s="1" t="s">
        <v>17</v>
      </c>
      <c r="I329" s="1" t="s">
        <v>32</v>
      </c>
      <c r="J329" s="1" t="s">
        <v>56</v>
      </c>
      <c r="K329" s="3">
        <v>3377.91</v>
      </c>
      <c r="L329" s="1">
        <v>9</v>
      </c>
      <c r="M329" s="1" t="s">
        <v>34</v>
      </c>
      <c r="N329" s="3">
        <v>1091.8800000000001</v>
      </c>
      <c r="O329" s="1" t="s">
        <v>2138</v>
      </c>
      <c r="P329" s="1" t="s">
        <v>2076</v>
      </c>
      <c r="Q329" s="1" t="str">
        <f>TEXT((Data[[#This Row],[Order_Date]]), "mmm")</f>
        <v>Aug</v>
      </c>
    </row>
    <row r="330" spans="4:17" x14ac:dyDescent="0.3">
      <c r="D330" s="1" t="s">
        <v>392</v>
      </c>
      <c r="E330" s="2">
        <v>45326</v>
      </c>
      <c r="F330" s="2">
        <v>45327</v>
      </c>
      <c r="G330" s="1" t="s">
        <v>31</v>
      </c>
      <c r="H330" s="1" t="s">
        <v>12</v>
      </c>
      <c r="I330" s="1" t="s">
        <v>42</v>
      </c>
      <c r="J330" s="1" t="s">
        <v>46</v>
      </c>
      <c r="K330" s="3">
        <v>3462.34</v>
      </c>
      <c r="L330" s="1">
        <v>17</v>
      </c>
      <c r="M330" s="1" t="s">
        <v>49</v>
      </c>
      <c r="N330" s="3">
        <v>-1125.77</v>
      </c>
      <c r="O330" s="1" t="s">
        <v>2075</v>
      </c>
      <c r="P330" s="1" t="s">
        <v>2076</v>
      </c>
      <c r="Q330" s="1" t="str">
        <f>TEXT((Data[[#This Row],[Order_Date]]), "mmm")</f>
        <v>Feb</v>
      </c>
    </row>
    <row r="331" spans="4:17" x14ac:dyDescent="0.3">
      <c r="D331" s="1" t="s">
        <v>393</v>
      </c>
      <c r="E331" s="2">
        <v>45650</v>
      </c>
      <c r="F331" s="2">
        <v>45656</v>
      </c>
      <c r="G331" s="1" t="s">
        <v>11</v>
      </c>
      <c r="H331" s="1" t="s">
        <v>23</v>
      </c>
      <c r="I331" s="1" t="s">
        <v>78</v>
      </c>
      <c r="J331" s="1" t="s">
        <v>118</v>
      </c>
      <c r="K331" s="3">
        <v>2374.73</v>
      </c>
      <c r="L331" s="1">
        <v>19</v>
      </c>
      <c r="M331" s="1" t="s">
        <v>20</v>
      </c>
      <c r="N331" s="3">
        <v>777.67</v>
      </c>
      <c r="O331" s="1" t="s">
        <v>2094</v>
      </c>
      <c r="P331" s="1" t="s">
        <v>2078</v>
      </c>
      <c r="Q331" s="1" t="str">
        <f>TEXT((Data[[#This Row],[Order_Date]]), "mmm")</f>
        <v>Dec</v>
      </c>
    </row>
    <row r="332" spans="4:17" x14ac:dyDescent="0.3">
      <c r="D332" s="1" t="s">
        <v>394</v>
      </c>
      <c r="E332" s="2">
        <v>45343</v>
      </c>
      <c r="F332" s="2">
        <v>45347</v>
      </c>
      <c r="G332" s="1" t="s">
        <v>36</v>
      </c>
      <c r="H332" s="1" t="s">
        <v>23</v>
      </c>
      <c r="I332" s="1" t="s">
        <v>24</v>
      </c>
      <c r="J332" s="1" t="s">
        <v>93</v>
      </c>
      <c r="K332" s="3">
        <v>2705.45</v>
      </c>
      <c r="L332" s="1">
        <v>19</v>
      </c>
      <c r="M332" s="1" t="s">
        <v>29</v>
      </c>
      <c r="N332" s="3">
        <v>519.21</v>
      </c>
      <c r="O332" s="1" t="s">
        <v>2138</v>
      </c>
      <c r="P332" s="1" t="s">
        <v>2076</v>
      </c>
      <c r="Q332" s="1" t="str">
        <f>TEXT((Data[[#This Row],[Order_Date]]), "mmm")</f>
        <v>Feb</v>
      </c>
    </row>
    <row r="333" spans="4:17" x14ac:dyDescent="0.3">
      <c r="D333" s="1" t="s">
        <v>395</v>
      </c>
      <c r="E333" s="2">
        <v>45498</v>
      </c>
      <c r="F333" s="2">
        <v>45500</v>
      </c>
      <c r="G333" s="1" t="s">
        <v>31</v>
      </c>
      <c r="H333" s="1" t="s">
        <v>17</v>
      </c>
      <c r="I333" s="1" t="s">
        <v>27</v>
      </c>
      <c r="J333" s="1" t="s">
        <v>110</v>
      </c>
      <c r="K333" s="3">
        <v>2839.43</v>
      </c>
      <c r="L333" s="1">
        <v>2</v>
      </c>
      <c r="M333" s="1" t="s">
        <v>15</v>
      </c>
      <c r="N333" s="3">
        <v>546.78</v>
      </c>
      <c r="O333" s="1" t="s">
        <v>2072</v>
      </c>
      <c r="P333" s="1" t="s">
        <v>2076</v>
      </c>
      <c r="Q333" s="1" t="str">
        <f>TEXT((Data[[#This Row],[Order_Date]]), "mmm")</f>
        <v>Jul</v>
      </c>
    </row>
    <row r="334" spans="4:17" x14ac:dyDescent="0.3">
      <c r="D334" s="1" t="s">
        <v>396</v>
      </c>
      <c r="E334" s="2">
        <v>45482</v>
      </c>
      <c r="F334" s="2">
        <v>45482</v>
      </c>
      <c r="G334" s="1" t="s">
        <v>36</v>
      </c>
      <c r="H334" s="1" t="s">
        <v>23</v>
      </c>
      <c r="I334" s="1" t="s">
        <v>24</v>
      </c>
      <c r="J334" s="1" t="s">
        <v>93</v>
      </c>
      <c r="K334" s="3">
        <v>3410.67</v>
      </c>
      <c r="L334" s="1">
        <v>4</v>
      </c>
      <c r="M334" s="1" t="s">
        <v>44</v>
      </c>
      <c r="N334" s="3">
        <v>308.04000000000002</v>
      </c>
      <c r="O334" s="1" t="s">
        <v>2245</v>
      </c>
      <c r="P334" s="1" t="s">
        <v>2071</v>
      </c>
      <c r="Q334" s="1" t="str">
        <f>TEXT((Data[[#This Row],[Order_Date]]), "mmm")</f>
        <v>Jul</v>
      </c>
    </row>
    <row r="335" spans="4:17" x14ac:dyDescent="0.3">
      <c r="D335" s="1" t="s">
        <v>397</v>
      </c>
      <c r="E335" s="2">
        <v>45518</v>
      </c>
      <c r="F335" s="2">
        <v>45523</v>
      </c>
      <c r="G335" s="1" t="s">
        <v>36</v>
      </c>
      <c r="H335" s="1" t="s">
        <v>12</v>
      </c>
      <c r="I335" s="1" t="s">
        <v>42</v>
      </c>
      <c r="J335" s="1" t="s">
        <v>48</v>
      </c>
      <c r="K335" s="3">
        <v>954.76</v>
      </c>
      <c r="L335" s="1">
        <v>7</v>
      </c>
      <c r="M335" s="1" t="s">
        <v>49</v>
      </c>
      <c r="N335" s="3">
        <v>259.97000000000003</v>
      </c>
      <c r="O335" s="1" t="s">
        <v>2200</v>
      </c>
      <c r="P335" s="1" t="s">
        <v>2078</v>
      </c>
      <c r="Q335" s="1" t="str">
        <f>TEXT((Data[[#This Row],[Order_Date]]), "mmm")</f>
        <v>Aug</v>
      </c>
    </row>
    <row r="336" spans="4:17" x14ac:dyDescent="0.3">
      <c r="D336" s="1" t="s">
        <v>398</v>
      </c>
      <c r="E336" s="2">
        <v>45483</v>
      </c>
      <c r="F336" s="2">
        <v>45483</v>
      </c>
      <c r="G336" s="1" t="s">
        <v>22</v>
      </c>
      <c r="H336" s="1" t="s">
        <v>17</v>
      </c>
      <c r="I336" s="1" t="s">
        <v>27</v>
      </c>
      <c r="J336" s="1" t="s">
        <v>108</v>
      </c>
      <c r="K336" s="3">
        <v>758.69</v>
      </c>
      <c r="L336" s="1">
        <v>17</v>
      </c>
      <c r="M336" s="1" t="s">
        <v>29</v>
      </c>
      <c r="N336" s="3">
        <v>44.52</v>
      </c>
      <c r="O336" s="1" t="s">
        <v>2253</v>
      </c>
      <c r="P336" s="1" t="s">
        <v>2076</v>
      </c>
      <c r="Q336" s="1" t="str">
        <f>TEXT((Data[[#This Row],[Order_Date]]), "mmm")</f>
        <v>Jul</v>
      </c>
    </row>
    <row r="337" spans="4:17" x14ac:dyDescent="0.3">
      <c r="D337" s="1" t="s">
        <v>399</v>
      </c>
      <c r="E337" s="2">
        <v>45394</v>
      </c>
      <c r="F337" s="2">
        <v>45394</v>
      </c>
      <c r="G337" s="1" t="s">
        <v>22</v>
      </c>
      <c r="H337" s="1" t="s">
        <v>17</v>
      </c>
      <c r="I337" s="1" t="s">
        <v>27</v>
      </c>
      <c r="J337" s="1" t="s">
        <v>28</v>
      </c>
      <c r="K337" s="3">
        <v>3692.62</v>
      </c>
      <c r="L337" s="1">
        <v>7</v>
      </c>
      <c r="M337" s="1" t="s">
        <v>34</v>
      </c>
      <c r="N337" s="3">
        <v>592.69000000000005</v>
      </c>
      <c r="O337" s="1" t="s">
        <v>2216</v>
      </c>
      <c r="P337" s="1" t="s">
        <v>2078</v>
      </c>
      <c r="Q337" s="1" t="str">
        <f>TEXT((Data[[#This Row],[Order_Date]]), "mmm")</f>
        <v>Apr</v>
      </c>
    </row>
    <row r="338" spans="4:17" x14ac:dyDescent="0.3">
      <c r="D338" s="1" t="s">
        <v>400</v>
      </c>
      <c r="E338" s="2">
        <v>45495</v>
      </c>
      <c r="F338" s="2">
        <v>45496</v>
      </c>
      <c r="G338" s="1" t="s">
        <v>11</v>
      </c>
      <c r="H338" s="1" t="s">
        <v>17</v>
      </c>
      <c r="I338" s="1" t="s">
        <v>27</v>
      </c>
      <c r="J338" s="1" t="s">
        <v>108</v>
      </c>
      <c r="K338" s="3">
        <v>2477.66</v>
      </c>
      <c r="L338" s="1">
        <v>6</v>
      </c>
      <c r="M338" s="1" t="s">
        <v>49</v>
      </c>
      <c r="N338" s="3">
        <v>560.11</v>
      </c>
      <c r="O338" s="1" t="s">
        <v>2254</v>
      </c>
      <c r="P338" s="1" t="s">
        <v>2078</v>
      </c>
      <c r="Q338" s="1" t="str">
        <f>TEXT((Data[[#This Row],[Order_Date]]), "mmm")</f>
        <v>Jul</v>
      </c>
    </row>
    <row r="339" spans="4:17" x14ac:dyDescent="0.3">
      <c r="D339" s="1" t="s">
        <v>401</v>
      </c>
      <c r="E339" s="2">
        <v>45375</v>
      </c>
      <c r="F339" s="2">
        <v>45379</v>
      </c>
      <c r="G339" s="1" t="s">
        <v>11</v>
      </c>
      <c r="H339" s="1" t="s">
        <v>23</v>
      </c>
      <c r="I339" s="1" t="s">
        <v>61</v>
      </c>
      <c r="J339" s="1" t="s">
        <v>98</v>
      </c>
      <c r="K339" s="3">
        <v>436.19</v>
      </c>
      <c r="L339" s="1">
        <v>19</v>
      </c>
      <c r="M339" s="1" t="s">
        <v>44</v>
      </c>
      <c r="N339" s="3">
        <v>133.97</v>
      </c>
      <c r="O339" s="1" t="s">
        <v>2250</v>
      </c>
      <c r="P339" s="1" t="s">
        <v>2071</v>
      </c>
      <c r="Q339" s="1" t="str">
        <f>TEXT((Data[[#This Row],[Order_Date]]), "mmm")</f>
        <v>Mar</v>
      </c>
    </row>
    <row r="340" spans="4:17" x14ac:dyDescent="0.3">
      <c r="D340" s="1" t="s">
        <v>402</v>
      </c>
      <c r="E340" s="2">
        <v>45638</v>
      </c>
      <c r="F340" s="2">
        <v>45641</v>
      </c>
      <c r="G340" s="1" t="s">
        <v>36</v>
      </c>
      <c r="H340" s="1" t="s">
        <v>12</v>
      </c>
      <c r="I340" s="1" t="s">
        <v>42</v>
      </c>
      <c r="J340" s="1" t="s">
        <v>48</v>
      </c>
      <c r="K340" s="3">
        <v>3492.36</v>
      </c>
      <c r="L340" s="1">
        <v>1</v>
      </c>
      <c r="M340" s="1" t="s">
        <v>49</v>
      </c>
      <c r="N340" s="3">
        <v>1129.6199999999999</v>
      </c>
      <c r="O340" s="1" t="s">
        <v>2136</v>
      </c>
      <c r="P340" s="1" t="s">
        <v>2078</v>
      </c>
      <c r="Q340" s="1" t="str">
        <f>TEXT((Data[[#This Row],[Order_Date]]), "mmm")</f>
        <v>Dec</v>
      </c>
    </row>
    <row r="341" spans="4:17" x14ac:dyDescent="0.3">
      <c r="D341" s="1" t="s">
        <v>403</v>
      </c>
      <c r="E341" s="2">
        <v>45599</v>
      </c>
      <c r="F341" s="2">
        <v>45599</v>
      </c>
      <c r="G341" s="1" t="s">
        <v>22</v>
      </c>
      <c r="H341" s="1" t="s">
        <v>23</v>
      </c>
      <c r="I341" s="1" t="s">
        <v>24</v>
      </c>
      <c r="J341" s="1" t="s">
        <v>150</v>
      </c>
      <c r="K341" s="3">
        <v>3876.34</v>
      </c>
      <c r="L341" s="1">
        <v>9</v>
      </c>
      <c r="M341" s="1" t="s">
        <v>49</v>
      </c>
      <c r="N341" s="3">
        <v>1235.18</v>
      </c>
      <c r="O341" s="1" t="s">
        <v>2199</v>
      </c>
      <c r="P341" s="1" t="s">
        <v>2076</v>
      </c>
      <c r="Q341" s="1" t="str">
        <f>TEXT((Data[[#This Row],[Order_Date]]), "mmm")</f>
        <v>Nov</v>
      </c>
    </row>
    <row r="342" spans="4:17" x14ac:dyDescent="0.3">
      <c r="D342" s="1" t="s">
        <v>404</v>
      </c>
      <c r="E342" s="2">
        <v>45527</v>
      </c>
      <c r="F342" s="2">
        <v>45531</v>
      </c>
      <c r="G342" s="1" t="s">
        <v>22</v>
      </c>
      <c r="H342" s="1" t="s">
        <v>23</v>
      </c>
      <c r="I342" s="1" t="s">
        <v>24</v>
      </c>
      <c r="J342" s="1" t="s">
        <v>150</v>
      </c>
      <c r="K342" s="3">
        <v>2202.39</v>
      </c>
      <c r="L342" s="1">
        <v>20</v>
      </c>
      <c r="M342" s="1" t="s">
        <v>49</v>
      </c>
      <c r="N342" s="3">
        <v>-496.3</v>
      </c>
      <c r="O342" s="1" t="s">
        <v>2169</v>
      </c>
      <c r="P342" s="1" t="s">
        <v>2076</v>
      </c>
      <c r="Q342" s="1" t="str">
        <f>TEXT((Data[[#This Row],[Order_Date]]), "mmm")</f>
        <v>Aug</v>
      </c>
    </row>
    <row r="343" spans="4:17" x14ac:dyDescent="0.3">
      <c r="D343" s="1" t="s">
        <v>405</v>
      </c>
      <c r="E343" s="2">
        <v>45631</v>
      </c>
      <c r="F343" s="2">
        <v>45636</v>
      </c>
      <c r="G343" s="1" t="s">
        <v>36</v>
      </c>
      <c r="H343" s="1" t="s">
        <v>23</v>
      </c>
      <c r="I343" s="1" t="s">
        <v>61</v>
      </c>
      <c r="J343" s="1" t="s">
        <v>98</v>
      </c>
      <c r="K343" s="3">
        <v>489.39</v>
      </c>
      <c r="L343" s="1">
        <v>9</v>
      </c>
      <c r="M343" s="1" t="s">
        <v>15</v>
      </c>
      <c r="N343" s="3">
        <v>72.209999999999994</v>
      </c>
      <c r="O343" s="1" t="s">
        <v>2174</v>
      </c>
      <c r="P343" s="1" t="s">
        <v>2078</v>
      </c>
      <c r="Q343" s="1" t="str">
        <f>TEXT((Data[[#This Row],[Order_Date]]), "mmm")</f>
        <v>Dec</v>
      </c>
    </row>
    <row r="344" spans="4:17" x14ac:dyDescent="0.3">
      <c r="D344" s="1" t="s">
        <v>406</v>
      </c>
      <c r="E344" s="2">
        <v>45627</v>
      </c>
      <c r="F344" s="2">
        <v>45631</v>
      </c>
      <c r="G344" s="1" t="s">
        <v>22</v>
      </c>
      <c r="H344" s="1" t="s">
        <v>17</v>
      </c>
      <c r="I344" s="1" t="s">
        <v>32</v>
      </c>
      <c r="J344" s="1" t="s">
        <v>56</v>
      </c>
      <c r="K344" s="3">
        <v>3623.83</v>
      </c>
      <c r="L344" s="1">
        <v>20</v>
      </c>
      <c r="M344" s="1" t="s">
        <v>49</v>
      </c>
      <c r="N344" s="3">
        <v>899.29</v>
      </c>
      <c r="O344" s="1" t="s">
        <v>2163</v>
      </c>
      <c r="P344" s="1" t="s">
        <v>2078</v>
      </c>
      <c r="Q344" s="1" t="str">
        <f>TEXT((Data[[#This Row],[Order_Date]]), "mmm")</f>
        <v>Dec</v>
      </c>
    </row>
    <row r="345" spans="4:17" x14ac:dyDescent="0.3">
      <c r="D345" s="1" t="s">
        <v>407</v>
      </c>
      <c r="E345" s="2">
        <v>45305</v>
      </c>
      <c r="F345" s="2">
        <v>45312</v>
      </c>
      <c r="G345" s="1" t="s">
        <v>36</v>
      </c>
      <c r="H345" s="1" t="s">
        <v>23</v>
      </c>
      <c r="I345" s="1" t="s">
        <v>65</v>
      </c>
      <c r="J345" s="1" t="s">
        <v>114</v>
      </c>
      <c r="K345" s="3">
        <v>1706.03</v>
      </c>
      <c r="L345" s="1">
        <v>2</v>
      </c>
      <c r="M345" s="1" t="s">
        <v>29</v>
      </c>
      <c r="N345" s="3">
        <v>447.7</v>
      </c>
      <c r="O345" s="1" t="s">
        <v>2255</v>
      </c>
      <c r="P345" s="1" t="s">
        <v>2078</v>
      </c>
      <c r="Q345" s="1" t="str">
        <f>TEXT((Data[[#This Row],[Order_Date]]), "mmm")</f>
        <v>Jan</v>
      </c>
    </row>
    <row r="346" spans="4:17" x14ac:dyDescent="0.3">
      <c r="D346" s="1" t="s">
        <v>408</v>
      </c>
      <c r="E346" s="2">
        <v>45389</v>
      </c>
      <c r="F346" s="2">
        <v>45394</v>
      </c>
      <c r="G346" s="1" t="s">
        <v>22</v>
      </c>
      <c r="H346" s="1" t="s">
        <v>12</v>
      </c>
      <c r="I346" s="1" t="s">
        <v>42</v>
      </c>
      <c r="J346" s="1" t="s">
        <v>46</v>
      </c>
      <c r="K346" s="3">
        <v>2152.4299999999998</v>
      </c>
      <c r="L346" s="1">
        <v>6</v>
      </c>
      <c r="M346" s="1" t="s">
        <v>15</v>
      </c>
      <c r="N346" s="3">
        <v>673.6</v>
      </c>
      <c r="O346" s="1" t="s">
        <v>2256</v>
      </c>
      <c r="P346" s="1" t="s">
        <v>2078</v>
      </c>
      <c r="Q346" s="1" t="str">
        <f>TEXT((Data[[#This Row],[Order_Date]]), "mmm")</f>
        <v>Apr</v>
      </c>
    </row>
    <row r="347" spans="4:17" x14ac:dyDescent="0.3">
      <c r="D347" s="1" t="s">
        <v>409</v>
      </c>
      <c r="E347" s="2">
        <v>45341</v>
      </c>
      <c r="F347" s="2">
        <v>45348</v>
      </c>
      <c r="G347" s="1" t="s">
        <v>22</v>
      </c>
      <c r="H347" s="1" t="s">
        <v>12</v>
      </c>
      <c r="I347" s="1" t="s">
        <v>13</v>
      </c>
      <c r="J347" s="1" t="s">
        <v>14</v>
      </c>
      <c r="K347" s="3">
        <v>3800.96</v>
      </c>
      <c r="L347" s="1">
        <v>11</v>
      </c>
      <c r="M347" s="1" t="s">
        <v>15</v>
      </c>
      <c r="N347" s="3">
        <v>291.88</v>
      </c>
      <c r="O347" s="1" t="s">
        <v>2089</v>
      </c>
      <c r="P347" s="1" t="s">
        <v>2076</v>
      </c>
      <c r="Q347" s="1" t="str">
        <f>TEXT((Data[[#This Row],[Order_Date]]), "mmm")</f>
        <v>Feb</v>
      </c>
    </row>
    <row r="348" spans="4:17" x14ac:dyDescent="0.3">
      <c r="D348" s="1" t="s">
        <v>410</v>
      </c>
      <c r="E348" s="2">
        <v>45449</v>
      </c>
      <c r="F348" s="2">
        <v>45455</v>
      </c>
      <c r="G348" s="1" t="s">
        <v>36</v>
      </c>
      <c r="H348" s="1" t="s">
        <v>23</v>
      </c>
      <c r="I348" s="1" t="s">
        <v>24</v>
      </c>
      <c r="J348" s="1" t="s">
        <v>150</v>
      </c>
      <c r="K348" s="3">
        <v>1352.69</v>
      </c>
      <c r="L348" s="1">
        <v>4</v>
      </c>
      <c r="M348" s="1" t="s">
        <v>49</v>
      </c>
      <c r="N348" s="3">
        <v>89.42</v>
      </c>
      <c r="O348" s="1" t="s">
        <v>2257</v>
      </c>
      <c r="P348" s="1" t="s">
        <v>2071</v>
      </c>
      <c r="Q348" s="1" t="str">
        <f>TEXT((Data[[#This Row],[Order_Date]]), "mmm")</f>
        <v>Jun</v>
      </c>
    </row>
    <row r="349" spans="4:17" x14ac:dyDescent="0.3">
      <c r="D349" s="1" t="s">
        <v>411</v>
      </c>
      <c r="E349" s="2">
        <v>45589</v>
      </c>
      <c r="F349" s="2">
        <v>45590</v>
      </c>
      <c r="G349" s="1" t="s">
        <v>31</v>
      </c>
      <c r="H349" s="1" t="s">
        <v>17</v>
      </c>
      <c r="I349" s="1" t="s">
        <v>32</v>
      </c>
      <c r="J349" s="1" t="s">
        <v>56</v>
      </c>
      <c r="K349" s="3">
        <v>3503.12</v>
      </c>
      <c r="L349" s="1">
        <v>13</v>
      </c>
      <c r="M349" s="1" t="s">
        <v>29</v>
      </c>
      <c r="N349" s="3">
        <v>-488.71</v>
      </c>
      <c r="O349" s="1" t="s">
        <v>2191</v>
      </c>
      <c r="P349" s="1" t="s">
        <v>2076</v>
      </c>
      <c r="Q349" s="1" t="str">
        <f>TEXT((Data[[#This Row],[Order_Date]]), "mmm")</f>
        <v>Oct</v>
      </c>
    </row>
    <row r="350" spans="4:17" x14ac:dyDescent="0.3">
      <c r="D350" s="1" t="s">
        <v>412</v>
      </c>
      <c r="E350" s="2">
        <v>45369</v>
      </c>
      <c r="F350" s="2">
        <v>45371</v>
      </c>
      <c r="G350" s="1" t="s">
        <v>22</v>
      </c>
      <c r="H350" s="1" t="s">
        <v>23</v>
      </c>
      <c r="I350" s="1" t="s">
        <v>65</v>
      </c>
      <c r="J350" s="1" t="s">
        <v>122</v>
      </c>
      <c r="K350" s="3">
        <v>3598.17</v>
      </c>
      <c r="L350" s="1">
        <v>15</v>
      </c>
      <c r="M350" s="1" t="s">
        <v>44</v>
      </c>
      <c r="N350" s="3">
        <v>521.42999999999995</v>
      </c>
      <c r="O350" s="1" t="s">
        <v>2230</v>
      </c>
      <c r="P350" s="1" t="s">
        <v>2076</v>
      </c>
      <c r="Q350" s="1" t="str">
        <f>TEXT((Data[[#This Row],[Order_Date]]), "mmm")</f>
        <v>Mar</v>
      </c>
    </row>
    <row r="351" spans="4:17" x14ac:dyDescent="0.3">
      <c r="D351" s="1" t="s">
        <v>413</v>
      </c>
      <c r="E351" s="2">
        <v>45333</v>
      </c>
      <c r="F351" s="2">
        <v>45340</v>
      </c>
      <c r="G351" s="1" t="s">
        <v>36</v>
      </c>
      <c r="H351" s="1" t="s">
        <v>12</v>
      </c>
      <c r="I351" s="1" t="s">
        <v>58</v>
      </c>
      <c r="J351" s="1" t="s">
        <v>105</v>
      </c>
      <c r="K351" s="3">
        <v>2629.37</v>
      </c>
      <c r="L351" s="1">
        <v>1</v>
      </c>
      <c r="M351" s="1" t="s">
        <v>49</v>
      </c>
      <c r="N351" s="3">
        <v>347.23</v>
      </c>
      <c r="O351" s="1" t="s">
        <v>2208</v>
      </c>
      <c r="P351" s="1" t="s">
        <v>2076</v>
      </c>
      <c r="Q351" s="1" t="str">
        <f>TEXT((Data[[#This Row],[Order_Date]]), "mmm")</f>
        <v>Feb</v>
      </c>
    </row>
    <row r="352" spans="4:17" x14ac:dyDescent="0.3">
      <c r="D352" s="1" t="s">
        <v>414</v>
      </c>
      <c r="E352" s="2">
        <v>45378</v>
      </c>
      <c r="F352" s="2">
        <v>45380</v>
      </c>
      <c r="G352" s="1" t="s">
        <v>31</v>
      </c>
      <c r="H352" s="1" t="s">
        <v>17</v>
      </c>
      <c r="I352" s="1" t="s">
        <v>18</v>
      </c>
      <c r="J352" s="1" t="s">
        <v>90</v>
      </c>
      <c r="K352" s="3">
        <v>1876.42</v>
      </c>
      <c r="L352" s="1">
        <v>14</v>
      </c>
      <c r="M352" s="1" t="s">
        <v>49</v>
      </c>
      <c r="N352" s="3">
        <v>335.33</v>
      </c>
      <c r="O352" s="1" t="s">
        <v>2114</v>
      </c>
      <c r="P352" s="1" t="s">
        <v>2071</v>
      </c>
      <c r="Q352" s="1" t="str">
        <f>TEXT((Data[[#This Row],[Order_Date]]), "mmm")</f>
        <v>Mar</v>
      </c>
    </row>
    <row r="353" spans="4:17" x14ac:dyDescent="0.3">
      <c r="D353" s="1" t="s">
        <v>415</v>
      </c>
      <c r="E353" s="2">
        <v>45294</v>
      </c>
      <c r="F353" s="2">
        <v>45294</v>
      </c>
      <c r="G353" s="1" t="s">
        <v>22</v>
      </c>
      <c r="H353" s="1" t="s">
        <v>12</v>
      </c>
      <c r="I353" s="1" t="s">
        <v>13</v>
      </c>
      <c r="J353" s="1" t="s">
        <v>51</v>
      </c>
      <c r="K353" s="3">
        <v>3595.02</v>
      </c>
      <c r="L353" s="1">
        <v>17</v>
      </c>
      <c r="M353" s="1" t="s">
        <v>44</v>
      </c>
      <c r="N353" s="3">
        <v>-199.07</v>
      </c>
      <c r="O353" s="1" t="s">
        <v>2096</v>
      </c>
      <c r="P353" s="1" t="s">
        <v>2078</v>
      </c>
      <c r="Q353" s="1" t="str">
        <f>TEXT((Data[[#This Row],[Order_Date]]), "mmm")</f>
        <v>Jan</v>
      </c>
    </row>
    <row r="354" spans="4:17" x14ac:dyDescent="0.3">
      <c r="D354" s="1" t="s">
        <v>416</v>
      </c>
      <c r="E354" s="2">
        <v>45419</v>
      </c>
      <c r="F354" s="2">
        <v>45422</v>
      </c>
      <c r="G354" s="1" t="s">
        <v>36</v>
      </c>
      <c r="H354" s="1" t="s">
        <v>23</v>
      </c>
      <c r="I354" s="1" t="s">
        <v>78</v>
      </c>
      <c r="J354" s="1" t="s">
        <v>118</v>
      </c>
      <c r="K354" s="3">
        <v>1688.31</v>
      </c>
      <c r="L354" s="1">
        <v>19</v>
      </c>
      <c r="M354" s="1" t="s">
        <v>34</v>
      </c>
      <c r="N354" s="3">
        <v>169.01</v>
      </c>
      <c r="O354" s="1" t="s">
        <v>2179</v>
      </c>
      <c r="P354" s="1" t="s">
        <v>2071</v>
      </c>
      <c r="Q354" s="1" t="str">
        <f>TEXT((Data[[#This Row],[Order_Date]]), "mmm")</f>
        <v>May</v>
      </c>
    </row>
    <row r="355" spans="4:17" x14ac:dyDescent="0.3">
      <c r="D355" s="1" t="s">
        <v>417</v>
      </c>
      <c r="E355" s="2">
        <v>45444</v>
      </c>
      <c r="F355" s="2">
        <v>45448</v>
      </c>
      <c r="G355" s="1" t="s">
        <v>31</v>
      </c>
      <c r="H355" s="1" t="s">
        <v>12</v>
      </c>
      <c r="I355" s="1" t="s">
        <v>13</v>
      </c>
      <c r="J355" s="1" t="s">
        <v>96</v>
      </c>
      <c r="K355" s="3">
        <v>3579.9</v>
      </c>
      <c r="L355" s="1">
        <v>5</v>
      </c>
      <c r="M355" s="1" t="s">
        <v>34</v>
      </c>
      <c r="N355" s="3">
        <v>1248.82</v>
      </c>
      <c r="O355" s="1" t="s">
        <v>2160</v>
      </c>
      <c r="P355" s="1" t="s">
        <v>2078</v>
      </c>
      <c r="Q355" s="1" t="str">
        <f>TEXT((Data[[#This Row],[Order_Date]]), "mmm")</f>
        <v>Jun</v>
      </c>
    </row>
    <row r="356" spans="4:17" x14ac:dyDescent="0.3">
      <c r="D356" s="1" t="s">
        <v>418</v>
      </c>
      <c r="E356" s="2">
        <v>45388</v>
      </c>
      <c r="F356" s="2">
        <v>45390</v>
      </c>
      <c r="G356" s="1" t="s">
        <v>31</v>
      </c>
      <c r="H356" s="1" t="s">
        <v>17</v>
      </c>
      <c r="I356" s="1" t="s">
        <v>18</v>
      </c>
      <c r="J356" s="1" t="s">
        <v>19</v>
      </c>
      <c r="K356" s="3">
        <v>2976.88</v>
      </c>
      <c r="L356" s="1">
        <v>5</v>
      </c>
      <c r="M356" s="1" t="s">
        <v>44</v>
      </c>
      <c r="N356" s="3">
        <v>804.42</v>
      </c>
      <c r="O356" s="1" t="s">
        <v>2248</v>
      </c>
      <c r="P356" s="1" t="s">
        <v>2071</v>
      </c>
      <c r="Q356" s="1" t="str">
        <f>TEXT((Data[[#This Row],[Order_Date]]), "mmm")</f>
        <v>Apr</v>
      </c>
    </row>
    <row r="357" spans="4:17" x14ac:dyDescent="0.3">
      <c r="D357" s="1" t="s">
        <v>419</v>
      </c>
      <c r="E357" s="2">
        <v>45378</v>
      </c>
      <c r="F357" s="2">
        <v>45379</v>
      </c>
      <c r="G357" s="1" t="s">
        <v>36</v>
      </c>
      <c r="H357" s="1" t="s">
        <v>12</v>
      </c>
      <c r="I357" s="1" t="s">
        <v>38</v>
      </c>
      <c r="J357" s="1" t="s">
        <v>85</v>
      </c>
      <c r="K357" s="3">
        <v>3537.04</v>
      </c>
      <c r="L357" s="1">
        <v>9</v>
      </c>
      <c r="M357" s="1" t="s">
        <v>29</v>
      </c>
      <c r="N357" s="3">
        <v>838.07</v>
      </c>
      <c r="O357" s="1" t="s">
        <v>2089</v>
      </c>
      <c r="P357" s="1" t="s">
        <v>2071</v>
      </c>
      <c r="Q357" s="1" t="str">
        <f>TEXT((Data[[#This Row],[Order_Date]]), "mmm")</f>
        <v>Mar</v>
      </c>
    </row>
    <row r="358" spans="4:17" x14ac:dyDescent="0.3">
      <c r="D358" s="1" t="s">
        <v>420</v>
      </c>
      <c r="E358" s="2">
        <v>45316</v>
      </c>
      <c r="F358" s="2">
        <v>45317</v>
      </c>
      <c r="G358" s="1" t="s">
        <v>11</v>
      </c>
      <c r="H358" s="1" t="s">
        <v>17</v>
      </c>
      <c r="I358" s="1" t="s">
        <v>32</v>
      </c>
      <c r="J358" s="1" t="s">
        <v>56</v>
      </c>
      <c r="K358" s="3">
        <v>1812.91</v>
      </c>
      <c r="L358" s="1">
        <v>13</v>
      </c>
      <c r="M358" s="1" t="s">
        <v>20</v>
      </c>
      <c r="N358" s="3">
        <v>388.3</v>
      </c>
      <c r="O358" s="1" t="s">
        <v>2075</v>
      </c>
      <c r="P358" s="1" t="s">
        <v>2071</v>
      </c>
      <c r="Q358" s="1" t="str">
        <f>TEXT((Data[[#This Row],[Order_Date]]), "mmm")</f>
        <v>Jan</v>
      </c>
    </row>
    <row r="359" spans="4:17" x14ac:dyDescent="0.3">
      <c r="D359" s="1" t="s">
        <v>421</v>
      </c>
      <c r="E359" s="2">
        <v>45370</v>
      </c>
      <c r="F359" s="2">
        <v>45373</v>
      </c>
      <c r="G359" s="1" t="s">
        <v>11</v>
      </c>
      <c r="H359" s="1" t="s">
        <v>23</v>
      </c>
      <c r="I359" s="1" t="s">
        <v>65</v>
      </c>
      <c r="J359" s="1" t="s">
        <v>122</v>
      </c>
      <c r="K359" s="3">
        <v>628.66999999999996</v>
      </c>
      <c r="L359" s="1">
        <v>17</v>
      </c>
      <c r="M359" s="1" t="s">
        <v>34</v>
      </c>
      <c r="N359" s="3">
        <v>148.88999999999999</v>
      </c>
      <c r="O359" s="1" t="s">
        <v>2221</v>
      </c>
      <c r="P359" s="1" t="s">
        <v>2076</v>
      </c>
      <c r="Q359" s="1" t="str">
        <f>TEXT((Data[[#This Row],[Order_Date]]), "mmm")</f>
        <v>Mar</v>
      </c>
    </row>
    <row r="360" spans="4:17" x14ac:dyDescent="0.3">
      <c r="D360" s="1" t="s">
        <v>422</v>
      </c>
      <c r="E360" s="2">
        <v>45506</v>
      </c>
      <c r="F360" s="2">
        <v>45507</v>
      </c>
      <c r="G360" s="1" t="s">
        <v>11</v>
      </c>
      <c r="H360" s="1" t="s">
        <v>23</v>
      </c>
      <c r="I360" s="1" t="s">
        <v>61</v>
      </c>
      <c r="J360" s="1" t="s">
        <v>76</v>
      </c>
      <c r="K360" s="3">
        <v>2116.52</v>
      </c>
      <c r="L360" s="1">
        <v>20</v>
      </c>
      <c r="M360" s="1" t="s">
        <v>44</v>
      </c>
      <c r="N360" s="3">
        <v>599.79999999999995</v>
      </c>
      <c r="O360" s="1" t="s">
        <v>2153</v>
      </c>
      <c r="P360" s="1" t="s">
        <v>2071</v>
      </c>
      <c r="Q360" s="1" t="str">
        <f>TEXT((Data[[#This Row],[Order_Date]]), "mmm")</f>
        <v>Aug</v>
      </c>
    </row>
    <row r="361" spans="4:17" x14ac:dyDescent="0.3">
      <c r="D361" s="1" t="s">
        <v>423</v>
      </c>
      <c r="E361" s="2">
        <v>45395</v>
      </c>
      <c r="F361" s="2">
        <v>45400</v>
      </c>
      <c r="G361" s="1" t="s">
        <v>31</v>
      </c>
      <c r="H361" s="1" t="s">
        <v>23</v>
      </c>
      <c r="I361" s="1" t="s">
        <v>78</v>
      </c>
      <c r="J361" s="1" t="s">
        <v>118</v>
      </c>
      <c r="K361" s="3">
        <v>2305.52</v>
      </c>
      <c r="L361" s="1">
        <v>7</v>
      </c>
      <c r="M361" s="1" t="s">
        <v>15</v>
      </c>
      <c r="N361" s="3">
        <v>760.68</v>
      </c>
      <c r="O361" s="1" t="s">
        <v>2120</v>
      </c>
      <c r="P361" s="1" t="s">
        <v>2071</v>
      </c>
      <c r="Q361" s="1" t="str">
        <f>TEXT((Data[[#This Row],[Order_Date]]), "mmm")</f>
        <v>Apr</v>
      </c>
    </row>
    <row r="362" spans="4:17" x14ac:dyDescent="0.3">
      <c r="D362" s="1" t="s">
        <v>424</v>
      </c>
      <c r="E362" s="2">
        <v>45293</v>
      </c>
      <c r="F362" s="2">
        <v>45293</v>
      </c>
      <c r="G362" s="1" t="s">
        <v>11</v>
      </c>
      <c r="H362" s="1" t="s">
        <v>17</v>
      </c>
      <c r="I362" s="1" t="s">
        <v>32</v>
      </c>
      <c r="J362" s="1" t="s">
        <v>33</v>
      </c>
      <c r="K362" s="3">
        <v>809.29</v>
      </c>
      <c r="L362" s="1">
        <v>3</v>
      </c>
      <c r="M362" s="1" t="s">
        <v>29</v>
      </c>
      <c r="N362" s="3">
        <v>58.69</v>
      </c>
      <c r="O362" s="1" t="s">
        <v>2226</v>
      </c>
      <c r="P362" s="1" t="s">
        <v>2071</v>
      </c>
      <c r="Q362" s="1" t="str">
        <f>TEXT((Data[[#This Row],[Order_Date]]), "mmm")</f>
        <v>Jan</v>
      </c>
    </row>
    <row r="363" spans="4:17" x14ac:dyDescent="0.3">
      <c r="D363" s="1" t="s">
        <v>425</v>
      </c>
      <c r="E363" s="2">
        <v>45423</v>
      </c>
      <c r="F363" s="2">
        <v>45426</v>
      </c>
      <c r="G363" s="1" t="s">
        <v>31</v>
      </c>
      <c r="H363" s="1" t="s">
        <v>23</v>
      </c>
      <c r="I363" s="1" t="s">
        <v>24</v>
      </c>
      <c r="J363" s="1" t="s">
        <v>93</v>
      </c>
      <c r="K363" s="3">
        <v>437.8</v>
      </c>
      <c r="L363" s="1">
        <v>6</v>
      </c>
      <c r="M363" s="1" t="s">
        <v>20</v>
      </c>
      <c r="N363" s="3">
        <v>133.82</v>
      </c>
      <c r="O363" s="1" t="s">
        <v>2131</v>
      </c>
      <c r="P363" s="1" t="s">
        <v>2071</v>
      </c>
      <c r="Q363" s="1" t="str">
        <f>TEXT((Data[[#This Row],[Order_Date]]), "mmm")</f>
        <v>May</v>
      </c>
    </row>
    <row r="364" spans="4:17" x14ac:dyDescent="0.3">
      <c r="D364" s="1" t="s">
        <v>426</v>
      </c>
      <c r="E364" s="2">
        <v>45638</v>
      </c>
      <c r="F364" s="2">
        <v>45643</v>
      </c>
      <c r="G364" s="1" t="s">
        <v>31</v>
      </c>
      <c r="H364" s="1" t="s">
        <v>12</v>
      </c>
      <c r="I364" s="1" t="s">
        <v>38</v>
      </c>
      <c r="J364" s="1" t="s">
        <v>81</v>
      </c>
      <c r="K364" s="3">
        <v>3442.17</v>
      </c>
      <c r="L364" s="1">
        <v>2</v>
      </c>
      <c r="M364" s="1" t="s">
        <v>20</v>
      </c>
      <c r="N364" s="3">
        <v>1051.93</v>
      </c>
      <c r="O364" s="1" t="s">
        <v>2207</v>
      </c>
      <c r="P364" s="1" t="s">
        <v>2076</v>
      </c>
      <c r="Q364" s="1" t="str">
        <f>TEXT((Data[[#This Row],[Order_Date]]), "mmm")</f>
        <v>Dec</v>
      </c>
    </row>
    <row r="365" spans="4:17" x14ac:dyDescent="0.3">
      <c r="D365" s="1" t="s">
        <v>427</v>
      </c>
      <c r="E365" s="2">
        <v>45379</v>
      </c>
      <c r="F365" s="2">
        <v>45384</v>
      </c>
      <c r="G365" s="1" t="s">
        <v>36</v>
      </c>
      <c r="H365" s="1" t="s">
        <v>23</v>
      </c>
      <c r="I365" s="1" t="s">
        <v>24</v>
      </c>
      <c r="J365" s="1" t="s">
        <v>150</v>
      </c>
      <c r="K365" s="3">
        <v>598.57000000000005</v>
      </c>
      <c r="L365" s="1">
        <v>11</v>
      </c>
      <c r="M365" s="1" t="s">
        <v>44</v>
      </c>
      <c r="N365" s="3">
        <v>50.37</v>
      </c>
      <c r="O365" s="1" t="s">
        <v>2251</v>
      </c>
      <c r="P365" s="1" t="s">
        <v>2076</v>
      </c>
      <c r="Q365" s="1" t="str">
        <f>TEXT((Data[[#This Row],[Order_Date]]), "mmm")</f>
        <v>Mar</v>
      </c>
    </row>
    <row r="366" spans="4:17" x14ac:dyDescent="0.3">
      <c r="D366" s="1" t="s">
        <v>428</v>
      </c>
      <c r="E366" s="2">
        <v>45525</v>
      </c>
      <c r="F366" s="2">
        <v>45529</v>
      </c>
      <c r="G366" s="1" t="s">
        <v>31</v>
      </c>
      <c r="H366" s="1" t="s">
        <v>12</v>
      </c>
      <c r="I366" s="1" t="s">
        <v>42</v>
      </c>
      <c r="J366" s="1" t="s">
        <v>43</v>
      </c>
      <c r="K366" s="3">
        <v>2683.17</v>
      </c>
      <c r="L366" s="1">
        <v>6</v>
      </c>
      <c r="M366" s="1" t="s">
        <v>20</v>
      </c>
      <c r="N366" s="3">
        <v>240.82</v>
      </c>
      <c r="O366" s="1" t="s">
        <v>2258</v>
      </c>
      <c r="P366" s="1" t="s">
        <v>2078</v>
      </c>
      <c r="Q366" s="1" t="str">
        <f>TEXT((Data[[#This Row],[Order_Date]]), "mmm")</f>
        <v>Aug</v>
      </c>
    </row>
    <row r="367" spans="4:17" x14ac:dyDescent="0.3">
      <c r="D367" s="1" t="s">
        <v>429</v>
      </c>
      <c r="E367" s="2">
        <v>45373</v>
      </c>
      <c r="F367" s="2">
        <v>45374</v>
      </c>
      <c r="G367" s="1" t="s">
        <v>31</v>
      </c>
      <c r="H367" s="1" t="s">
        <v>12</v>
      </c>
      <c r="I367" s="1" t="s">
        <v>42</v>
      </c>
      <c r="J367" s="1" t="s">
        <v>43</v>
      </c>
      <c r="K367" s="3">
        <v>929.73</v>
      </c>
      <c r="L367" s="1">
        <v>13</v>
      </c>
      <c r="M367" s="1" t="s">
        <v>34</v>
      </c>
      <c r="N367" s="3">
        <v>217.01</v>
      </c>
      <c r="O367" s="1" t="s">
        <v>2203</v>
      </c>
      <c r="P367" s="1" t="s">
        <v>2071</v>
      </c>
      <c r="Q367" s="1" t="str">
        <f>TEXT((Data[[#This Row],[Order_Date]]), "mmm")</f>
        <v>Mar</v>
      </c>
    </row>
    <row r="368" spans="4:17" x14ac:dyDescent="0.3">
      <c r="D368" s="1" t="s">
        <v>430</v>
      </c>
      <c r="E368" s="2">
        <v>45358</v>
      </c>
      <c r="F368" s="2">
        <v>45365</v>
      </c>
      <c r="G368" s="1" t="s">
        <v>31</v>
      </c>
      <c r="H368" s="1" t="s">
        <v>17</v>
      </c>
      <c r="I368" s="1" t="s">
        <v>27</v>
      </c>
      <c r="J368" s="1" t="s">
        <v>108</v>
      </c>
      <c r="K368" s="3">
        <v>422.4</v>
      </c>
      <c r="L368" s="1">
        <v>9</v>
      </c>
      <c r="M368" s="1" t="s">
        <v>15</v>
      </c>
      <c r="N368" s="3">
        <v>60.94</v>
      </c>
      <c r="O368" s="1" t="s">
        <v>2214</v>
      </c>
      <c r="P368" s="1" t="s">
        <v>2076</v>
      </c>
      <c r="Q368" s="1" t="str">
        <f>TEXT((Data[[#This Row],[Order_Date]]), "mmm")</f>
        <v>Mar</v>
      </c>
    </row>
    <row r="369" spans="4:17" x14ac:dyDescent="0.3">
      <c r="D369" s="1" t="s">
        <v>431</v>
      </c>
      <c r="E369" s="2">
        <v>45639</v>
      </c>
      <c r="F369" s="2">
        <v>45642</v>
      </c>
      <c r="G369" s="1" t="s">
        <v>36</v>
      </c>
      <c r="H369" s="1" t="s">
        <v>12</v>
      </c>
      <c r="I369" s="1" t="s">
        <v>38</v>
      </c>
      <c r="J369" s="1" t="s">
        <v>85</v>
      </c>
      <c r="K369" s="3">
        <v>2731.42</v>
      </c>
      <c r="L369" s="1">
        <v>8</v>
      </c>
      <c r="M369" s="1" t="s">
        <v>49</v>
      </c>
      <c r="N369" s="3">
        <v>419.89</v>
      </c>
      <c r="O369" s="1" t="s">
        <v>2259</v>
      </c>
      <c r="P369" s="1" t="s">
        <v>2071</v>
      </c>
      <c r="Q369" s="1" t="str">
        <f>TEXT((Data[[#This Row],[Order_Date]]), "mmm")</f>
        <v>Dec</v>
      </c>
    </row>
    <row r="370" spans="4:17" x14ac:dyDescent="0.3">
      <c r="D370" s="1" t="s">
        <v>432</v>
      </c>
      <c r="E370" s="2">
        <v>45489</v>
      </c>
      <c r="F370" s="2">
        <v>45491</v>
      </c>
      <c r="G370" s="1" t="s">
        <v>11</v>
      </c>
      <c r="H370" s="1" t="s">
        <v>17</v>
      </c>
      <c r="I370" s="1" t="s">
        <v>32</v>
      </c>
      <c r="J370" s="1" t="s">
        <v>56</v>
      </c>
      <c r="K370" s="3">
        <v>2145.88</v>
      </c>
      <c r="L370" s="1">
        <v>16</v>
      </c>
      <c r="M370" s="1" t="s">
        <v>49</v>
      </c>
      <c r="N370" s="3">
        <v>-666.99</v>
      </c>
      <c r="O370" s="1" t="s">
        <v>2206</v>
      </c>
      <c r="P370" s="1" t="s">
        <v>2076</v>
      </c>
      <c r="Q370" s="1" t="str">
        <f>TEXT((Data[[#This Row],[Order_Date]]), "mmm")</f>
        <v>Jul</v>
      </c>
    </row>
    <row r="371" spans="4:17" x14ac:dyDescent="0.3">
      <c r="D371" s="1" t="s">
        <v>433</v>
      </c>
      <c r="E371" s="2">
        <v>45543</v>
      </c>
      <c r="F371" s="2">
        <v>45548</v>
      </c>
      <c r="G371" s="1" t="s">
        <v>22</v>
      </c>
      <c r="H371" s="1" t="s">
        <v>23</v>
      </c>
      <c r="I371" s="1" t="s">
        <v>24</v>
      </c>
      <c r="J371" s="1" t="s">
        <v>25</v>
      </c>
      <c r="K371" s="3">
        <v>2150.98</v>
      </c>
      <c r="L371" s="1">
        <v>18</v>
      </c>
      <c r="M371" s="1" t="s">
        <v>15</v>
      </c>
      <c r="N371" s="3">
        <v>351.88</v>
      </c>
      <c r="O371" s="1" t="s">
        <v>2233</v>
      </c>
      <c r="P371" s="1" t="s">
        <v>2076</v>
      </c>
      <c r="Q371" s="1" t="str">
        <f>TEXT((Data[[#This Row],[Order_Date]]), "mmm")</f>
        <v>Sep</v>
      </c>
    </row>
    <row r="372" spans="4:17" x14ac:dyDescent="0.3">
      <c r="D372" s="1" t="s">
        <v>434</v>
      </c>
      <c r="E372" s="2">
        <v>45332</v>
      </c>
      <c r="F372" s="2">
        <v>45339</v>
      </c>
      <c r="G372" s="1" t="s">
        <v>31</v>
      </c>
      <c r="H372" s="1" t="s">
        <v>12</v>
      </c>
      <c r="I372" s="1" t="s">
        <v>42</v>
      </c>
      <c r="J372" s="1" t="s">
        <v>48</v>
      </c>
      <c r="K372" s="3">
        <v>3462.21</v>
      </c>
      <c r="L372" s="1">
        <v>15</v>
      </c>
      <c r="M372" s="1" t="s">
        <v>34</v>
      </c>
      <c r="N372" s="3">
        <v>296.41000000000003</v>
      </c>
      <c r="O372" s="1" t="s">
        <v>2115</v>
      </c>
      <c r="P372" s="1" t="s">
        <v>2076</v>
      </c>
      <c r="Q372" s="1" t="str">
        <f>TEXT((Data[[#This Row],[Order_Date]]), "mmm")</f>
        <v>Feb</v>
      </c>
    </row>
    <row r="373" spans="4:17" x14ac:dyDescent="0.3">
      <c r="D373" s="1" t="s">
        <v>435</v>
      </c>
      <c r="E373" s="2">
        <v>45626</v>
      </c>
      <c r="F373" s="2">
        <v>45626</v>
      </c>
      <c r="G373" s="1" t="s">
        <v>11</v>
      </c>
      <c r="H373" s="1" t="s">
        <v>23</v>
      </c>
      <c r="I373" s="1" t="s">
        <v>65</v>
      </c>
      <c r="J373" s="1" t="s">
        <v>66</v>
      </c>
      <c r="K373" s="3">
        <v>2339.2399999999998</v>
      </c>
      <c r="L373" s="1">
        <v>1</v>
      </c>
      <c r="M373" s="1" t="s">
        <v>20</v>
      </c>
      <c r="N373" s="3">
        <v>672.61</v>
      </c>
      <c r="O373" s="1" t="s">
        <v>2232</v>
      </c>
      <c r="P373" s="1" t="s">
        <v>2076</v>
      </c>
      <c r="Q373" s="1" t="str">
        <f>TEXT((Data[[#This Row],[Order_Date]]), "mmm")</f>
        <v>Nov</v>
      </c>
    </row>
    <row r="374" spans="4:17" x14ac:dyDescent="0.3">
      <c r="D374" s="1" t="s">
        <v>436</v>
      </c>
      <c r="E374" s="2">
        <v>45618</v>
      </c>
      <c r="F374" s="2">
        <v>45622</v>
      </c>
      <c r="G374" s="1" t="s">
        <v>22</v>
      </c>
      <c r="H374" s="1" t="s">
        <v>12</v>
      </c>
      <c r="I374" s="1" t="s">
        <v>42</v>
      </c>
      <c r="J374" s="1" t="s">
        <v>46</v>
      </c>
      <c r="K374" s="3">
        <v>1612.53</v>
      </c>
      <c r="L374" s="1">
        <v>2</v>
      </c>
      <c r="M374" s="1" t="s">
        <v>44</v>
      </c>
      <c r="N374" s="3">
        <v>489.07</v>
      </c>
      <c r="O374" s="1" t="s">
        <v>2167</v>
      </c>
      <c r="P374" s="1" t="s">
        <v>2071</v>
      </c>
      <c r="Q374" s="1" t="str">
        <f>TEXT((Data[[#This Row],[Order_Date]]), "mmm")</f>
        <v>Nov</v>
      </c>
    </row>
    <row r="375" spans="4:17" x14ac:dyDescent="0.3">
      <c r="D375" s="1" t="s">
        <v>437</v>
      </c>
      <c r="E375" s="2">
        <v>45609</v>
      </c>
      <c r="F375" s="2">
        <v>45616</v>
      </c>
      <c r="G375" s="1" t="s">
        <v>36</v>
      </c>
      <c r="H375" s="1" t="s">
        <v>12</v>
      </c>
      <c r="I375" s="1" t="s">
        <v>42</v>
      </c>
      <c r="J375" s="1" t="s">
        <v>48</v>
      </c>
      <c r="K375" s="3">
        <v>615.39</v>
      </c>
      <c r="L375" s="1">
        <v>8</v>
      </c>
      <c r="M375" s="1" t="s">
        <v>20</v>
      </c>
      <c r="N375" s="3">
        <v>93.79</v>
      </c>
      <c r="O375" s="1" t="s">
        <v>2260</v>
      </c>
      <c r="P375" s="1" t="s">
        <v>2078</v>
      </c>
      <c r="Q375" s="1" t="str">
        <f>TEXT((Data[[#This Row],[Order_Date]]), "mmm")</f>
        <v>Nov</v>
      </c>
    </row>
    <row r="376" spans="4:17" x14ac:dyDescent="0.3">
      <c r="D376" s="1" t="s">
        <v>438</v>
      </c>
      <c r="E376" s="2">
        <v>45441</v>
      </c>
      <c r="F376" s="2">
        <v>45446</v>
      </c>
      <c r="G376" s="1" t="s">
        <v>11</v>
      </c>
      <c r="H376" s="1" t="s">
        <v>17</v>
      </c>
      <c r="I376" s="1" t="s">
        <v>18</v>
      </c>
      <c r="J376" s="1" t="s">
        <v>54</v>
      </c>
      <c r="K376" s="3">
        <v>776.68</v>
      </c>
      <c r="L376" s="1">
        <v>14</v>
      </c>
      <c r="M376" s="1" t="s">
        <v>20</v>
      </c>
      <c r="N376" s="3">
        <v>98.08</v>
      </c>
      <c r="O376" s="1" t="s">
        <v>2087</v>
      </c>
      <c r="P376" s="1" t="s">
        <v>2076</v>
      </c>
      <c r="Q376" s="1" t="str">
        <f>TEXT((Data[[#This Row],[Order_Date]]), "mmm")</f>
        <v>May</v>
      </c>
    </row>
    <row r="377" spans="4:17" x14ac:dyDescent="0.3">
      <c r="D377" s="1" t="s">
        <v>439</v>
      </c>
      <c r="E377" s="2">
        <v>45353</v>
      </c>
      <c r="F377" s="2">
        <v>45359</v>
      </c>
      <c r="G377" s="1" t="s">
        <v>22</v>
      </c>
      <c r="H377" s="1" t="s">
        <v>23</v>
      </c>
      <c r="I377" s="1" t="s">
        <v>78</v>
      </c>
      <c r="J377" s="1" t="s">
        <v>79</v>
      </c>
      <c r="K377" s="3">
        <v>654.12</v>
      </c>
      <c r="L377" s="1">
        <v>14</v>
      </c>
      <c r="M377" s="1" t="s">
        <v>20</v>
      </c>
      <c r="N377" s="3">
        <v>214.54</v>
      </c>
      <c r="O377" s="1" t="s">
        <v>2142</v>
      </c>
      <c r="P377" s="1" t="s">
        <v>2071</v>
      </c>
      <c r="Q377" s="1" t="str">
        <f>TEXT((Data[[#This Row],[Order_Date]]), "mmm")</f>
        <v>Mar</v>
      </c>
    </row>
    <row r="378" spans="4:17" x14ac:dyDescent="0.3">
      <c r="D378" s="1" t="s">
        <v>440</v>
      </c>
      <c r="E378" s="2">
        <v>45593</v>
      </c>
      <c r="F378" s="2">
        <v>45594</v>
      </c>
      <c r="G378" s="1" t="s">
        <v>31</v>
      </c>
      <c r="H378" s="1" t="s">
        <v>23</v>
      </c>
      <c r="I378" s="1" t="s">
        <v>78</v>
      </c>
      <c r="J378" s="1" t="s">
        <v>79</v>
      </c>
      <c r="K378" s="3">
        <v>266.27</v>
      </c>
      <c r="L378" s="1">
        <v>2</v>
      </c>
      <c r="M378" s="1" t="s">
        <v>29</v>
      </c>
      <c r="N378" s="3">
        <v>88.03</v>
      </c>
      <c r="O378" s="1" t="s">
        <v>2072</v>
      </c>
      <c r="P378" s="1" t="s">
        <v>2078</v>
      </c>
      <c r="Q378" s="1" t="str">
        <f>TEXT((Data[[#This Row],[Order_Date]]), "mmm")</f>
        <v>Oct</v>
      </c>
    </row>
    <row r="379" spans="4:17" x14ac:dyDescent="0.3">
      <c r="D379" s="1" t="s">
        <v>441</v>
      </c>
      <c r="E379" s="2">
        <v>45539</v>
      </c>
      <c r="F379" s="2">
        <v>45541</v>
      </c>
      <c r="G379" s="1" t="s">
        <v>22</v>
      </c>
      <c r="H379" s="1" t="s">
        <v>12</v>
      </c>
      <c r="I379" s="1" t="s">
        <v>58</v>
      </c>
      <c r="J379" s="1" t="s">
        <v>120</v>
      </c>
      <c r="K379" s="3">
        <v>1702.77</v>
      </c>
      <c r="L379" s="1">
        <v>20</v>
      </c>
      <c r="M379" s="1" t="s">
        <v>29</v>
      </c>
      <c r="N379" s="3">
        <v>536.04999999999995</v>
      </c>
      <c r="O379" s="1" t="s">
        <v>2257</v>
      </c>
      <c r="P379" s="1" t="s">
        <v>2078</v>
      </c>
      <c r="Q379" s="1" t="str">
        <f>TEXT((Data[[#This Row],[Order_Date]]), "mmm")</f>
        <v>Sep</v>
      </c>
    </row>
    <row r="380" spans="4:17" x14ac:dyDescent="0.3">
      <c r="D380" s="1" t="s">
        <v>442</v>
      </c>
      <c r="E380" s="2">
        <v>45488</v>
      </c>
      <c r="F380" s="2">
        <v>45494</v>
      </c>
      <c r="G380" s="1" t="s">
        <v>22</v>
      </c>
      <c r="H380" s="1" t="s">
        <v>23</v>
      </c>
      <c r="I380" s="1" t="s">
        <v>65</v>
      </c>
      <c r="J380" s="1" t="s">
        <v>114</v>
      </c>
      <c r="K380" s="3">
        <v>3889.34</v>
      </c>
      <c r="L380" s="1">
        <v>15</v>
      </c>
      <c r="M380" s="1" t="s">
        <v>44</v>
      </c>
      <c r="N380" s="3">
        <v>355.7</v>
      </c>
      <c r="O380" s="1" t="s">
        <v>2261</v>
      </c>
      <c r="P380" s="1" t="s">
        <v>2076</v>
      </c>
      <c r="Q380" s="1" t="str">
        <f>TEXT((Data[[#This Row],[Order_Date]]), "mmm")</f>
        <v>Jul</v>
      </c>
    </row>
    <row r="381" spans="4:17" x14ac:dyDescent="0.3">
      <c r="D381" s="1" t="s">
        <v>443</v>
      </c>
      <c r="E381" s="2">
        <v>45554</v>
      </c>
      <c r="F381" s="2">
        <v>45558</v>
      </c>
      <c r="G381" s="1" t="s">
        <v>36</v>
      </c>
      <c r="H381" s="1" t="s">
        <v>12</v>
      </c>
      <c r="I381" s="1" t="s">
        <v>58</v>
      </c>
      <c r="J381" s="1" t="s">
        <v>120</v>
      </c>
      <c r="K381" s="3">
        <v>1036.42</v>
      </c>
      <c r="L381" s="1">
        <v>10</v>
      </c>
      <c r="M381" s="1" t="s">
        <v>15</v>
      </c>
      <c r="N381" s="3">
        <v>159.18</v>
      </c>
      <c r="O381" s="1" t="s">
        <v>2110</v>
      </c>
      <c r="P381" s="1" t="s">
        <v>2071</v>
      </c>
      <c r="Q381" s="1" t="str">
        <f>TEXT((Data[[#This Row],[Order_Date]]), "mmm")</f>
        <v>Sep</v>
      </c>
    </row>
    <row r="382" spans="4:17" x14ac:dyDescent="0.3">
      <c r="D382" s="1" t="s">
        <v>444</v>
      </c>
      <c r="E382" s="2">
        <v>45655</v>
      </c>
      <c r="F382" s="2">
        <v>45657</v>
      </c>
      <c r="G382" s="1" t="s">
        <v>36</v>
      </c>
      <c r="H382" s="1" t="s">
        <v>12</v>
      </c>
      <c r="I382" s="1" t="s">
        <v>38</v>
      </c>
      <c r="J382" s="1" t="s">
        <v>85</v>
      </c>
      <c r="K382" s="3">
        <v>2358.5500000000002</v>
      </c>
      <c r="L382" s="1">
        <v>19</v>
      </c>
      <c r="M382" s="1" t="s">
        <v>29</v>
      </c>
      <c r="N382" s="3">
        <v>784.93</v>
      </c>
      <c r="O382" s="1" t="s">
        <v>2262</v>
      </c>
      <c r="P382" s="1" t="s">
        <v>2076</v>
      </c>
      <c r="Q382" s="1" t="str">
        <f>TEXT((Data[[#This Row],[Order_Date]]), "mmm")</f>
        <v>Dec</v>
      </c>
    </row>
    <row r="383" spans="4:17" x14ac:dyDescent="0.3">
      <c r="D383" s="1" t="s">
        <v>445</v>
      </c>
      <c r="E383" s="2">
        <v>45637</v>
      </c>
      <c r="F383" s="2">
        <v>45641</v>
      </c>
      <c r="G383" s="1" t="s">
        <v>31</v>
      </c>
      <c r="H383" s="1" t="s">
        <v>17</v>
      </c>
      <c r="I383" s="1" t="s">
        <v>32</v>
      </c>
      <c r="J383" s="1" t="s">
        <v>56</v>
      </c>
      <c r="K383" s="3">
        <v>344.77</v>
      </c>
      <c r="L383" s="1">
        <v>5</v>
      </c>
      <c r="M383" s="1" t="s">
        <v>20</v>
      </c>
      <c r="N383" s="3">
        <v>86.56</v>
      </c>
      <c r="O383" s="1" t="s">
        <v>2197</v>
      </c>
      <c r="P383" s="1" t="s">
        <v>2071</v>
      </c>
      <c r="Q383" s="1" t="str">
        <f>TEXT((Data[[#This Row],[Order_Date]]), "mmm")</f>
        <v>Dec</v>
      </c>
    </row>
    <row r="384" spans="4:17" x14ac:dyDescent="0.3">
      <c r="D384" s="1" t="s">
        <v>446</v>
      </c>
      <c r="E384" s="2">
        <v>45374</v>
      </c>
      <c r="F384" s="2">
        <v>45378</v>
      </c>
      <c r="G384" s="1" t="s">
        <v>36</v>
      </c>
      <c r="H384" s="1" t="s">
        <v>17</v>
      </c>
      <c r="I384" s="1" t="s">
        <v>18</v>
      </c>
      <c r="J384" s="1" t="s">
        <v>90</v>
      </c>
      <c r="K384" s="3">
        <v>3191.34</v>
      </c>
      <c r="L384" s="1">
        <v>7</v>
      </c>
      <c r="M384" s="1" t="s">
        <v>29</v>
      </c>
      <c r="N384" s="3">
        <v>190.5</v>
      </c>
      <c r="O384" s="1" t="s">
        <v>2263</v>
      </c>
      <c r="P384" s="1" t="s">
        <v>2071</v>
      </c>
      <c r="Q384" s="1" t="str">
        <f>TEXT((Data[[#This Row],[Order_Date]]), "mmm")</f>
        <v>Mar</v>
      </c>
    </row>
    <row r="385" spans="4:17" x14ac:dyDescent="0.3">
      <c r="D385" s="1" t="s">
        <v>447</v>
      </c>
      <c r="E385" s="2">
        <v>45344</v>
      </c>
      <c r="F385" s="2">
        <v>45347</v>
      </c>
      <c r="G385" s="1" t="s">
        <v>31</v>
      </c>
      <c r="H385" s="1" t="s">
        <v>17</v>
      </c>
      <c r="I385" s="1" t="s">
        <v>32</v>
      </c>
      <c r="J385" s="1" t="s">
        <v>33</v>
      </c>
      <c r="K385" s="3">
        <v>2848.51</v>
      </c>
      <c r="L385" s="1">
        <v>2</v>
      </c>
      <c r="M385" s="1" t="s">
        <v>49</v>
      </c>
      <c r="N385" s="3">
        <v>473.61</v>
      </c>
      <c r="O385" s="1" t="s">
        <v>2187</v>
      </c>
      <c r="P385" s="1" t="s">
        <v>2078</v>
      </c>
      <c r="Q385" s="1" t="str">
        <f>TEXT((Data[[#This Row],[Order_Date]]), "mmm")</f>
        <v>Feb</v>
      </c>
    </row>
    <row r="386" spans="4:17" x14ac:dyDescent="0.3">
      <c r="D386" s="1" t="s">
        <v>448</v>
      </c>
      <c r="E386" s="2">
        <v>45642</v>
      </c>
      <c r="F386" s="2">
        <v>45647</v>
      </c>
      <c r="G386" s="1" t="s">
        <v>11</v>
      </c>
      <c r="H386" s="1" t="s">
        <v>17</v>
      </c>
      <c r="I386" s="1" t="s">
        <v>32</v>
      </c>
      <c r="J386" s="1" t="s">
        <v>33</v>
      </c>
      <c r="K386" s="3">
        <v>1011.58</v>
      </c>
      <c r="L386" s="1">
        <v>15</v>
      </c>
      <c r="M386" s="1" t="s">
        <v>44</v>
      </c>
      <c r="N386" s="3">
        <v>327.19</v>
      </c>
      <c r="O386" s="1" t="s">
        <v>2246</v>
      </c>
      <c r="P386" s="1" t="s">
        <v>2076</v>
      </c>
      <c r="Q386" s="1" t="str">
        <f>TEXT((Data[[#This Row],[Order_Date]]), "mmm")</f>
        <v>Dec</v>
      </c>
    </row>
    <row r="387" spans="4:17" x14ac:dyDescent="0.3">
      <c r="D387" s="1" t="s">
        <v>449</v>
      </c>
      <c r="E387" s="2">
        <v>45623</v>
      </c>
      <c r="F387" s="2">
        <v>45628</v>
      </c>
      <c r="G387" s="1" t="s">
        <v>22</v>
      </c>
      <c r="H387" s="1" t="s">
        <v>12</v>
      </c>
      <c r="I387" s="1" t="s">
        <v>58</v>
      </c>
      <c r="J387" s="1" t="s">
        <v>105</v>
      </c>
      <c r="K387" s="3">
        <v>1933.06</v>
      </c>
      <c r="L387" s="1">
        <v>3</v>
      </c>
      <c r="M387" s="1" t="s">
        <v>44</v>
      </c>
      <c r="N387" s="3">
        <v>654.80999999999995</v>
      </c>
      <c r="O387" s="1" t="s">
        <v>2264</v>
      </c>
      <c r="P387" s="1" t="s">
        <v>2071</v>
      </c>
      <c r="Q387" s="1" t="str">
        <f>TEXT((Data[[#This Row],[Order_Date]]), "mmm")</f>
        <v>Nov</v>
      </c>
    </row>
    <row r="388" spans="4:17" x14ac:dyDescent="0.3">
      <c r="D388" s="1" t="s">
        <v>450</v>
      </c>
      <c r="E388" s="2">
        <v>45353</v>
      </c>
      <c r="F388" s="2">
        <v>45359</v>
      </c>
      <c r="G388" s="1" t="s">
        <v>11</v>
      </c>
      <c r="H388" s="1" t="s">
        <v>23</v>
      </c>
      <c r="I388" s="1" t="s">
        <v>24</v>
      </c>
      <c r="J388" s="1" t="s">
        <v>150</v>
      </c>
      <c r="K388" s="3">
        <v>1240.9000000000001</v>
      </c>
      <c r="L388" s="1">
        <v>6</v>
      </c>
      <c r="M388" s="1" t="s">
        <v>29</v>
      </c>
      <c r="N388" s="3">
        <v>-376.99</v>
      </c>
      <c r="O388" s="1" t="s">
        <v>2243</v>
      </c>
      <c r="P388" s="1" t="s">
        <v>2078</v>
      </c>
      <c r="Q388" s="1" t="str">
        <f>TEXT((Data[[#This Row],[Order_Date]]), "mmm")</f>
        <v>Mar</v>
      </c>
    </row>
    <row r="389" spans="4:17" x14ac:dyDescent="0.3">
      <c r="D389" s="1" t="s">
        <v>451</v>
      </c>
      <c r="E389" s="2">
        <v>45530</v>
      </c>
      <c r="F389" s="2">
        <v>45532</v>
      </c>
      <c r="G389" s="1" t="s">
        <v>11</v>
      </c>
      <c r="H389" s="1" t="s">
        <v>17</v>
      </c>
      <c r="I389" s="1" t="s">
        <v>27</v>
      </c>
      <c r="J389" s="1" t="s">
        <v>28</v>
      </c>
      <c r="K389" s="3">
        <v>3151.23</v>
      </c>
      <c r="L389" s="1">
        <v>20</v>
      </c>
      <c r="M389" s="1" t="s">
        <v>15</v>
      </c>
      <c r="N389" s="3">
        <v>442.26</v>
      </c>
      <c r="O389" s="1" t="s">
        <v>2232</v>
      </c>
      <c r="P389" s="1" t="s">
        <v>2078</v>
      </c>
      <c r="Q389" s="1" t="str">
        <f>TEXT((Data[[#This Row],[Order_Date]]), "mmm")</f>
        <v>Aug</v>
      </c>
    </row>
    <row r="390" spans="4:17" x14ac:dyDescent="0.3">
      <c r="D390" s="1" t="s">
        <v>452</v>
      </c>
      <c r="E390" s="2">
        <v>45573</v>
      </c>
      <c r="F390" s="2">
        <v>45578</v>
      </c>
      <c r="G390" s="1" t="s">
        <v>11</v>
      </c>
      <c r="H390" s="1" t="s">
        <v>12</v>
      </c>
      <c r="I390" s="1" t="s">
        <v>13</v>
      </c>
      <c r="J390" s="1" t="s">
        <v>14</v>
      </c>
      <c r="K390" s="3">
        <v>3838.7</v>
      </c>
      <c r="L390" s="1">
        <v>17</v>
      </c>
      <c r="M390" s="1" t="s">
        <v>20</v>
      </c>
      <c r="N390" s="3">
        <v>1097.4000000000001</v>
      </c>
      <c r="O390" s="1" t="s">
        <v>2265</v>
      </c>
      <c r="P390" s="1" t="s">
        <v>2078</v>
      </c>
      <c r="Q390" s="1" t="str">
        <f>TEXT((Data[[#This Row],[Order_Date]]), "mmm")</f>
        <v>Oct</v>
      </c>
    </row>
    <row r="391" spans="4:17" x14ac:dyDescent="0.3">
      <c r="D391" s="1" t="s">
        <v>453</v>
      </c>
      <c r="E391" s="2">
        <v>45570</v>
      </c>
      <c r="F391" s="2">
        <v>45576</v>
      </c>
      <c r="G391" s="1" t="s">
        <v>11</v>
      </c>
      <c r="H391" s="1" t="s">
        <v>23</v>
      </c>
      <c r="I391" s="1" t="s">
        <v>78</v>
      </c>
      <c r="J391" s="1" t="s">
        <v>118</v>
      </c>
      <c r="K391" s="3">
        <v>2737.5</v>
      </c>
      <c r="L391" s="1">
        <v>11</v>
      </c>
      <c r="M391" s="1" t="s">
        <v>34</v>
      </c>
      <c r="N391" s="3">
        <v>377.97</v>
      </c>
      <c r="O391" s="1" t="s">
        <v>2114</v>
      </c>
      <c r="P391" s="1" t="s">
        <v>2078</v>
      </c>
      <c r="Q391" s="1" t="str">
        <f>TEXT((Data[[#This Row],[Order_Date]]), "mmm")</f>
        <v>Oct</v>
      </c>
    </row>
    <row r="392" spans="4:17" x14ac:dyDescent="0.3">
      <c r="D392" s="1" t="s">
        <v>454</v>
      </c>
      <c r="E392" s="2">
        <v>45608</v>
      </c>
      <c r="F392" s="2">
        <v>45615</v>
      </c>
      <c r="G392" s="1" t="s">
        <v>11</v>
      </c>
      <c r="H392" s="1" t="s">
        <v>17</v>
      </c>
      <c r="I392" s="1" t="s">
        <v>32</v>
      </c>
      <c r="J392" s="1" t="s">
        <v>33</v>
      </c>
      <c r="K392" s="3">
        <v>1921.25</v>
      </c>
      <c r="L392" s="1">
        <v>20</v>
      </c>
      <c r="M392" s="1" t="s">
        <v>29</v>
      </c>
      <c r="N392" s="3">
        <v>-236.6</v>
      </c>
      <c r="O392" s="1" t="s">
        <v>2197</v>
      </c>
      <c r="P392" s="1" t="s">
        <v>2078</v>
      </c>
      <c r="Q392" s="1" t="str">
        <f>TEXT((Data[[#This Row],[Order_Date]]), "mmm")</f>
        <v>Nov</v>
      </c>
    </row>
    <row r="393" spans="4:17" x14ac:dyDescent="0.3">
      <c r="D393" s="1" t="s">
        <v>455</v>
      </c>
      <c r="E393" s="2">
        <v>45456</v>
      </c>
      <c r="F393" s="2">
        <v>45462</v>
      </c>
      <c r="G393" s="1" t="s">
        <v>11</v>
      </c>
      <c r="H393" s="1" t="s">
        <v>23</v>
      </c>
      <c r="I393" s="1" t="s">
        <v>24</v>
      </c>
      <c r="J393" s="1" t="s">
        <v>150</v>
      </c>
      <c r="K393" s="3">
        <v>2964.91</v>
      </c>
      <c r="L393" s="1">
        <v>1</v>
      </c>
      <c r="M393" s="1" t="s">
        <v>29</v>
      </c>
      <c r="N393" s="3">
        <v>879.49</v>
      </c>
      <c r="O393" s="1" t="s">
        <v>2163</v>
      </c>
      <c r="P393" s="1" t="s">
        <v>2078</v>
      </c>
      <c r="Q393" s="1" t="str">
        <f>TEXT((Data[[#This Row],[Order_Date]]), "mmm")</f>
        <v>Jun</v>
      </c>
    </row>
    <row r="394" spans="4:17" x14ac:dyDescent="0.3">
      <c r="D394" s="1" t="s">
        <v>456</v>
      </c>
      <c r="E394" s="2">
        <v>45552</v>
      </c>
      <c r="F394" s="2">
        <v>45559</v>
      </c>
      <c r="G394" s="1" t="s">
        <v>31</v>
      </c>
      <c r="H394" s="1" t="s">
        <v>17</v>
      </c>
      <c r="I394" s="1" t="s">
        <v>27</v>
      </c>
      <c r="J394" s="1" t="s">
        <v>132</v>
      </c>
      <c r="K394" s="3">
        <v>1451.17</v>
      </c>
      <c r="L394" s="1">
        <v>3</v>
      </c>
      <c r="M394" s="1" t="s">
        <v>20</v>
      </c>
      <c r="N394" s="3">
        <v>145.43</v>
      </c>
      <c r="O394" s="1" t="s">
        <v>2157</v>
      </c>
      <c r="P394" s="1" t="s">
        <v>2071</v>
      </c>
      <c r="Q394" s="1" t="str">
        <f>TEXT((Data[[#This Row],[Order_Date]]), "mmm")</f>
        <v>Sep</v>
      </c>
    </row>
    <row r="395" spans="4:17" x14ac:dyDescent="0.3">
      <c r="D395" s="1" t="s">
        <v>457</v>
      </c>
      <c r="E395" s="2">
        <v>45567</v>
      </c>
      <c r="F395" s="2">
        <v>45567</v>
      </c>
      <c r="G395" s="1" t="s">
        <v>11</v>
      </c>
      <c r="H395" s="1" t="s">
        <v>17</v>
      </c>
      <c r="I395" s="1" t="s">
        <v>32</v>
      </c>
      <c r="J395" s="1" t="s">
        <v>56</v>
      </c>
      <c r="K395" s="3">
        <v>3493.57</v>
      </c>
      <c r="L395" s="1">
        <v>14</v>
      </c>
      <c r="M395" s="1" t="s">
        <v>20</v>
      </c>
      <c r="N395" s="3">
        <v>390.14</v>
      </c>
      <c r="O395" s="1" t="s">
        <v>2266</v>
      </c>
      <c r="P395" s="1" t="s">
        <v>2076</v>
      </c>
      <c r="Q395" s="1" t="str">
        <f>TEXT((Data[[#This Row],[Order_Date]]), "mmm")</f>
        <v>Oct</v>
      </c>
    </row>
    <row r="396" spans="4:17" x14ac:dyDescent="0.3">
      <c r="D396" s="1" t="s">
        <v>458</v>
      </c>
      <c r="E396" s="2">
        <v>45514</v>
      </c>
      <c r="F396" s="2">
        <v>45515</v>
      </c>
      <c r="G396" s="1" t="s">
        <v>22</v>
      </c>
      <c r="H396" s="1" t="s">
        <v>17</v>
      </c>
      <c r="I396" s="1" t="s">
        <v>27</v>
      </c>
      <c r="J396" s="1" t="s">
        <v>110</v>
      </c>
      <c r="K396" s="3">
        <v>392.07</v>
      </c>
      <c r="L396" s="1">
        <v>3</v>
      </c>
      <c r="M396" s="1" t="s">
        <v>20</v>
      </c>
      <c r="N396" s="3">
        <v>40.54</v>
      </c>
      <c r="O396" s="1" t="s">
        <v>2267</v>
      </c>
      <c r="P396" s="1" t="s">
        <v>2071</v>
      </c>
      <c r="Q396" s="1" t="str">
        <f>TEXT((Data[[#This Row],[Order_Date]]), "mmm")</f>
        <v>Aug</v>
      </c>
    </row>
    <row r="397" spans="4:17" x14ac:dyDescent="0.3">
      <c r="D397" s="1" t="s">
        <v>459</v>
      </c>
      <c r="E397" s="2">
        <v>45328</v>
      </c>
      <c r="F397" s="2">
        <v>45331</v>
      </c>
      <c r="G397" s="1" t="s">
        <v>36</v>
      </c>
      <c r="H397" s="1" t="s">
        <v>23</v>
      </c>
      <c r="I397" s="1" t="s">
        <v>65</v>
      </c>
      <c r="J397" s="1" t="s">
        <v>114</v>
      </c>
      <c r="K397" s="3">
        <v>2613.31</v>
      </c>
      <c r="L397" s="1">
        <v>14</v>
      </c>
      <c r="M397" s="1" t="s">
        <v>34</v>
      </c>
      <c r="N397" s="3">
        <v>143.91</v>
      </c>
      <c r="O397" s="1" t="s">
        <v>2214</v>
      </c>
      <c r="P397" s="1" t="s">
        <v>2071</v>
      </c>
      <c r="Q397" s="1" t="str">
        <f>TEXT((Data[[#This Row],[Order_Date]]), "mmm")</f>
        <v>Feb</v>
      </c>
    </row>
    <row r="398" spans="4:17" x14ac:dyDescent="0.3">
      <c r="D398" s="1" t="s">
        <v>460</v>
      </c>
      <c r="E398" s="2">
        <v>45565</v>
      </c>
      <c r="F398" s="2">
        <v>45565</v>
      </c>
      <c r="G398" s="1" t="s">
        <v>11</v>
      </c>
      <c r="H398" s="1" t="s">
        <v>12</v>
      </c>
      <c r="I398" s="1" t="s">
        <v>38</v>
      </c>
      <c r="J398" s="1" t="s">
        <v>39</v>
      </c>
      <c r="K398" s="3">
        <v>3430.94</v>
      </c>
      <c r="L398" s="1">
        <v>12</v>
      </c>
      <c r="M398" s="1" t="s">
        <v>29</v>
      </c>
      <c r="N398" s="3">
        <v>280.79000000000002</v>
      </c>
      <c r="O398" s="1" t="s">
        <v>2165</v>
      </c>
      <c r="P398" s="1" t="s">
        <v>2078</v>
      </c>
      <c r="Q398" s="1" t="str">
        <f>TEXT((Data[[#This Row],[Order_Date]]), "mmm")</f>
        <v>Sep</v>
      </c>
    </row>
    <row r="399" spans="4:17" x14ac:dyDescent="0.3">
      <c r="D399" s="1" t="s">
        <v>461</v>
      </c>
      <c r="E399" s="2">
        <v>45446</v>
      </c>
      <c r="F399" s="2">
        <v>45447</v>
      </c>
      <c r="G399" s="1" t="s">
        <v>36</v>
      </c>
      <c r="H399" s="1" t="s">
        <v>23</v>
      </c>
      <c r="I399" s="1" t="s">
        <v>65</v>
      </c>
      <c r="J399" s="1" t="s">
        <v>114</v>
      </c>
      <c r="K399" s="3">
        <v>3332.96</v>
      </c>
      <c r="L399" s="1">
        <v>1</v>
      </c>
      <c r="M399" s="1" t="s">
        <v>49</v>
      </c>
      <c r="N399" s="3">
        <v>322.95</v>
      </c>
      <c r="O399" s="1" t="s">
        <v>2125</v>
      </c>
      <c r="P399" s="1" t="s">
        <v>2076</v>
      </c>
      <c r="Q399" s="1" t="str">
        <f>TEXT((Data[[#This Row],[Order_Date]]), "mmm")</f>
        <v>Jun</v>
      </c>
    </row>
    <row r="400" spans="4:17" x14ac:dyDescent="0.3">
      <c r="D400" s="1" t="s">
        <v>462</v>
      </c>
      <c r="E400" s="2">
        <v>45492</v>
      </c>
      <c r="F400" s="2">
        <v>45496</v>
      </c>
      <c r="G400" s="1" t="s">
        <v>22</v>
      </c>
      <c r="H400" s="1" t="s">
        <v>23</v>
      </c>
      <c r="I400" s="1" t="s">
        <v>24</v>
      </c>
      <c r="J400" s="1" t="s">
        <v>25</v>
      </c>
      <c r="K400" s="3">
        <v>2325.7199999999998</v>
      </c>
      <c r="L400" s="1">
        <v>18</v>
      </c>
      <c r="M400" s="1" t="s">
        <v>44</v>
      </c>
      <c r="N400" s="3">
        <v>-202.27</v>
      </c>
      <c r="O400" s="1" t="s">
        <v>2268</v>
      </c>
      <c r="P400" s="1" t="s">
        <v>2071</v>
      </c>
      <c r="Q400" s="1" t="str">
        <f>TEXT((Data[[#This Row],[Order_Date]]), "mmm")</f>
        <v>Jul</v>
      </c>
    </row>
    <row r="401" spans="4:17" x14ac:dyDescent="0.3">
      <c r="D401" s="1" t="s">
        <v>463</v>
      </c>
      <c r="E401" s="2">
        <v>45597</v>
      </c>
      <c r="F401" s="2">
        <v>45603</v>
      </c>
      <c r="G401" s="1" t="s">
        <v>11</v>
      </c>
      <c r="H401" s="1" t="s">
        <v>23</v>
      </c>
      <c r="I401" s="1" t="s">
        <v>78</v>
      </c>
      <c r="J401" s="1" t="s">
        <v>79</v>
      </c>
      <c r="K401" s="3">
        <v>1044.01</v>
      </c>
      <c r="L401" s="1">
        <v>17</v>
      </c>
      <c r="M401" s="1" t="s">
        <v>44</v>
      </c>
      <c r="N401" s="3">
        <v>102.61</v>
      </c>
      <c r="O401" s="1" t="s">
        <v>2157</v>
      </c>
      <c r="P401" s="1" t="s">
        <v>2071</v>
      </c>
      <c r="Q401" s="1" t="str">
        <f>TEXT((Data[[#This Row],[Order_Date]]), "mmm")</f>
        <v>Nov</v>
      </c>
    </row>
    <row r="402" spans="4:17" x14ac:dyDescent="0.3">
      <c r="D402" s="1" t="s">
        <v>464</v>
      </c>
      <c r="E402" s="2">
        <v>45421</v>
      </c>
      <c r="F402" s="2">
        <v>45424</v>
      </c>
      <c r="G402" s="1" t="s">
        <v>11</v>
      </c>
      <c r="H402" s="1" t="s">
        <v>17</v>
      </c>
      <c r="I402" s="1" t="s">
        <v>32</v>
      </c>
      <c r="J402" s="1" t="s">
        <v>56</v>
      </c>
      <c r="K402" s="3">
        <v>3442.7</v>
      </c>
      <c r="L402" s="1">
        <v>18</v>
      </c>
      <c r="M402" s="1" t="s">
        <v>49</v>
      </c>
      <c r="N402" s="3">
        <v>-837.96</v>
      </c>
      <c r="O402" s="1" t="s">
        <v>2144</v>
      </c>
      <c r="P402" s="1" t="s">
        <v>2071</v>
      </c>
      <c r="Q402" s="1" t="str">
        <f>TEXT((Data[[#This Row],[Order_Date]]), "mmm")</f>
        <v>May</v>
      </c>
    </row>
    <row r="403" spans="4:17" x14ac:dyDescent="0.3">
      <c r="D403" s="1" t="s">
        <v>465</v>
      </c>
      <c r="E403" s="2">
        <v>45635</v>
      </c>
      <c r="F403" s="2">
        <v>45636</v>
      </c>
      <c r="G403" s="1" t="s">
        <v>36</v>
      </c>
      <c r="H403" s="1" t="s">
        <v>17</v>
      </c>
      <c r="I403" s="1" t="s">
        <v>18</v>
      </c>
      <c r="J403" s="1" t="s">
        <v>90</v>
      </c>
      <c r="K403" s="3">
        <v>2427.23</v>
      </c>
      <c r="L403" s="1">
        <v>11</v>
      </c>
      <c r="M403" s="1" t="s">
        <v>34</v>
      </c>
      <c r="N403" s="3">
        <v>214.72</v>
      </c>
      <c r="O403" s="1" t="s">
        <v>2133</v>
      </c>
      <c r="P403" s="1" t="s">
        <v>2078</v>
      </c>
      <c r="Q403" s="1" t="str">
        <f>TEXT((Data[[#This Row],[Order_Date]]), "mmm")</f>
        <v>Dec</v>
      </c>
    </row>
    <row r="404" spans="4:17" x14ac:dyDescent="0.3">
      <c r="D404" s="1" t="s">
        <v>466</v>
      </c>
      <c r="E404" s="2">
        <v>45343</v>
      </c>
      <c r="F404" s="2">
        <v>45347</v>
      </c>
      <c r="G404" s="1" t="s">
        <v>11</v>
      </c>
      <c r="H404" s="1" t="s">
        <v>17</v>
      </c>
      <c r="I404" s="1" t="s">
        <v>27</v>
      </c>
      <c r="J404" s="1" t="s">
        <v>108</v>
      </c>
      <c r="K404" s="3">
        <v>1939.92</v>
      </c>
      <c r="L404" s="1">
        <v>20</v>
      </c>
      <c r="M404" s="1" t="s">
        <v>15</v>
      </c>
      <c r="N404" s="3">
        <v>274.89</v>
      </c>
      <c r="O404" s="1" t="s">
        <v>2240</v>
      </c>
      <c r="P404" s="1" t="s">
        <v>2076</v>
      </c>
      <c r="Q404" s="1" t="str">
        <f>TEXT((Data[[#This Row],[Order_Date]]), "mmm")</f>
        <v>Feb</v>
      </c>
    </row>
    <row r="405" spans="4:17" x14ac:dyDescent="0.3">
      <c r="D405" s="1" t="s">
        <v>467</v>
      </c>
      <c r="E405" s="2">
        <v>45581</v>
      </c>
      <c r="F405" s="2">
        <v>45586</v>
      </c>
      <c r="G405" s="1" t="s">
        <v>36</v>
      </c>
      <c r="H405" s="1" t="s">
        <v>23</v>
      </c>
      <c r="I405" s="1" t="s">
        <v>78</v>
      </c>
      <c r="J405" s="1" t="s">
        <v>118</v>
      </c>
      <c r="K405" s="3">
        <v>1424.56</v>
      </c>
      <c r="L405" s="1">
        <v>8</v>
      </c>
      <c r="M405" s="1" t="s">
        <v>15</v>
      </c>
      <c r="N405" s="3">
        <v>387.4</v>
      </c>
      <c r="O405" s="1" t="s">
        <v>2160</v>
      </c>
      <c r="P405" s="1" t="s">
        <v>2076</v>
      </c>
      <c r="Q405" s="1" t="str">
        <f>TEXT((Data[[#This Row],[Order_Date]]), "mmm")</f>
        <v>Oct</v>
      </c>
    </row>
    <row r="406" spans="4:17" x14ac:dyDescent="0.3">
      <c r="D406" s="1" t="s">
        <v>468</v>
      </c>
      <c r="E406" s="2">
        <v>45476</v>
      </c>
      <c r="F406" s="2">
        <v>45478</v>
      </c>
      <c r="G406" s="1" t="s">
        <v>36</v>
      </c>
      <c r="H406" s="1" t="s">
        <v>23</v>
      </c>
      <c r="I406" s="1" t="s">
        <v>65</v>
      </c>
      <c r="J406" s="1" t="s">
        <v>114</v>
      </c>
      <c r="K406" s="3">
        <v>1595.28</v>
      </c>
      <c r="L406" s="1">
        <v>10</v>
      </c>
      <c r="M406" s="1" t="s">
        <v>49</v>
      </c>
      <c r="N406" s="3">
        <v>343.79</v>
      </c>
      <c r="O406" s="1" t="s">
        <v>2226</v>
      </c>
      <c r="P406" s="1" t="s">
        <v>2076</v>
      </c>
      <c r="Q406" s="1" t="str">
        <f>TEXT((Data[[#This Row],[Order_Date]]), "mmm")</f>
        <v>Jul</v>
      </c>
    </row>
    <row r="407" spans="4:17" x14ac:dyDescent="0.3">
      <c r="D407" s="1" t="s">
        <v>469</v>
      </c>
      <c r="E407" s="2">
        <v>45602</v>
      </c>
      <c r="F407" s="2">
        <v>45603</v>
      </c>
      <c r="G407" s="1" t="s">
        <v>36</v>
      </c>
      <c r="H407" s="1" t="s">
        <v>17</v>
      </c>
      <c r="I407" s="1" t="s">
        <v>32</v>
      </c>
      <c r="J407" s="1" t="s">
        <v>56</v>
      </c>
      <c r="K407" s="3">
        <v>1237.1300000000001</v>
      </c>
      <c r="L407" s="1">
        <v>3</v>
      </c>
      <c r="M407" s="1" t="s">
        <v>15</v>
      </c>
      <c r="N407" s="3">
        <v>-89.84</v>
      </c>
      <c r="O407" s="1" t="s">
        <v>2269</v>
      </c>
      <c r="P407" s="1" t="s">
        <v>2071</v>
      </c>
      <c r="Q407" s="1" t="str">
        <f>TEXT((Data[[#This Row],[Order_Date]]), "mmm")</f>
        <v>Nov</v>
      </c>
    </row>
    <row r="408" spans="4:17" x14ac:dyDescent="0.3">
      <c r="D408" s="1" t="s">
        <v>470</v>
      </c>
      <c r="E408" s="2">
        <v>45551</v>
      </c>
      <c r="F408" s="2">
        <v>45551</v>
      </c>
      <c r="G408" s="1" t="s">
        <v>31</v>
      </c>
      <c r="H408" s="1" t="s">
        <v>12</v>
      </c>
      <c r="I408" s="1" t="s">
        <v>58</v>
      </c>
      <c r="J408" s="1" t="s">
        <v>120</v>
      </c>
      <c r="K408" s="3">
        <v>2318.48</v>
      </c>
      <c r="L408" s="1">
        <v>18</v>
      </c>
      <c r="M408" s="1" t="s">
        <v>29</v>
      </c>
      <c r="N408" s="3">
        <v>444.29</v>
      </c>
      <c r="O408" s="1" t="s">
        <v>2133</v>
      </c>
      <c r="P408" s="1" t="s">
        <v>2071</v>
      </c>
      <c r="Q408" s="1" t="str">
        <f>TEXT((Data[[#This Row],[Order_Date]]), "mmm")</f>
        <v>Sep</v>
      </c>
    </row>
    <row r="409" spans="4:17" x14ac:dyDescent="0.3">
      <c r="D409" s="1" t="s">
        <v>471</v>
      </c>
      <c r="E409" s="2">
        <v>45479</v>
      </c>
      <c r="F409" s="2">
        <v>45485</v>
      </c>
      <c r="G409" s="1" t="s">
        <v>22</v>
      </c>
      <c r="H409" s="1" t="s">
        <v>12</v>
      </c>
      <c r="I409" s="1" t="s">
        <v>13</v>
      </c>
      <c r="J409" s="1" t="s">
        <v>14</v>
      </c>
      <c r="K409" s="3">
        <v>1992.63</v>
      </c>
      <c r="L409" s="1">
        <v>17</v>
      </c>
      <c r="M409" s="1" t="s">
        <v>20</v>
      </c>
      <c r="N409" s="3">
        <v>336.83</v>
      </c>
      <c r="O409" s="1" t="s">
        <v>2185</v>
      </c>
      <c r="P409" s="1" t="s">
        <v>2078</v>
      </c>
      <c r="Q409" s="1" t="str">
        <f>TEXT((Data[[#This Row],[Order_Date]]), "mmm")</f>
        <v>Jul</v>
      </c>
    </row>
    <row r="410" spans="4:17" x14ac:dyDescent="0.3">
      <c r="D410" s="1" t="s">
        <v>472</v>
      </c>
      <c r="E410" s="2">
        <v>45631</v>
      </c>
      <c r="F410" s="2">
        <v>45634</v>
      </c>
      <c r="G410" s="1" t="s">
        <v>22</v>
      </c>
      <c r="H410" s="1" t="s">
        <v>12</v>
      </c>
      <c r="I410" s="1" t="s">
        <v>58</v>
      </c>
      <c r="J410" s="1" t="s">
        <v>105</v>
      </c>
      <c r="K410" s="3">
        <v>847.08</v>
      </c>
      <c r="L410" s="1">
        <v>19</v>
      </c>
      <c r="M410" s="1" t="s">
        <v>29</v>
      </c>
      <c r="N410" s="3">
        <v>209.93</v>
      </c>
      <c r="O410" s="1" t="s">
        <v>2198</v>
      </c>
      <c r="P410" s="1" t="s">
        <v>2071</v>
      </c>
      <c r="Q410" s="1" t="str">
        <f>TEXT((Data[[#This Row],[Order_Date]]), "mmm")</f>
        <v>Dec</v>
      </c>
    </row>
    <row r="411" spans="4:17" x14ac:dyDescent="0.3">
      <c r="D411" s="1" t="s">
        <v>473</v>
      </c>
      <c r="E411" s="2">
        <v>45539</v>
      </c>
      <c r="F411" s="2">
        <v>45544</v>
      </c>
      <c r="G411" s="1" t="s">
        <v>11</v>
      </c>
      <c r="H411" s="1" t="s">
        <v>17</v>
      </c>
      <c r="I411" s="1" t="s">
        <v>27</v>
      </c>
      <c r="J411" s="1" t="s">
        <v>132</v>
      </c>
      <c r="K411" s="3">
        <v>485.73</v>
      </c>
      <c r="L411" s="1">
        <v>12</v>
      </c>
      <c r="M411" s="1" t="s">
        <v>44</v>
      </c>
      <c r="N411" s="3">
        <v>30.52</v>
      </c>
      <c r="O411" s="1" t="s">
        <v>2270</v>
      </c>
      <c r="P411" s="1" t="s">
        <v>2076</v>
      </c>
      <c r="Q411" s="1" t="str">
        <f>TEXT((Data[[#This Row],[Order_Date]]), "mmm")</f>
        <v>Sep</v>
      </c>
    </row>
    <row r="412" spans="4:17" x14ac:dyDescent="0.3">
      <c r="D412" s="1" t="s">
        <v>474</v>
      </c>
      <c r="E412" s="2">
        <v>45476</v>
      </c>
      <c r="F412" s="2">
        <v>45482</v>
      </c>
      <c r="G412" s="1" t="s">
        <v>31</v>
      </c>
      <c r="H412" s="1" t="s">
        <v>23</v>
      </c>
      <c r="I412" s="1" t="s">
        <v>61</v>
      </c>
      <c r="J412" s="1" t="s">
        <v>76</v>
      </c>
      <c r="K412" s="3">
        <v>3927.21</v>
      </c>
      <c r="L412" s="1">
        <v>11</v>
      </c>
      <c r="M412" s="1" t="s">
        <v>20</v>
      </c>
      <c r="N412" s="3">
        <v>1025.48</v>
      </c>
      <c r="O412" s="1" t="s">
        <v>2087</v>
      </c>
      <c r="P412" s="1" t="s">
        <v>2076</v>
      </c>
      <c r="Q412" s="1" t="str">
        <f>TEXT((Data[[#This Row],[Order_Date]]), "mmm")</f>
        <v>Jul</v>
      </c>
    </row>
    <row r="413" spans="4:17" x14ac:dyDescent="0.3">
      <c r="D413" s="1" t="s">
        <v>475</v>
      </c>
      <c r="E413" s="2">
        <v>45432</v>
      </c>
      <c r="F413" s="2">
        <v>45436</v>
      </c>
      <c r="G413" s="1" t="s">
        <v>22</v>
      </c>
      <c r="H413" s="1" t="s">
        <v>23</v>
      </c>
      <c r="I413" s="1" t="s">
        <v>65</v>
      </c>
      <c r="J413" s="1" t="s">
        <v>114</v>
      </c>
      <c r="K413" s="3">
        <v>2453.8000000000002</v>
      </c>
      <c r="L413" s="1">
        <v>3</v>
      </c>
      <c r="M413" s="1" t="s">
        <v>29</v>
      </c>
      <c r="N413" s="3">
        <v>307.89</v>
      </c>
      <c r="O413" s="1" t="s">
        <v>2219</v>
      </c>
      <c r="P413" s="1" t="s">
        <v>2076</v>
      </c>
      <c r="Q413" s="1" t="str">
        <f>TEXT((Data[[#This Row],[Order_Date]]), "mmm")</f>
        <v>May</v>
      </c>
    </row>
    <row r="414" spans="4:17" x14ac:dyDescent="0.3">
      <c r="D414" s="1" t="s">
        <v>476</v>
      </c>
      <c r="E414" s="2">
        <v>45406</v>
      </c>
      <c r="F414" s="2">
        <v>45412</v>
      </c>
      <c r="G414" s="1" t="s">
        <v>36</v>
      </c>
      <c r="H414" s="1" t="s">
        <v>23</v>
      </c>
      <c r="I414" s="1" t="s">
        <v>65</v>
      </c>
      <c r="J414" s="1" t="s">
        <v>114</v>
      </c>
      <c r="K414" s="3">
        <v>3576.89</v>
      </c>
      <c r="L414" s="1">
        <v>1</v>
      </c>
      <c r="M414" s="1" t="s">
        <v>29</v>
      </c>
      <c r="N414" s="3">
        <v>1125.33</v>
      </c>
      <c r="O414" s="1" t="s">
        <v>2271</v>
      </c>
      <c r="P414" s="1" t="s">
        <v>2071</v>
      </c>
      <c r="Q414" s="1" t="str">
        <f>TEXT((Data[[#This Row],[Order_Date]]), "mmm")</f>
        <v>Apr</v>
      </c>
    </row>
    <row r="415" spans="4:17" x14ac:dyDescent="0.3">
      <c r="D415" s="1" t="s">
        <v>477</v>
      </c>
      <c r="E415" s="2">
        <v>45409</v>
      </c>
      <c r="F415" s="2">
        <v>45410</v>
      </c>
      <c r="G415" s="1" t="s">
        <v>36</v>
      </c>
      <c r="H415" s="1" t="s">
        <v>17</v>
      </c>
      <c r="I415" s="1" t="s">
        <v>18</v>
      </c>
      <c r="J415" s="1" t="s">
        <v>19</v>
      </c>
      <c r="K415" s="3">
        <v>840.09</v>
      </c>
      <c r="L415" s="1">
        <v>20</v>
      </c>
      <c r="M415" s="1" t="s">
        <v>15</v>
      </c>
      <c r="N415" s="3">
        <v>247.9</v>
      </c>
      <c r="O415" s="1" t="s">
        <v>2272</v>
      </c>
      <c r="P415" s="1" t="s">
        <v>2071</v>
      </c>
      <c r="Q415" s="1" t="str">
        <f>TEXT((Data[[#This Row],[Order_Date]]), "mmm")</f>
        <v>Apr</v>
      </c>
    </row>
    <row r="416" spans="4:17" x14ac:dyDescent="0.3">
      <c r="D416" s="1" t="s">
        <v>478</v>
      </c>
      <c r="E416" s="2">
        <v>45504</v>
      </c>
      <c r="F416" s="2">
        <v>45509</v>
      </c>
      <c r="G416" s="1" t="s">
        <v>11</v>
      </c>
      <c r="H416" s="1" t="s">
        <v>23</v>
      </c>
      <c r="I416" s="1" t="s">
        <v>65</v>
      </c>
      <c r="J416" s="1" t="s">
        <v>114</v>
      </c>
      <c r="K416" s="3">
        <v>1040.1400000000001</v>
      </c>
      <c r="L416" s="1">
        <v>6</v>
      </c>
      <c r="M416" s="1" t="s">
        <v>15</v>
      </c>
      <c r="N416" s="3">
        <v>-312.05</v>
      </c>
      <c r="O416" s="1" t="s">
        <v>2246</v>
      </c>
      <c r="P416" s="1" t="s">
        <v>2071</v>
      </c>
      <c r="Q416" s="1" t="str">
        <f>TEXT((Data[[#This Row],[Order_Date]]), "mmm")</f>
        <v>Jul</v>
      </c>
    </row>
    <row r="417" spans="4:17" x14ac:dyDescent="0.3">
      <c r="D417" s="1" t="s">
        <v>479</v>
      </c>
      <c r="E417" s="2">
        <v>45314</v>
      </c>
      <c r="F417" s="2">
        <v>45316</v>
      </c>
      <c r="G417" s="1" t="s">
        <v>22</v>
      </c>
      <c r="H417" s="1" t="s">
        <v>17</v>
      </c>
      <c r="I417" s="1" t="s">
        <v>32</v>
      </c>
      <c r="J417" s="1" t="s">
        <v>56</v>
      </c>
      <c r="K417" s="3">
        <v>3590.49</v>
      </c>
      <c r="L417" s="1">
        <v>5</v>
      </c>
      <c r="M417" s="1" t="s">
        <v>20</v>
      </c>
      <c r="N417" s="3">
        <v>358.7</v>
      </c>
      <c r="O417" s="1" t="s">
        <v>2092</v>
      </c>
      <c r="P417" s="1" t="s">
        <v>2076</v>
      </c>
      <c r="Q417" s="1" t="str">
        <f>TEXT((Data[[#This Row],[Order_Date]]), "mmm")</f>
        <v>Jan</v>
      </c>
    </row>
    <row r="418" spans="4:17" x14ac:dyDescent="0.3">
      <c r="D418" s="1" t="s">
        <v>480</v>
      </c>
      <c r="E418" s="2">
        <v>45556</v>
      </c>
      <c r="F418" s="2">
        <v>45562</v>
      </c>
      <c r="G418" s="1" t="s">
        <v>11</v>
      </c>
      <c r="H418" s="1" t="s">
        <v>12</v>
      </c>
      <c r="I418" s="1" t="s">
        <v>13</v>
      </c>
      <c r="J418" s="1" t="s">
        <v>51</v>
      </c>
      <c r="K418" s="3">
        <v>1062.23</v>
      </c>
      <c r="L418" s="1">
        <v>20</v>
      </c>
      <c r="M418" s="1" t="s">
        <v>49</v>
      </c>
      <c r="N418" s="3">
        <v>329.49</v>
      </c>
      <c r="O418" s="1" t="s">
        <v>2273</v>
      </c>
      <c r="P418" s="1" t="s">
        <v>2071</v>
      </c>
      <c r="Q418" s="1" t="str">
        <f>TEXT((Data[[#This Row],[Order_Date]]), "mmm")</f>
        <v>Sep</v>
      </c>
    </row>
    <row r="419" spans="4:17" x14ac:dyDescent="0.3">
      <c r="D419" s="1" t="s">
        <v>481</v>
      </c>
      <c r="E419" s="2">
        <v>45502</v>
      </c>
      <c r="F419" s="2">
        <v>45504</v>
      </c>
      <c r="G419" s="1" t="s">
        <v>22</v>
      </c>
      <c r="H419" s="1" t="s">
        <v>12</v>
      </c>
      <c r="I419" s="1" t="s">
        <v>13</v>
      </c>
      <c r="J419" s="1" t="s">
        <v>14</v>
      </c>
      <c r="K419" s="3">
        <v>2965.7</v>
      </c>
      <c r="L419" s="1">
        <v>11</v>
      </c>
      <c r="M419" s="1" t="s">
        <v>49</v>
      </c>
      <c r="N419" s="3">
        <v>-679.03</v>
      </c>
      <c r="O419" s="1" t="s">
        <v>2274</v>
      </c>
      <c r="P419" s="1" t="s">
        <v>2071</v>
      </c>
      <c r="Q419" s="1" t="str">
        <f>TEXT((Data[[#This Row],[Order_Date]]), "mmm")</f>
        <v>Jul</v>
      </c>
    </row>
    <row r="420" spans="4:17" x14ac:dyDescent="0.3">
      <c r="D420" s="1" t="s">
        <v>482</v>
      </c>
      <c r="E420" s="2">
        <v>45485</v>
      </c>
      <c r="F420" s="2">
        <v>45491</v>
      </c>
      <c r="G420" s="1" t="s">
        <v>22</v>
      </c>
      <c r="H420" s="1" t="s">
        <v>17</v>
      </c>
      <c r="I420" s="1" t="s">
        <v>18</v>
      </c>
      <c r="J420" s="1" t="s">
        <v>19</v>
      </c>
      <c r="K420" s="3">
        <v>2210.17</v>
      </c>
      <c r="L420" s="1">
        <v>17</v>
      </c>
      <c r="M420" s="1" t="s">
        <v>15</v>
      </c>
      <c r="N420" s="3">
        <v>-388.85</v>
      </c>
      <c r="O420" s="1" t="s">
        <v>2202</v>
      </c>
      <c r="P420" s="1" t="s">
        <v>2078</v>
      </c>
      <c r="Q420" s="1" t="str">
        <f>TEXT((Data[[#This Row],[Order_Date]]), "mmm")</f>
        <v>Jul</v>
      </c>
    </row>
    <row r="421" spans="4:17" x14ac:dyDescent="0.3">
      <c r="D421" s="1" t="s">
        <v>483</v>
      </c>
      <c r="E421" s="2">
        <v>45341</v>
      </c>
      <c r="F421" s="2">
        <v>45343</v>
      </c>
      <c r="G421" s="1" t="s">
        <v>31</v>
      </c>
      <c r="H421" s="1" t="s">
        <v>12</v>
      </c>
      <c r="I421" s="1" t="s">
        <v>38</v>
      </c>
      <c r="J421" s="1" t="s">
        <v>39</v>
      </c>
      <c r="K421" s="3">
        <v>2137.48</v>
      </c>
      <c r="L421" s="1">
        <v>4</v>
      </c>
      <c r="M421" s="1" t="s">
        <v>20</v>
      </c>
      <c r="N421" s="3">
        <v>-416.11</v>
      </c>
      <c r="O421" s="1" t="s">
        <v>2163</v>
      </c>
      <c r="P421" s="1" t="s">
        <v>2076</v>
      </c>
      <c r="Q421" s="1" t="str">
        <f>TEXT((Data[[#This Row],[Order_Date]]), "mmm")</f>
        <v>Feb</v>
      </c>
    </row>
    <row r="422" spans="4:17" x14ac:dyDescent="0.3">
      <c r="D422" s="1" t="s">
        <v>484</v>
      </c>
      <c r="E422" s="2">
        <v>45600</v>
      </c>
      <c r="F422" s="2">
        <v>45600</v>
      </c>
      <c r="G422" s="1" t="s">
        <v>31</v>
      </c>
      <c r="H422" s="1" t="s">
        <v>12</v>
      </c>
      <c r="I422" s="1" t="s">
        <v>42</v>
      </c>
      <c r="J422" s="1" t="s">
        <v>46</v>
      </c>
      <c r="K422" s="3">
        <v>3530.59</v>
      </c>
      <c r="L422" s="1">
        <v>17</v>
      </c>
      <c r="M422" s="1" t="s">
        <v>49</v>
      </c>
      <c r="N422" s="3">
        <v>419.6</v>
      </c>
      <c r="O422" s="1" t="s">
        <v>2275</v>
      </c>
      <c r="P422" s="1" t="s">
        <v>2071</v>
      </c>
      <c r="Q422" s="1" t="str">
        <f>TEXT((Data[[#This Row],[Order_Date]]), "mmm")</f>
        <v>Nov</v>
      </c>
    </row>
    <row r="423" spans="4:17" x14ac:dyDescent="0.3">
      <c r="D423" s="1" t="s">
        <v>485</v>
      </c>
      <c r="E423" s="2">
        <v>45487</v>
      </c>
      <c r="F423" s="2">
        <v>45492</v>
      </c>
      <c r="G423" s="1" t="s">
        <v>11</v>
      </c>
      <c r="H423" s="1" t="s">
        <v>23</v>
      </c>
      <c r="I423" s="1" t="s">
        <v>78</v>
      </c>
      <c r="J423" s="1" t="s">
        <v>79</v>
      </c>
      <c r="K423" s="3">
        <v>2039.28</v>
      </c>
      <c r="L423" s="1">
        <v>8</v>
      </c>
      <c r="M423" s="1" t="s">
        <v>20</v>
      </c>
      <c r="N423" s="3">
        <v>275.26</v>
      </c>
      <c r="O423" s="1" t="s">
        <v>2276</v>
      </c>
      <c r="P423" s="1" t="s">
        <v>2071</v>
      </c>
      <c r="Q423" s="1" t="str">
        <f>TEXT((Data[[#This Row],[Order_Date]]), "mmm")</f>
        <v>Jul</v>
      </c>
    </row>
    <row r="424" spans="4:17" x14ac:dyDescent="0.3">
      <c r="D424" s="1" t="s">
        <v>486</v>
      </c>
      <c r="E424" s="2">
        <v>45501</v>
      </c>
      <c r="F424" s="2">
        <v>45505</v>
      </c>
      <c r="G424" s="1" t="s">
        <v>22</v>
      </c>
      <c r="H424" s="1" t="s">
        <v>17</v>
      </c>
      <c r="I424" s="1" t="s">
        <v>32</v>
      </c>
      <c r="J424" s="1" t="s">
        <v>56</v>
      </c>
      <c r="K424" s="3">
        <v>2417.4499999999998</v>
      </c>
      <c r="L424" s="1">
        <v>4</v>
      </c>
      <c r="M424" s="1" t="s">
        <v>29</v>
      </c>
      <c r="N424" s="3">
        <v>126.09</v>
      </c>
      <c r="O424" s="1" t="s">
        <v>2081</v>
      </c>
      <c r="P424" s="1" t="s">
        <v>2078</v>
      </c>
      <c r="Q424" s="1" t="str">
        <f>TEXT((Data[[#This Row],[Order_Date]]), "mmm")</f>
        <v>Jul</v>
      </c>
    </row>
    <row r="425" spans="4:17" x14ac:dyDescent="0.3">
      <c r="D425" s="1" t="s">
        <v>487</v>
      </c>
      <c r="E425" s="2">
        <v>45644</v>
      </c>
      <c r="F425" s="2">
        <v>45649</v>
      </c>
      <c r="G425" s="1" t="s">
        <v>31</v>
      </c>
      <c r="H425" s="1" t="s">
        <v>23</v>
      </c>
      <c r="I425" s="1" t="s">
        <v>61</v>
      </c>
      <c r="J425" s="1" t="s">
        <v>76</v>
      </c>
      <c r="K425" s="3">
        <v>1847.77</v>
      </c>
      <c r="L425" s="1">
        <v>19</v>
      </c>
      <c r="M425" s="1" t="s">
        <v>34</v>
      </c>
      <c r="N425" s="3">
        <v>237.24</v>
      </c>
      <c r="O425" s="1" t="s">
        <v>2162</v>
      </c>
      <c r="P425" s="1" t="s">
        <v>2071</v>
      </c>
      <c r="Q425" s="1" t="str">
        <f>TEXT((Data[[#This Row],[Order_Date]]), "mmm")</f>
        <v>Dec</v>
      </c>
    </row>
    <row r="426" spans="4:17" x14ac:dyDescent="0.3">
      <c r="D426" s="1" t="s">
        <v>488</v>
      </c>
      <c r="E426" s="2">
        <v>45581</v>
      </c>
      <c r="F426" s="2">
        <v>45586</v>
      </c>
      <c r="G426" s="1" t="s">
        <v>36</v>
      </c>
      <c r="H426" s="1" t="s">
        <v>12</v>
      </c>
      <c r="I426" s="1" t="s">
        <v>42</v>
      </c>
      <c r="J426" s="1" t="s">
        <v>72</v>
      </c>
      <c r="K426" s="3">
        <v>1799.61</v>
      </c>
      <c r="L426" s="1">
        <v>18</v>
      </c>
      <c r="M426" s="1" t="s">
        <v>49</v>
      </c>
      <c r="N426" s="3">
        <v>186.47</v>
      </c>
      <c r="O426" s="1" t="s">
        <v>2216</v>
      </c>
      <c r="P426" s="1" t="s">
        <v>2071</v>
      </c>
      <c r="Q426" s="1" t="str">
        <f>TEXT((Data[[#This Row],[Order_Date]]), "mmm")</f>
        <v>Oct</v>
      </c>
    </row>
    <row r="427" spans="4:17" x14ac:dyDescent="0.3">
      <c r="D427" s="1" t="s">
        <v>489</v>
      </c>
      <c r="E427" s="2">
        <v>45539</v>
      </c>
      <c r="F427" s="2">
        <v>45543</v>
      </c>
      <c r="G427" s="1" t="s">
        <v>36</v>
      </c>
      <c r="H427" s="1" t="s">
        <v>12</v>
      </c>
      <c r="I427" s="1" t="s">
        <v>13</v>
      </c>
      <c r="J427" s="1" t="s">
        <v>96</v>
      </c>
      <c r="K427" s="3">
        <v>3009.18</v>
      </c>
      <c r="L427" s="1">
        <v>4</v>
      </c>
      <c r="M427" s="1" t="s">
        <v>15</v>
      </c>
      <c r="N427" s="3">
        <v>357.89</v>
      </c>
      <c r="O427" s="1" t="s">
        <v>2177</v>
      </c>
      <c r="P427" s="1" t="s">
        <v>2071</v>
      </c>
      <c r="Q427" s="1" t="str">
        <f>TEXT((Data[[#This Row],[Order_Date]]), "mmm")</f>
        <v>Sep</v>
      </c>
    </row>
    <row r="428" spans="4:17" x14ac:dyDescent="0.3">
      <c r="D428" s="1" t="s">
        <v>490</v>
      </c>
      <c r="E428" s="2">
        <v>45374</v>
      </c>
      <c r="F428" s="2">
        <v>45375</v>
      </c>
      <c r="G428" s="1" t="s">
        <v>22</v>
      </c>
      <c r="H428" s="1" t="s">
        <v>12</v>
      </c>
      <c r="I428" s="1" t="s">
        <v>42</v>
      </c>
      <c r="J428" s="1" t="s">
        <v>46</v>
      </c>
      <c r="K428" s="3">
        <v>3253.2</v>
      </c>
      <c r="L428" s="1">
        <v>20</v>
      </c>
      <c r="M428" s="1" t="s">
        <v>15</v>
      </c>
      <c r="N428" s="3">
        <v>-830.77</v>
      </c>
      <c r="O428" s="1" t="s">
        <v>2084</v>
      </c>
      <c r="P428" s="1" t="s">
        <v>2078</v>
      </c>
      <c r="Q428" s="1" t="str">
        <f>TEXT((Data[[#This Row],[Order_Date]]), "mmm")</f>
        <v>Mar</v>
      </c>
    </row>
    <row r="429" spans="4:17" x14ac:dyDescent="0.3">
      <c r="D429" s="1" t="s">
        <v>491</v>
      </c>
      <c r="E429" s="2">
        <v>45491</v>
      </c>
      <c r="F429" s="2">
        <v>45491</v>
      </c>
      <c r="G429" s="1" t="s">
        <v>11</v>
      </c>
      <c r="H429" s="1" t="s">
        <v>17</v>
      </c>
      <c r="I429" s="1" t="s">
        <v>27</v>
      </c>
      <c r="J429" s="1" t="s">
        <v>108</v>
      </c>
      <c r="K429" s="3">
        <v>580.53</v>
      </c>
      <c r="L429" s="1">
        <v>9</v>
      </c>
      <c r="M429" s="1" t="s">
        <v>44</v>
      </c>
      <c r="N429" s="3">
        <v>93.61</v>
      </c>
      <c r="O429" s="1" t="s">
        <v>2277</v>
      </c>
      <c r="P429" s="1" t="s">
        <v>2071</v>
      </c>
      <c r="Q429" s="1" t="str">
        <f>TEXT((Data[[#This Row],[Order_Date]]), "mmm")</f>
        <v>Jul</v>
      </c>
    </row>
    <row r="430" spans="4:17" x14ac:dyDescent="0.3">
      <c r="D430" s="1" t="s">
        <v>492</v>
      </c>
      <c r="E430" s="2">
        <v>45488</v>
      </c>
      <c r="F430" s="2">
        <v>45494</v>
      </c>
      <c r="G430" s="1" t="s">
        <v>36</v>
      </c>
      <c r="H430" s="1" t="s">
        <v>12</v>
      </c>
      <c r="I430" s="1" t="s">
        <v>38</v>
      </c>
      <c r="J430" s="1" t="s">
        <v>81</v>
      </c>
      <c r="K430" s="3">
        <v>2651.09</v>
      </c>
      <c r="L430" s="1">
        <v>15</v>
      </c>
      <c r="M430" s="1" t="s">
        <v>20</v>
      </c>
      <c r="N430" s="3">
        <v>292.98</v>
      </c>
      <c r="O430" s="1" t="s">
        <v>2155</v>
      </c>
      <c r="P430" s="1" t="s">
        <v>2071</v>
      </c>
      <c r="Q430" s="1" t="str">
        <f>TEXT((Data[[#This Row],[Order_Date]]), "mmm")</f>
        <v>Jul</v>
      </c>
    </row>
    <row r="431" spans="4:17" x14ac:dyDescent="0.3">
      <c r="D431" s="1" t="s">
        <v>493</v>
      </c>
      <c r="E431" s="2">
        <v>45557</v>
      </c>
      <c r="F431" s="2">
        <v>45561</v>
      </c>
      <c r="G431" s="1" t="s">
        <v>22</v>
      </c>
      <c r="H431" s="1" t="s">
        <v>17</v>
      </c>
      <c r="I431" s="1" t="s">
        <v>32</v>
      </c>
      <c r="J431" s="1" t="s">
        <v>56</v>
      </c>
      <c r="K431" s="3">
        <v>2556.96</v>
      </c>
      <c r="L431" s="1">
        <v>2</v>
      </c>
      <c r="M431" s="1" t="s">
        <v>34</v>
      </c>
      <c r="N431" s="3">
        <v>-311.38</v>
      </c>
      <c r="O431" s="1" t="s">
        <v>2194</v>
      </c>
      <c r="P431" s="1" t="s">
        <v>2071</v>
      </c>
      <c r="Q431" s="1" t="str">
        <f>TEXT((Data[[#This Row],[Order_Date]]), "mmm")</f>
        <v>Sep</v>
      </c>
    </row>
    <row r="432" spans="4:17" x14ac:dyDescent="0.3">
      <c r="D432" s="1" t="s">
        <v>494</v>
      </c>
      <c r="E432" s="2">
        <v>45372</v>
      </c>
      <c r="F432" s="2">
        <v>45373</v>
      </c>
      <c r="G432" s="1" t="s">
        <v>36</v>
      </c>
      <c r="H432" s="1" t="s">
        <v>23</v>
      </c>
      <c r="I432" s="1" t="s">
        <v>24</v>
      </c>
      <c r="J432" s="1" t="s">
        <v>150</v>
      </c>
      <c r="K432" s="3">
        <v>1731.79</v>
      </c>
      <c r="L432" s="1">
        <v>19</v>
      </c>
      <c r="M432" s="1" t="s">
        <v>44</v>
      </c>
      <c r="N432" s="3">
        <v>355.58</v>
      </c>
      <c r="O432" s="1" t="s">
        <v>2278</v>
      </c>
      <c r="P432" s="1" t="s">
        <v>2078</v>
      </c>
      <c r="Q432" s="1" t="str">
        <f>TEXT((Data[[#This Row],[Order_Date]]), "mmm")</f>
        <v>Mar</v>
      </c>
    </row>
    <row r="433" spans="4:17" x14ac:dyDescent="0.3">
      <c r="D433" s="1" t="s">
        <v>495</v>
      </c>
      <c r="E433" s="2">
        <v>45327</v>
      </c>
      <c r="F433" s="2">
        <v>45328</v>
      </c>
      <c r="G433" s="1" t="s">
        <v>36</v>
      </c>
      <c r="H433" s="1" t="s">
        <v>12</v>
      </c>
      <c r="I433" s="1" t="s">
        <v>13</v>
      </c>
      <c r="J433" s="1" t="s">
        <v>129</v>
      </c>
      <c r="K433" s="3">
        <v>3862.33</v>
      </c>
      <c r="L433" s="1">
        <v>9</v>
      </c>
      <c r="M433" s="1" t="s">
        <v>44</v>
      </c>
      <c r="N433" s="3">
        <v>895.71</v>
      </c>
      <c r="O433" s="1" t="s">
        <v>2217</v>
      </c>
      <c r="P433" s="1" t="s">
        <v>2071</v>
      </c>
      <c r="Q433" s="1" t="str">
        <f>TEXT((Data[[#This Row],[Order_Date]]), "mmm")</f>
        <v>Feb</v>
      </c>
    </row>
    <row r="434" spans="4:17" x14ac:dyDescent="0.3">
      <c r="D434" s="1" t="s">
        <v>496</v>
      </c>
      <c r="E434" s="2">
        <v>45498</v>
      </c>
      <c r="F434" s="2">
        <v>45498</v>
      </c>
      <c r="G434" s="1" t="s">
        <v>36</v>
      </c>
      <c r="H434" s="1" t="s">
        <v>17</v>
      </c>
      <c r="I434" s="1" t="s">
        <v>27</v>
      </c>
      <c r="J434" s="1" t="s">
        <v>28</v>
      </c>
      <c r="K434" s="3">
        <v>2344.87</v>
      </c>
      <c r="L434" s="1">
        <v>17</v>
      </c>
      <c r="M434" s="1" t="s">
        <v>34</v>
      </c>
      <c r="N434" s="3">
        <v>-356.4</v>
      </c>
      <c r="O434" s="1" t="s">
        <v>2172</v>
      </c>
      <c r="P434" s="1" t="s">
        <v>2076</v>
      </c>
      <c r="Q434" s="1" t="str">
        <f>TEXT((Data[[#This Row],[Order_Date]]), "mmm")</f>
        <v>Jul</v>
      </c>
    </row>
    <row r="435" spans="4:17" x14ac:dyDescent="0.3">
      <c r="D435" s="1" t="s">
        <v>497</v>
      </c>
      <c r="E435" s="2">
        <v>45554</v>
      </c>
      <c r="F435" s="2">
        <v>45558</v>
      </c>
      <c r="G435" s="1" t="s">
        <v>36</v>
      </c>
      <c r="H435" s="1" t="s">
        <v>12</v>
      </c>
      <c r="I435" s="1" t="s">
        <v>42</v>
      </c>
      <c r="J435" s="1" t="s">
        <v>43</v>
      </c>
      <c r="K435" s="3">
        <v>2361.88</v>
      </c>
      <c r="L435" s="1">
        <v>8</v>
      </c>
      <c r="M435" s="1" t="s">
        <v>34</v>
      </c>
      <c r="N435" s="3">
        <v>799.19</v>
      </c>
      <c r="O435" s="1" t="s">
        <v>2168</v>
      </c>
      <c r="P435" s="1" t="s">
        <v>2076</v>
      </c>
      <c r="Q435" s="1" t="str">
        <f>TEXT((Data[[#This Row],[Order_Date]]), "mmm")</f>
        <v>Sep</v>
      </c>
    </row>
    <row r="436" spans="4:17" x14ac:dyDescent="0.3">
      <c r="D436" s="1" t="s">
        <v>498</v>
      </c>
      <c r="E436" s="2">
        <v>45527</v>
      </c>
      <c r="F436" s="2">
        <v>45527</v>
      </c>
      <c r="G436" s="1" t="s">
        <v>31</v>
      </c>
      <c r="H436" s="1" t="s">
        <v>17</v>
      </c>
      <c r="I436" s="1" t="s">
        <v>27</v>
      </c>
      <c r="J436" s="1" t="s">
        <v>28</v>
      </c>
      <c r="K436" s="3">
        <v>1685.02</v>
      </c>
      <c r="L436" s="1">
        <v>8</v>
      </c>
      <c r="M436" s="1" t="s">
        <v>15</v>
      </c>
      <c r="N436" s="3">
        <v>438.7</v>
      </c>
      <c r="O436" s="1" t="s">
        <v>2159</v>
      </c>
      <c r="P436" s="1" t="s">
        <v>2071</v>
      </c>
      <c r="Q436" s="1" t="str">
        <f>TEXT((Data[[#This Row],[Order_Date]]), "mmm")</f>
        <v>Aug</v>
      </c>
    </row>
    <row r="437" spans="4:17" x14ac:dyDescent="0.3">
      <c r="D437" s="1" t="s">
        <v>499</v>
      </c>
      <c r="E437" s="2">
        <v>45503</v>
      </c>
      <c r="F437" s="2">
        <v>45508</v>
      </c>
      <c r="G437" s="1" t="s">
        <v>11</v>
      </c>
      <c r="H437" s="1" t="s">
        <v>12</v>
      </c>
      <c r="I437" s="1" t="s">
        <v>13</v>
      </c>
      <c r="J437" s="1" t="s">
        <v>14</v>
      </c>
      <c r="K437" s="3">
        <v>1327.34</v>
      </c>
      <c r="L437" s="1">
        <v>13</v>
      </c>
      <c r="M437" s="1" t="s">
        <v>15</v>
      </c>
      <c r="N437" s="3">
        <v>364.54</v>
      </c>
      <c r="O437" s="1" t="s">
        <v>2150</v>
      </c>
      <c r="P437" s="1" t="s">
        <v>2071</v>
      </c>
      <c r="Q437" s="1" t="str">
        <f>TEXT((Data[[#This Row],[Order_Date]]), "mmm")</f>
        <v>Jul</v>
      </c>
    </row>
    <row r="438" spans="4:17" x14ac:dyDescent="0.3">
      <c r="D438" s="1" t="s">
        <v>500</v>
      </c>
      <c r="E438" s="2">
        <v>45575</v>
      </c>
      <c r="F438" s="2">
        <v>45577</v>
      </c>
      <c r="G438" s="1" t="s">
        <v>31</v>
      </c>
      <c r="H438" s="1" t="s">
        <v>23</v>
      </c>
      <c r="I438" s="1" t="s">
        <v>24</v>
      </c>
      <c r="J438" s="1" t="s">
        <v>25</v>
      </c>
      <c r="K438" s="3">
        <v>3603.69</v>
      </c>
      <c r="L438" s="1">
        <v>9</v>
      </c>
      <c r="M438" s="1" t="s">
        <v>44</v>
      </c>
      <c r="N438" s="3">
        <v>1204.1199999999999</v>
      </c>
      <c r="O438" s="1" t="s">
        <v>2279</v>
      </c>
      <c r="P438" s="1" t="s">
        <v>2076</v>
      </c>
      <c r="Q438" s="1" t="str">
        <f>TEXT((Data[[#This Row],[Order_Date]]), "mmm")</f>
        <v>Oct</v>
      </c>
    </row>
    <row r="439" spans="4:17" x14ac:dyDescent="0.3">
      <c r="D439" s="1" t="s">
        <v>501</v>
      </c>
      <c r="E439" s="2">
        <v>45389</v>
      </c>
      <c r="F439" s="2">
        <v>45396</v>
      </c>
      <c r="G439" s="1" t="s">
        <v>22</v>
      </c>
      <c r="H439" s="1" t="s">
        <v>17</v>
      </c>
      <c r="I439" s="1" t="s">
        <v>32</v>
      </c>
      <c r="J439" s="1" t="s">
        <v>56</v>
      </c>
      <c r="K439" s="3">
        <v>3522.78</v>
      </c>
      <c r="L439" s="1">
        <v>7</v>
      </c>
      <c r="M439" s="1" t="s">
        <v>44</v>
      </c>
      <c r="N439" s="3">
        <v>390.43</v>
      </c>
      <c r="O439" s="1" t="s">
        <v>2220</v>
      </c>
      <c r="P439" s="1" t="s">
        <v>2076</v>
      </c>
      <c r="Q439" s="1" t="str">
        <f>TEXT((Data[[#This Row],[Order_Date]]), "mmm")</f>
        <v>Apr</v>
      </c>
    </row>
    <row r="440" spans="4:17" x14ac:dyDescent="0.3">
      <c r="D440" s="1" t="s">
        <v>502</v>
      </c>
      <c r="E440" s="2">
        <v>45608</v>
      </c>
      <c r="F440" s="2">
        <v>45613</v>
      </c>
      <c r="G440" s="1" t="s">
        <v>22</v>
      </c>
      <c r="H440" s="1" t="s">
        <v>17</v>
      </c>
      <c r="I440" s="1" t="s">
        <v>18</v>
      </c>
      <c r="J440" s="1" t="s">
        <v>19</v>
      </c>
      <c r="K440" s="3">
        <v>2784.3</v>
      </c>
      <c r="L440" s="1">
        <v>16</v>
      </c>
      <c r="M440" s="1" t="s">
        <v>29</v>
      </c>
      <c r="N440" s="3">
        <v>144.75</v>
      </c>
      <c r="O440" s="1" t="s">
        <v>2126</v>
      </c>
      <c r="P440" s="1" t="s">
        <v>2071</v>
      </c>
      <c r="Q440" s="1" t="str">
        <f>TEXT((Data[[#This Row],[Order_Date]]), "mmm")</f>
        <v>Nov</v>
      </c>
    </row>
    <row r="441" spans="4:17" x14ac:dyDescent="0.3">
      <c r="D441" s="1" t="s">
        <v>503</v>
      </c>
      <c r="E441" s="2">
        <v>45313</v>
      </c>
      <c r="F441" s="2">
        <v>45320</v>
      </c>
      <c r="G441" s="1" t="s">
        <v>36</v>
      </c>
      <c r="H441" s="1" t="s">
        <v>12</v>
      </c>
      <c r="I441" s="1" t="s">
        <v>13</v>
      </c>
      <c r="J441" s="1" t="s">
        <v>96</v>
      </c>
      <c r="K441" s="3">
        <v>3617.95</v>
      </c>
      <c r="L441" s="1">
        <v>19</v>
      </c>
      <c r="M441" s="1" t="s">
        <v>34</v>
      </c>
      <c r="N441" s="3">
        <v>713.61</v>
      </c>
      <c r="O441" s="1" t="s">
        <v>2222</v>
      </c>
      <c r="P441" s="1" t="s">
        <v>2071</v>
      </c>
      <c r="Q441" s="1" t="str">
        <f>TEXT((Data[[#This Row],[Order_Date]]), "mmm")</f>
        <v>Jan</v>
      </c>
    </row>
    <row r="442" spans="4:17" x14ac:dyDescent="0.3">
      <c r="D442" s="1" t="s">
        <v>504</v>
      </c>
      <c r="E442" s="2">
        <v>45553</v>
      </c>
      <c r="F442" s="2">
        <v>45557</v>
      </c>
      <c r="G442" s="1" t="s">
        <v>31</v>
      </c>
      <c r="H442" s="1" t="s">
        <v>17</v>
      </c>
      <c r="I442" s="1" t="s">
        <v>32</v>
      </c>
      <c r="J442" s="1" t="s">
        <v>56</v>
      </c>
      <c r="K442" s="3">
        <v>453.06</v>
      </c>
      <c r="L442" s="1">
        <v>14</v>
      </c>
      <c r="M442" s="1" t="s">
        <v>49</v>
      </c>
      <c r="N442" s="3">
        <v>-150.37</v>
      </c>
      <c r="O442" s="1" t="s">
        <v>2179</v>
      </c>
      <c r="P442" s="1" t="s">
        <v>2078</v>
      </c>
      <c r="Q442" s="1" t="str">
        <f>TEXT((Data[[#This Row],[Order_Date]]), "mmm")</f>
        <v>Sep</v>
      </c>
    </row>
    <row r="443" spans="4:17" x14ac:dyDescent="0.3">
      <c r="D443" s="1" t="s">
        <v>505</v>
      </c>
      <c r="E443" s="2">
        <v>45469</v>
      </c>
      <c r="F443" s="2">
        <v>45475</v>
      </c>
      <c r="G443" s="1" t="s">
        <v>22</v>
      </c>
      <c r="H443" s="1" t="s">
        <v>23</v>
      </c>
      <c r="I443" s="1" t="s">
        <v>61</v>
      </c>
      <c r="J443" s="1" t="s">
        <v>62</v>
      </c>
      <c r="K443" s="3">
        <v>2193.27</v>
      </c>
      <c r="L443" s="1">
        <v>11</v>
      </c>
      <c r="M443" s="1" t="s">
        <v>15</v>
      </c>
      <c r="N443" s="3">
        <v>115.2</v>
      </c>
      <c r="O443" s="1" t="s">
        <v>2145</v>
      </c>
      <c r="P443" s="1" t="s">
        <v>2078</v>
      </c>
      <c r="Q443" s="1" t="str">
        <f>TEXT((Data[[#This Row],[Order_Date]]), "mmm")</f>
        <v>Jun</v>
      </c>
    </row>
    <row r="444" spans="4:17" x14ac:dyDescent="0.3">
      <c r="D444" s="1" t="s">
        <v>506</v>
      </c>
      <c r="E444" s="2">
        <v>45486</v>
      </c>
      <c r="F444" s="2">
        <v>45487</v>
      </c>
      <c r="G444" s="1" t="s">
        <v>36</v>
      </c>
      <c r="H444" s="1" t="s">
        <v>23</v>
      </c>
      <c r="I444" s="1" t="s">
        <v>24</v>
      </c>
      <c r="J444" s="1" t="s">
        <v>25</v>
      </c>
      <c r="K444" s="3">
        <v>2307.11</v>
      </c>
      <c r="L444" s="1">
        <v>8</v>
      </c>
      <c r="M444" s="1" t="s">
        <v>34</v>
      </c>
      <c r="N444" s="3">
        <v>441.59</v>
      </c>
      <c r="O444" s="1" t="s">
        <v>2126</v>
      </c>
      <c r="P444" s="1" t="s">
        <v>2071</v>
      </c>
      <c r="Q444" s="1" t="str">
        <f>TEXT((Data[[#This Row],[Order_Date]]), "mmm")</f>
        <v>Jul</v>
      </c>
    </row>
    <row r="445" spans="4:17" x14ac:dyDescent="0.3">
      <c r="D445" s="1" t="s">
        <v>507</v>
      </c>
      <c r="E445" s="2">
        <v>45479</v>
      </c>
      <c r="F445" s="2">
        <v>45481</v>
      </c>
      <c r="G445" s="1" t="s">
        <v>31</v>
      </c>
      <c r="H445" s="1" t="s">
        <v>23</v>
      </c>
      <c r="I445" s="1" t="s">
        <v>78</v>
      </c>
      <c r="J445" s="1" t="s">
        <v>79</v>
      </c>
      <c r="K445" s="3">
        <v>2877.67</v>
      </c>
      <c r="L445" s="1">
        <v>12</v>
      </c>
      <c r="M445" s="1" t="s">
        <v>34</v>
      </c>
      <c r="N445" s="3">
        <v>881.42</v>
      </c>
      <c r="O445" s="1" t="s">
        <v>2089</v>
      </c>
      <c r="P445" s="1" t="s">
        <v>2078</v>
      </c>
      <c r="Q445" s="1" t="str">
        <f>TEXT((Data[[#This Row],[Order_Date]]), "mmm")</f>
        <v>Jul</v>
      </c>
    </row>
    <row r="446" spans="4:17" x14ac:dyDescent="0.3">
      <c r="D446" s="1" t="s">
        <v>508</v>
      </c>
      <c r="E446" s="2">
        <v>45384</v>
      </c>
      <c r="F446" s="2">
        <v>45386</v>
      </c>
      <c r="G446" s="1" t="s">
        <v>22</v>
      </c>
      <c r="H446" s="1" t="s">
        <v>17</v>
      </c>
      <c r="I446" s="1" t="s">
        <v>32</v>
      </c>
      <c r="J446" s="1" t="s">
        <v>33</v>
      </c>
      <c r="K446" s="3">
        <v>3265.33</v>
      </c>
      <c r="L446" s="1">
        <v>18</v>
      </c>
      <c r="M446" s="1" t="s">
        <v>49</v>
      </c>
      <c r="N446" s="3">
        <v>1002.11</v>
      </c>
      <c r="O446" s="1" t="s">
        <v>2102</v>
      </c>
      <c r="P446" s="1" t="s">
        <v>2078</v>
      </c>
      <c r="Q446" s="1" t="str">
        <f>TEXT((Data[[#This Row],[Order_Date]]), "mmm")</f>
        <v>Apr</v>
      </c>
    </row>
    <row r="447" spans="4:17" x14ac:dyDescent="0.3">
      <c r="D447" s="1" t="s">
        <v>509</v>
      </c>
      <c r="E447" s="2">
        <v>45368</v>
      </c>
      <c r="F447" s="2">
        <v>45375</v>
      </c>
      <c r="G447" s="1" t="s">
        <v>11</v>
      </c>
      <c r="H447" s="1" t="s">
        <v>17</v>
      </c>
      <c r="I447" s="1" t="s">
        <v>27</v>
      </c>
      <c r="J447" s="1" t="s">
        <v>108</v>
      </c>
      <c r="K447" s="3">
        <v>754.27</v>
      </c>
      <c r="L447" s="1">
        <v>17</v>
      </c>
      <c r="M447" s="1" t="s">
        <v>29</v>
      </c>
      <c r="N447" s="3">
        <v>200.76</v>
      </c>
      <c r="O447" s="1" t="s">
        <v>2194</v>
      </c>
      <c r="P447" s="1" t="s">
        <v>2071</v>
      </c>
      <c r="Q447" s="1" t="str">
        <f>TEXT((Data[[#This Row],[Order_Date]]), "mmm")</f>
        <v>Mar</v>
      </c>
    </row>
    <row r="448" spans="4:17" x14ac:dyDescent="0.3">
      <c r="D448" s="1" t="s">
        <v>510</v>
      </c>
      <c r="E448" s="2">
        <v>45445</v>
      </c>
      <c r="F448" s="2">
        <v>45449</v>
      </c>
      <c r="G448" s="1" t="s">
        <v>11</v>
      </c>
      <c r="H448" s="1" t="s">
        <v>23</v>
      </c>
      <c r="I448" s="1" t="s">
        <v>61</v>
      </c>
      <c r="J448" s="1" t="s">
        <v>62</v>
      </c>
      <c r="K448" s="3">
        <v>862.53</v>
      </c>
      <c r="L448" s="1">
        <v>7</v>
      </c>
      <c r="M448" s="1" t="s">
        <v>34</v>
      </c>
      <c r="N448" s="3">
        <v>166.44</v>
      </c>
      <c r="O448" s="1" t="s">
        <v>2237</v>
      </c>
      <c r="P448" s="1" t="s">
        <v>2078</v>
      </c>
      <c r="Q448" s="1" t="str">
        <f>TEXT((Data[[#This Row],[Order_Date]]), "mmm")</f>
        <v>Jun</v>
      </c>
    </row>
    <row r="449" spans="4:17" x14ac:dyDescent="0.3">
      <c r="D449" s="1" t="s">
        <v>511</v>
      </c>
      <c r="E449" s="2">
        <v>45522</v>
      </c>
      <c r="F449" s="2">
        <v>45527</v>
      </c>
      <c r="G449" s="1" t="s">
        <v>36</v>
      </c>
      <c r="H449" s="1" t="s">
        <v>23</v>
      </c>
      <c r="I449" s="1" t="s">
        <v>24</v>
      </c>
      <c r="J449" s="1" t="s">
        <v>150</v>
      </c>
      <c r="K449" s="3">
        <v>2340.59</v>
      </c>
      <c r="L449" s="1">
        <v>9</v>
      </c>
      <c r="M449" s="1" t="s">
        <v>34</v>
      </c>
      <c r="N449" s="3">
        <v>-130.96</v>
      </c>
      <c r="O449" s="1" t="s">
        <v>2158</v>
      </c>
      <c r="P449" s="1" t="s">
        <v>2076</v>
      </c>
      <c r="Q449" s="1" t="str">
        <f>TEXT((Data[[#This Row],[Order_Date]]), "mmm")</f>
        <v>Aug</v>
      </c>
    </row>
    <row r="450" spans="4:17" x14ac:dyDescent="0.3">
      <c r="D450" s="1" t="s">
        <v>512</v>
      </c>
      <c r="E450" s="2">
        <v>45639</v>
      </c>
      <c r="F450" s="2">
        <v>45642</v>
      </c>
      <c r="G450" s="1" t="s">
        <v>22</v>
      </c>
      <c r="H450" s="1" t="s">
        <v>23</v>
      </c>
      <c r="I450" s="1" t="s">
        <v>24</v>
      </c>
      <c r="J450" s="1" t="s">
        <v>93</v>
      </c>
      <c r="K450" s="3">
        <v>2774.47</v>
      </c>
      <c r="L450" s="1">
        <v>16</v>
      </c>
      <c r="M450" s="1" t="s">
        <v>15</v>
      </c>
      <c r="N450" s="3">
        <v>-510.72</v>
      </c>
      <c r="O450" s="1" t="s">
        <v>2169</v>
      </c>
      <c r="P450" s="1" t="s">
        <v>2078</v>
      </c>
      <c r="Q450" s="1" t="str">
        <f>TEXT((Data[[#This Row],[Order_Date]]), "mmm")</f>
        <v>Dec</v>
      </c>
    </row>
    <row r="451" spans="4:17" x14ac:dyDescent="0.3">
      <c r="D451" s="1" t="s">
        <v>513</v>
      </c>
      <c r="E451" s="2">
        <v>45606</v>
      </c>
      <c r="F451" s="2">
        <v>45610</v>
      </c>
      <c r="G451" s="1" t="s">
        <v>31</v>
      </c>
      <c r="H451" s="1" t="s">
        <v>12</v>
      </c>
      <c r="I451" s="1" t="s">
        <v>58</v>
      </c>
      <c r="J451" s="1" t="s">
        <v>120</v>
      </c>
      <c r="K451" s="3">
        <v>2652.18</v>
      </c>
      <c r="L451" s="1">
        <v>11</v>
      </c>
      <c r="M451" s="1" t="s">
        <v>49</v>
      </c>
      <c r="N451" s="3">
        <v>634.88</v>
      </c>
      <c r="O451" s="1" t="s">
        <v>2082</v>
      </c>
      <c r="P451" s="1" t="s">
        <v>2078</v>
      </c>
      <c r="Q451" s="1" t="str">
        <f>TEXT((Data[[#This Row],[Order_Date]]), "mmm")</f>
        <v>Nov</v>
      </c>
    </row>
    <row r="452" spans="4:17" x14ac:dyDescent="0.3">
      <c r="D452" s="1" t="s">
        <v>514</v>
      </c>
      <c r="E452" s="2">
        <v>45328</v>
      </c>
      <c r="F452" s="2">
        <v>45329</v>
      </c>
      <c r="G452" s="1" t="s">
        <v>22</v>
      </c>
      <c r="H452" s="1" t="s">
        <v>23</v>
      </c>
      <c r="I452" s="1" t="s">
        <v>78</v>
      </c>
      <c r="J452" s="1" t="s">
        <v>79</v>
      </c>
      <c r="K452" s="3">
        <v>1438.29</v>
      </c>
      <c r="L452" s="1">
        <v>10</v>
      </c>
      <c r="M452" s="1" t="s">
        <v>15</v>
      </c>
      <c r="N452" s="3">
        <v>187.33</v>
      </c>
      <c r="O452" s="1" t="s">
        <v>2100</v>
      </c>
      <c r="P452" s="1" t="s">
        <v>2071</v>
      </c>
      <c r="Q452" s="1" t="str">
        <f>TEXT((Data[[#This Row],[Order_Date]]), "mmm")</f>
        <v>Feb</v>
      </c>
    </row>
    <row r="453" spans="4:17" x14ac:dyDescent="0.3">
      <c r="D453" s="1" t="s">
        <v>515</v>
      </c>
      <c r="E453" s="2">
        <v>45430</v>
      </c>
      <c r="F453" s="2">
        <v>45437</v>
      </c>
      <c r="G453" s="1" t="s">
        <v>36</v>
      </c>
      <c r="H453" s="1" t="s">
        <v>12</v>
      </c>
      <c r="I453" s="1" t="s">
        <v>42</v>
      </c>
      <c r="J453" s="1" t="s">
        <v>43</v>
      </c>
      <c r="K453" s="3">
        <v>877.44</v>
      </c>
      <c r="L453" s="1">
        <v>1</v>
      </c>
      <c r="M453" s="1" t="s">
        <v>44</v>
      </c>
      <c r="N453" s="3">
        <v>235.44</v>
      </c>
      <c r="O453" s="1" t="s">
        <v>2280</v>
      </c>
      <c r="P453" s="1" t="s">
        <v>2076</v>
      </c>
      <c r="Q453" s="1" t="str">
        <f>TEXT((Data[[#This Row],[Order_Date]]), "mmm")</f>
        <v>May</v>
      </c>
    </row>
    <row r="454" spans="4:17" x14ac:dyDescent="0.3">
      <c r="D454" s="1" t="s">
        <v>516</v>
      </c>
      <c r="E454" s="2">
        <v>45650</v>
      </c>
      <c r="F454" s="2">
        <v>45651</v>
      </c>
      <c r="G454" s="1" t="s">
        <v>22</v>
      </c>
      <c r="H454" s="1" t="s">
        <v>17</v>
      </c>
      <c r="I454" s="1" t="s">
        <v>27</v>
      </c>
      <c r="J454" s="1" t="s">
        <v>28</v>
      </c>
      <c r="K454" s="3">
        <v>608.33000000000004</v>
      </c>
      <c r="L454" s="1">
        <v>16</v>
      </c>
      <c r="M454" s="1" t="s">
        <v>29</v>
      </c>
      <c r="N454" s="3">
        <v>40.24</v>
      </c>
      <c r="O454" s="1" t="s">
        <v>2246</v>
      </c>
      <c r="P454" s="1" t="s">
        <v>2071</v>
      </c>
      <c r="Q454" s="1" t="str">
        <f>TEXT((Data[[#This Row],[Order_Date]]), "mmm")</f>
        <v>Dec</v>
      </c>
    </row>
    <row r="455" spans="4:17" x14ac:dyDescent="0.3">
      <c r="D455" s="1" t="s">
        <v>517</v>
      </c>
      <c r="E455" s="2">
        <v>45560</v>
      </c>
      <c r="F455" s="2">
        <v>45561</v>
      </c>
      <c r="G455" s="1" t="s">
        <v>11</v>
      </c>
      <c r="H455" s="1" t="s">
        <v>23</v>
      </c>
      <c r="I455" s="1" t="s">
        <v>78</v>
      </c>
      <c r="J455" s="1" t="s">
        <v>118</v>
      </c>
      <c r="K455" s="3">
        <v>2705.62</v>
      </c>
      <c r="L455" s="1">
        <v>13</v>
      </c>
      <c r="M455" s="1" t="s">
        <v>34</v>
      </c>
      <c r="N455" s="3">
        <v>321.45</v>
      </c>
      <c r="O455" s="1" t="s">
        <v>2221</v>
      </c>
      <c r="P455" s="1" t="s">
        <v>2076</v>
      </c>
      <c r="Q455" s="1" t="str">
        <f>TEXT((Data[[#This Row],[Order_Date]]), "mmm")</f>
        <v>Sep</v>
      </c>
    </row>
    <row r="456" spans="4:17" x14ac:dyDescent="0.3">
      <c r="D456" s="1" t="s">
        <v>518</v>
      </c>
      <c r="E456" s="2">
        <v>45518</v>
      </c>
      <c r="F456" s="2">
        <v>45520</v>
      </c>
      <c r="G456" s="1" t="s">
        <v>22</v>
      </c>
      <c r="H456" s="1" t="s">
        <v>12</v>
      </c>
      <c r="I456" s="1" t="s">
        <v>58</v>
      </c>
      <c r="J456" s="1" t="s">
        <v>120</v>
      </c>
      <c r="K456" s="3">
        <v>381.83</v>
      </c>
      <c r="L456" s="1">
        <v>12</v>
      </c>
      <c r="M456" s="1" t="s">
        <v>34</v>
      </c>
      <c r="N456" s="3">
        <v>118.09</v>
      </c>
      <c r="O456" s="1" t="s">
        <v>2150</v>
      </c>
      <c r="P456" s="1" t="s">
        <v>2076</v>
      </c>
      <c r="Q456" s="1" t="str">
        <f>TEXT((Data[[#This Row],[Order_Date]]), "mmm")</f>
        <v>Aug</v>
      </c>
    </row>
    <row r="457" spans="4:17" x14ac:dyDescent="0.3">
      <c r="D457" s="1" t="s">
        <v>519</v>
      </c>
      <c r="E457" s="2">
        <v>45568</v>
      </c>
      <c r="F457" s="2">
        <v>45572</v>
      </c>
      <c r="G457" s="1" t="s">
        <v>31</v>
      </c>
      <c r="H457" s="1" t="s">
        <v>17</v>
      </c>
      <c r="I457" s="1" t="s">
        <v>32</v>
      </c>
      <c r="J457" s="1" t="s">
        <v>56</v>
      </c>
      <c r="K457" s="3">
        <v>2465.62</v>
      </c>
      <c r="L457" s="1">
        <v>15</v>
      </c>
      <c r="M457" s="1" t="s">
        <v>15</v>
      </c>
      <c r="N457" s="3">
        <v>677.24</v>
      </c>
      <c r="O457" s="1" t="s">
        <v>2075</v>
      </c>
      <c r="P457" s="1" t="s">
        <v>2076</v>
      </c>
      <c r="Q457" s="1" t="str">
        <f>TEXT((Data[[#This Row],[Order_Date]]), "mmm")</f>
        <v>Oct</v>
      </c>
    </row>
    <row r="458" spans="4:17" x14ac:dyDescent="0.3">
      <c r="D458" s="1" t="s">
        <v>520</v>
      </c>
      <c r="E458" s="2">
        <v>45514</v>
      </c>
      <c r="F458" s="2">
        <v>45518</v>
      </c>
      <c r="G458" s="1" t="s">
        <v>36</v>
      </c>
      <c r="H458" s="1" t="s">
        <v>23</v>
      </c>
      <c r="I458" s="1" t="s">
        <v>78</v>
      </c>
      <c r="J458" s="1" t="s">
        <v>118</v>
      </c>
      <c r="K458" s="3">
        <v>1906.98</v>
      </c>
      <c r="L458" s="1">
        <v>12</v>
      </c>
      <c r="M458" s="1" t="s">
        <v>49</v>
      </c>
      <c r="N458" s="3">
        <v>243.98</v>
      </c>
      <c r="O458" s="1" t="s">
        <v>2239</v>
      </c>
      <c r="P458" s="1" t="s">
        <v>2076</v>
      </c>
      <c r="Q458" s="1" t="str">
        <f>TEXT((Data[[#This Row],[Order_Date]]), "mmm")</f>
        <v>Aug</v>
      </c>
    </row>
    <row r="459" spans="4:17" x14ac:dyDescent="0.3">
      <c r="D459" s="1" t="s">
        <v>521</v>
      </c>
      <c r="E459" s="2">
        <v>45292</v>
      </c>
      <c r="F459" s="2">
        <v>45294</v>
      </c>
      <c r="G459" s="1" t="s">
        <v>36</v>
      </c>
      <c r="H459" s="1" t="s">
        <v>23</v>
      </c>
      <c r="I459" s="1" t="s">
        <v>65</v>
      </c>
      <c r="J459" s="1" t="s">
        <v>122</v>
      </c>
      <c r="K459" s="3">
        <v>281.19</v>
      </c>
      <c r="L459" s="1">
        <v>16</v>
      </c>
      <c r="M459" s="1" t="s">
        <v>49</v>
      </c>
      <c r="N459" s="3">
        <v>39.33</v>
      </c>
      <c r="O459" s="1" t="s">
        <v>2281</v>
      </c>
      <c r="P459" s="1" t="s">
        <v>2078</v>
      </c>
      <c r="Q459" s="1" t="str">
        <f>TEXT((Data[[#This Row],[Order_Date]]), "mmm")</f>
        <v>Jan</v>
      </c>
    </row>
    <row r="460" spans="4:17" x14ac:dyDescent="0.3">
      <c r="D460" s="1" t="s">
        <v>522</v>
      </c>
      <c r="E460" s="2">
        <v>45441</v>
      </c>
      <c r="F460" s="2">
        <v>45444</v>
      </c>
      <c r="G460" s="1" t="s">
        <v>11</v>
      </c>
      <c r="H460" s="1" t="s">
        <v>12</v>
      </c>
      <c r="I460" s="1" t="s">
        <v>13</v>
      </c>
      <c r="J460" s="1" t="s">
        <v>14</v>
      </c>
      <c r="K460" s="3">
        <v>1794.01</v>
      </c>
      <c r="L460" s="1">
        <v>18</v>
      </c>
      <c r="M460" s="1" t="s">
        <v>49</v>
      </c>
      <c r="N460" s="3">
        <v>302.16000000000003</v>
      </c>
      <c r="O460" s="1" t="s">
        <v>2282</v>
      </c>
      <c r="P460" s="1" t="s">
        <v>2071</v>
      </c>
      <c r="Q460" s="1" t="str">
        <f>TEXT((Data[[#This Row],[Order_Date]]), "mmm")</f>
        <v>May</v>
      </c>
    </row>
    <row r="461" spans="4:17" x14ac:dyDescent="0.3">
      <c r="D461" s="1" t="s">
        <v>523</v>
      </c>
      <c r="E461" s="2">
        <v>45622</v>
      </c>
      <c r="F461" s="2">
        <v>45628</v>
      </c>
      <c r="G461" s="1" t="s">
        <v>31</v>
      </c>
      <c r="H461" s="1" t="s">
        <v>17</v>
      </c>
      <c r="I461" s="1" t="s">
        <v>27</v>
      </c>
      <c r="J461" s="1" t="s">
        <v>28</v>
      </c>
      <c r="K461" s="3">
        <v>1833.4</v>
      </c>
      <c r="L461" s="1">
        <v>8</v>
      </c>
      <c r="M461" s="1" t="s">
        <v>29</v>
      </c>
      <c r="N461" s="3">
        <v>512.17999999999995</v>
      </c>
      <c r="O461" s="1" t="s">
        <v>2283</v>
      </c>
      <c r="P461" s="1" t="s">
        <v>2071</v>
      </c>
      <c r="Q461" s="1" t="str">
        <f>TEXT((Data[[#This Row],[Order_Date]]), "mmm")</f>
        <v>Nov</v>
      </c>
    </row>
    <row r="462" spans="4:17" x14ac:dyDescent="0.3">
      <c r="D462" s="1" t="s">
        <v>524</v>
      </c>
      <c r="E462" s="2">
        <v>45647</v>
      </c>
      <c r="F462" s="2">
        <v>45651</v>
      </c>
      <c r="G462" s="1" t="s">
        <v>36</v>
      </c>
      <c r="H462" s="1" t="s">
        <v>12</v>
      </c>
      <c r="I462" s="1" t="s">
        <v>13</v>
      </c>
      <c r="J462" s="1" t="s">
        <v>96</v>
      </c>
      <c r="K462" s="3">
        <v>955</v>
      </c>
      <c r="L462" s="1">
        <v>3</v>
      </c>
      <c r="M462" s="1" t="s">
        <v>44</v>
      </c>
      <c r="N462" s="3">
        <v>-86.89</v>
      </c>
      <c r="O462" s="1" t="s">
        <v>2191</v>
      </c>
      <c r="P462" s="1" t="s">
        <v>2076</v>
      </c>
      <c r="Q462" s="1" t="str">
        <f>TEXT((Data[[#This Row],[Order_Date]]), "mmm")</f>
        <v>Dec</v>
      </c>
    </row>
    <row r="463" spans="4:17" x14ac:dyDescent="0.3">
      <c r="D463" s="1" t="s">
        <v>525</v>
      </c>
      <c r="E463" s="2">
        <v>45525</v>
      </c>
      <c r="F463" s="2">
        <v>45532</v>
      </c>
      <c r="G463" s="1" t="s">
        <v>36</v>
      </c>
      <c r="H463" s="1" t="s">
        <v>12</v>
      </c>
      <c r="I463" s="1" t="s">
        <v>42</v>
      </c>
      <c r="J463" s="1" t="s">
        <v>72</v>
      </c>
      <c r="K463" s="3">
        <v>1452.41</v>
      </c>
      <c r="L463" s="1">
        <v>5</v>
      </c>
      <c r="M463" s="1" t="s">
        <v>20</v>
      </c>
      <c r="N463" s="3">
        <v>-495.15</v>
      </c>
      <c r="O463" s="1" t="s">
        <v>2157</v>
      </c>
      <c r="P463" s="1" t="s">
        <v>2078</v>
      </c>
      <c r="Q463" s="1" t="str">
        <f>TEXT((Data[[#This Row],[Order_Date]]), "mmm")</f>
        <v>Aug</v>
      </c>
    </row>
    <row r="464" spans="4:17" x14ac:dyDescent="0.3">
      <c r="D464" s="1" t="s">
        <v>526</v>
      </c>
      <c r="E464" s="2">
        <v>45344</v>
      </c>
      <c r="F464" s="2">
        <v>45348</v>
      </c>
      <c r="G464" s="1" t="s">
        <v>36</v>
      </c>
      <c r="H464" s="1" t="s">
        <v>17</v>
      </c>
      <c r="I464" s="1" t="s">
        <v>32</v>
      </c>
      <c r="J464" s="1" t="s">
        <v>33</v>
      </c>
      <c r="K464" s="3">
        <v>2976.65</v>
      </c>
      <c r="L464" s="1">
        <v>8</v>
      </c>
      <c r="M464" s="1" t="s">
        <v>20</v>
      </c>
      <c r="N464" s="3">
        <v>283.39</v>
      </c>
      <c r="O464" s="1" t="s">
        <v>2278</v>
      </c>
      <c r="P464" s="1" t="s">
        <v>2076</v>
      </c>
      <c r="Q464" s="1" t="str">
        <f>TEXT((Data[[#This Row],[Order_Date]]), "mmm")</f>
        <v>Feb</v>
      </c>
    </row>
    <row r="465" spans="4:17" x14ac:dyDescent="0.3">
      <c r="D465" s="1" t="s">
        <v>527</v>
      </c>
      <c r="E465" s="2">
        <v>45467</v>
      </c>
      <c r="F465" s="2">
        <v>45473</v>
      </c>
      <c r="G465" s="1" t="s">
        <v>36</v>
      </c>
      <c r="H465" s="1" t="s">
        <v>23</v>
      </c>
      <c r="I465" s="1" t="s">
        <v>24</v>
      </c>
      <c r="J465" s="1" t="s">
        <v>93</v>
      </c>
      <c r="K465" s="3">
        <v>2863.51</v>
      </c>
      <c r="L465" s="1">
        <v>2</v>
      </c>
      <c r="M465" s="1" t="s">
        <v>34</v>
      </c>
      <c r="N465" s="3">
        <v>212.09</v>
      </c>
      <c r="O465" s="1" t="s">
        <v>2249</v>
      </c>
      <c r="P465" s="1" t="s">
        <v>2076</v>
      </c>
      <c r="Q465" s="1" t="str">
        <f>TEXT((Data[[#This Row],[Order_Date]]), "mmm")</f>
        <v>Jun</v>
      </c>
    </row>
    <row r="466" spans="4:17" x14ac:dyDescent="0.3">
      <c r="D466" s="1" t="s">
        <v>528</v>
      </c>
      <c r="E466" s="2">
        <v>45366</v>
      </c>
      <c r="F466" s="2">
        <v>45366</v>
      </c>
      <c r="G466" s="1" t="s">
        <v>36</v>
      </c>
      <c r="H466" s="1" t="s">
        <v>23</v>
      </c>
      <c r="I466" s="1" t="s">
        <v>61</v>
      </c>
      <c r="J466" s="1" t="s">
        <v>62</v>
      </c>
      <c r="K466" s="3">
        <v>2013.05</v>
      </c>
      <c r="L466" s="1">
        <v>7</v>
      </c>
      <c r="M466" s="1" t="s">
        <v>34</v>
      </c>
      <c r="N466" s="3">
        <v>594.20000000000005</v>
      </c>
      <c r="O466" s="1" t="s">
        <v>2163</v>
      </c>
      <c r="P466" s="1" t="s">
        <v>2078</v>
      </c>
      <c r="Q466" s="1" t="str">
        <f>TEXT((Data[[#This Row],[Order_Date]]), "mmm")</f>
        <v>Mar</v>
      </c>
    </row>
    <row r="467" spans="4:17" x14ac:dyDescent="0.3">
      <c r="D467" s="1" t="s">
        <v>529</v>
      </c>
      <c r="E467" s="2">
        <v>45354</v>
      </c>
      <c r="F467" s="2">
        <v>45357</v>
      </c>
      <c r="G467" s="1" t="s">
        <v>31</v>
      </c>
      <c r="H467" s="1" t="s">
        <v>23</v>
      </c>
      <c r="I467" s="1" t="s">
        <v>78</v>
      </c>
      <c r="J467" s="1" t="s">
        <v>118</v>
      </c>
      <c r="K467" s="3">
        <v>996.92</v>
      </c>
      <c r="L467" s="1">
        <v>4</v>
      </c>
      <c r="M467" s="1" t="s">
        <v>29</v>
      </c>
      <c r="N467" s="3">
        <v>249.03</v>
      </c>
      <c r="O467" s="1" t="s">
        <v>2177</v>
      </c>
      <c r="P467" s="1" t="s">
        <v>2076</v>
      </c>
      <c r="Q467" s="1" t="str">
        <f>TEXT((Data[[#This Row],[Order_Date]]), "mmm")</f>
        <v>Mar</v>
      </c>
    </row>
    <row r="468" spans="4:17" x14ac:dyDescent="0.3">
      <c r="D468" s="1" t="s">
        <v>530</v>
      </c>
      <c r="E468" s="2">
        <v>45491</v>
      </c>
      <c r="F468" s="2">
        <v>45495</v>
      </c>
      <c r="G468" s="1" t="s">
        <v>36</v>
      </c>
      <c r="H468" s="1" t="s">
        <v>17</v>
      </c>
      <c r="I468" s="1" t="s">
        <v>32</v>
      </c>
      <c r="J468" s="1" t="s">
        <v>56</v>
      </c>
      <c r="K468" s="3">
        <v>3042.72</v>
      </c>
      <c r="L468" s="1">
        <v>18</v>
      </c>
      <c r="M468" s="1" t="s">
        <v>29</v>
      </c>
      <c r="N468" s="3">
        <v>263.63</v>
      </c>
      <c r="O468" s="1" t="s">
        <v>2205</v>
      </c>
      <c r="P468" s="1" t="s">
        <v>2071</v>
      </c>
      <c r="Q468" s="1" t="str">
        <f>TEXT((Data[[#This Row],[Order_Date]]), "mmm")</f>
        <v>Jul</v>
      </c>
    </row>
    <row r="469" spans="4:17" x14ac:dyDescent="0.3">
      <c r="D469" s="1" t="s">
        <v>531</v>
      </c>
      <c r="E469" s="2">
        <v>45444</v>
      </c>
      <c r="F469" s="2">
        <v>45447</v>
      </c>
      <c r="G469" s="1" t="s">
        <v>36</v>
      </c>
      <c r="H469" s="1" t="s">
        <v>17</v>
      </c>
      <c r="I469" s="1" t="s">
        <v>32</v>
      </c>
      <c r="J469" s="1" t="s">
        <v>56</v>
      </c>
      <c r="K469" s="3">
        <v>3899.78</v>
      </c>
      <c r="L469" s="1">
        <v>8</v>
      </c>
      <c r="M469" s="1" t="s">
        <v>15</v>
      </c>
      <c r="N469" s="3">
        <v>-702.93</v>
      </c>
      <c r="O469" s="1" t="s">
        <v>2105</v>
      </c>
      <c r="P469" s="1" t="s">
        <v>2076</v>
      </c>
      <c r="Q469" s="1" t="str">
        <f>TEXT((Data[[#This Row],[Order_Date]]), "mmm")</f>
        <v>Jun</v>
      </c>
    </row>
    <row r="470" spans="4:17" x14ac:dyDescent="0.3">
      <c r="D470" s="1" t="s">
        <v>532</v>
      </c>
      <c r="E470" s="2">
        <v>45433</v>
      </c>
      <c r="F470" s="2">
        <v>45434</v>
      </c>
      <c r="G470" s="1" t="s">
        <v>31</v>
      </c>
      <c r="H470" s="1" t="s">
        <v>17</v>
      </c>
      <c r="I470" s="1" t="s">
        <v>18</v>
      </c>
      <c r="J470" s="1" t="s">
        <v>19</v>
      </c>
      <c r="K470" s="3">
        <v>2429.04</v>
      </c>
      <c r="L470" s="1">
        <v>16</v>
      </c>
      <c r="M470" s="1" t="s">
        <v>15</v>
      </c>
      <c r="N470" s="3">
        <v>555.91999999999996</v>
      </c>
      <c r="O470" s="1" t="s">
        <v>2095</v>
      </c>
      <c r="P470" s="1" t="s">
        <v>2071</v>
      </c>
      <c r="Q470" s="1" t="str">
        <f>TEXT((Data[[#This Row],[Order_Date]]), "mmm")</f>
        <v>May</v>
      </c>
    </row>
    <row r="471" spans="4:17" x14ac:dyDescent="0.3">
      <c r="D471" s="1" t="s">
        <v>533</v>
      </c>
      <c r="E471" s="2">
        <v>45337</v>
      </c>
      <c r="F471" s="2">
        <v>45340</v>
      </c>
      <c r="G471" s="1" t="s">
        <v>22</v>
      </c>
      <c r="H471" s="1" t="s">
        <v>23</v>
      </c>
      <c r="I471" s="1" t="s">
        <v>61</v>
      </c>
      <c r="J471" s="1" t="s">
        <v>62</v>
      </c>
      <c r="K471" s="3">
        <v>2569.92</v>
      </c>
      <c r="L471" s="1">
        <v>2</v>
      </c>
      <c r="M471" s="1" t="s">
        <v>20</v>
      </c>
      <c r="N471" s="3">
        <v>402.59</v>
      </c>
      <c r="O471" s="1" t="s">
        <v>2140</v>
      </c>
      <c r="P471" s="1" t="s">
        <v>2078</v>
      </c>
      <c r="Q471" s="1" t="str">
        <f>TEXT((Data[[#This Row],[Order_Date]]), "mmm")</f>
        <v>Feb</v>
      </c>
    </row>
    <row r="472" spans="4:17" x14ac:dyDescent="0.3">
      <c r="D472" s="1" t="s">
        <v>534</v>
      </c>
      <c r="E472" s="2">
        <v>45566</v>
      </c>
      <c r="F472" s="2">
        <v>45567</v>
      </c>
      <c r="G472" s="1" t="s">
        <v>22</v>
      </c>
      <c r="H472" s="1" t="s">
        <v>23</v>
      </c>
      <c r="I472" s="1" t="s">
        <v>78</v>
      </c>
      <c r="J472" s="1" t="s">
        <v>79</v>
      </c>
      <c r="K472" s="3">
        <v>3931.28</v>
      </c>
      <c r="L472" s="1">
        <v>12</v>
      </c>
      <c r="M472" s="1" t="s">
        <v>49</v>
      </c>
      <c r="N472" s="3">
        <v>-1061.28</v>
      </c>
      <c r="O472" s="1" t="s">
        <v>2239</v>
      </c>
      <c r="P472" s="1" t="s">
        <v>2078</v>
      </c>
      <c r="Q472" s="1" t="str">
        <f>TEXT((Data[[#This Row],[Order_Date]]), "mmm")</f>
        <v>Oct</v>
      </c>
    </row>
    <row r="473" spans="4:17" x14ac:dyDescent="0.3">
      <c r="D473" s="1" t="s">
        <v>535</v>
      </c>
      <c r="E473" s="2">
        <v>45485</v>
      </c>
      <c r="F473" s="2">
        <v>45490</v>
      </c>
      <c r="G473" s="1" t="s">
        <v>22</v>
      </c>
      <c r="H473" s="1" t="s">
        <v>23</v>
      </c>
      <c r="I473" s="1" t="s">
        <v>61</v>
      </c>
      <c r="J473" s="1" t="s">
        <v>98</v>
      </c>
      <c r="K473" s="3">
        <v>2899.85</v>
      </c>
      <c r="L473" s="1">
        <v>18</v>
      </c>
      <c r="M473" s="1" t="s">
        <v>34</v>
      </c>
      <c r="N473" s="3">
        <v>617.15</v>
      </c>
      <c r="O473" s="1" t="s">
        <v>2194</v>
      </c>
      <c r="P473" s="1" t="s">
        <v>2076</v>
      </c>
      <c r="Q473" s="1" t="str">
        <f>TEXT((Data[[#This Row],[Order_Date]]), "mmm")</f>
        <v>Jul</v>
      </c>
    </row>
    <row r="474" spans="4:17" x14ac:dyDescent="0.3">
      <c r="D474" s="1" t="s">
        <v>536</v>
      </c>
      <c r="E474" s="2">
        <v>45582</v>
      </c>
      <c r="F474" s="2">
        <v>45584</v>
      </c>
      <c r="G474" s="1" t="s">
        <v>36</v>
      </c>
      <c r="H474" s="1" t="s">
        <v>23</v>
      </c>
      <c r="I474" s="1" t="s">
        <v>65</v>
      </c>
      <c r="J474" s="1" t="s">
        <v>114</v>
      </c>
      <c r="K474" s="3">
        <v>3503.73</v>
      </c>
      <c r="L474" s="1">
        <v>20</v>
      </c>
      <c r="M474" s="1" t="s">
        <v>29</v>
      </c>
      <c r="N474" s="3">
        <v>343.73</v>
      </c>
      <c r="O474" s="1" t="s">
        <v>2284</v>
      </c>
      <c r="P474" s="1" t="s">
        <v>2071</v>
      </c>
      <c r="Q474" s="1" t="str">
        <f>TEXT((Data[[#This Row],[Order_Date]]), "mmm")</f>
        <v>Oct</v>
      </c>
    </row>
    <row r="475" spans="4:17" x14ac:dyDescent="0.3">
      <c r="D475" s="1" t="s">
        <v>537</v>
      </c>
      <c r="E475" s="2">
        <v>45522</v>
      </c>
      <c r="F475" s="2">
        <v>45526</v>
      </c>
      <c r="G475" s="1" t="s">
        <v>36</v>
      </c>
      <c r="H475" s="1" t="s">
        <v>12</v>
      </c>
      <c r="I475" s="1" t="s">
        <v>13</v>
      </c>
      <c r="J475" s="1" t="s">
        <v>96</v>
      </c>
      <c r="K475" s="3">
        <v>252.7</v>
      </c>
      <c r="L475" s="1">
        <v>17</v>
      </c>
      <c r="M475" s="1" t="s">
        <v>49</v>
      </c>
      <c r="N475" s="3">
        <v>68.25</v>
      </c>
      <c r="O475" s="1" t="s">
        <v>2104</v>
      </c>
      <c r="P475" s="1" t="s">
        <v>2071</v>
      </c>
      <c r="Q475" s="1" t="str">
        <f>TEXT((Data[[#This Row],[Order_Date]]), "mmm")</f>
        <v>Aug</v>
      </c>
    </row>
    <row r="476" spans="4:17" x14ac:dyDescent="0.3">
      <c r="D476" s="1" t="s">
        <v>538</v>
      </c>
      <c r="E476" s="2">
        <v>45609</v>
      </c>
      <c r="F476" s="2">
        <v>45614</v>
      </c>
      <c r="G476" s="1" t="s">
        <v>22</v>
      </c>
      <c r="H476" s="1" t="s">
        <v>23</v>
      </c>
      <c r="I476" s="1" t="s">
        <v>61</v>
      </c>
      <c r="J476" s="1" t="s">
        <v>62</v>
      </c>
      <c r="K476" s="3">
        <v>3876.86</v>
      </c>
      <c r="L476" s="1">
        <v>13</v>
      </c>
      <c r="M476" s="1" t="s">
        <v>44</v>
      </c>
      <c r="N476" s="3">
        <v>803.37</v>
      </c>
      <c r="O476" s="1" t="s">
        <v>2136</v>
      </c>
      <c r="P476" s="1" t="s">
        <v>2078</v>
      </c>
      <c r="Q476" s="1" t="str">
        <f>TEXT((Data[[#This Row],[Order_Date]]), "mmm")</f>
        <v>Nov</v>
      </c>
    </row>
    <row r="477" spans="4:17" x14ac:dyDescent="0.3">
      <c r="D477" s="1" t="s">
        <v>539</v>
      </c>
      <c r="E477" s="2">
        <v>45574</v>
      </c>
      <c r="F477" s="2">
        <v>45576</v>
      </c>
      <c r="G477" s="1" t="s">
        <v>36</v>
      </c>
      <c r="H477" s="1" t="s">
        <v>23</v>
      </c>
      <c r="I477" s="1" t="s">
        <v>65</v>
      </c>
      <c r="J477" s="1" t="s">
        <v>122</v>
      </c>
      <c r="K477" s="3">
        <v>1457.59</v>
      </c>
      <c r="L477" s="1">
        <v>4</v>
      </c>
      <c r="M477" s="1" t="s">
        <v>29</v>
      </c>
      <c r="N477" s="3">
        <v>-361</v>
      </c>
      <c r="O477" s="1" t="s">
        <v>2242</v>
      </c>
      <c r="P477" s="1" t="s">
        <v>2076</v>
      </c>
      <c r="Q477" s="1" t="str">
        <f>TEXT((Data[[#This Row],[Order_Date]]), "mmm")</f>
        <v>Oct</v>
      </c>
    </row>
    <row r="478" spans="4:17" x14ac:dyDescent="0.3">
      <c r="D478" s="1" t="s">
        <v>540</v>
      </c>
      <c r="E478" s="2">
        <v>45358</v>
      </c>
      <c r="F478" s="2">
        <v>45360</v>
      </c>
      <c r="G478" s="1" t="s">
        <v>11</v>
      </c>
      <c r="H478" s="1" t="s">
        <v>17</v>
      </c>
      <c r="I478" s="1" t="s">
        <v>18</v>
      </c>
      <c r="J478" s="1" t="s">
        <v>54</v>
      </c>
      <c r="K478" s="3">
        <v>968.56</v>
      </c>
      <c r="L478" s="1">
        <v>2</v>
      </c>
      <c r="M478" s="1" t="s">
        <v>29</v>
      </c>
      <c r="N478" s="3">
        <v>234.9</v>
      </c>
      <c r="O478" s="1" t="s">
        <v>2156</v>
      </c>
      <c r="P478" s="1" t="s">
        <v>2076</v>
      </c>
      <c r="Q478" s="1" t="str">
        <f>TEXT((Data[[#This Row],[Order_Date]]), "mmm")</f>
        <v>Mar</v>
      </c>
    </row>
    <row r="479" spans="4:17" x14ac:dyDescent="0.3">
      <c r="D479" s="1" t="s">
        <v>541</v>
      </c>
      <c r="E479" s="2">
        <v>45542</v>
      </c>
      <c r="F479" s="2">
        <v>45546</v>
      </c>
      <c r="G479" s="1" t="s">
        <v>11</v>
      </c>
      <c r="H479" s="1" t="s">
        <v>23</v>
      </c>
      <c r="I479" s="1" t="s">
        <v>78</v>
      </c>
      <c r="J479" s="1" t="s">
        <v>118</v>
      </c>
      <c r="K479" s="3">
        <v>299.07</v>
      </c>
      <c r="L479" s="1">
        <v>7</v>
      </c>
      <c r="M479" s="1" t="s">
        <v>15</v>
      </c>
      <c r="N479" s="3">
        <v>59.04</v>
      </c>
      <c r="O479" s="1" t="s">
        <v>2102</v>
      </c>
      <c r="P479" s="1" t="s">
        <v>2076</v>
      </c>
      <c r="Q479" s="1" t="str">
        <f>TEXT((Data[[#This Row],[Order_Date]]), "mmm")</f>
        <v>Sep</v>
      </c>
    </row>
    <row r="480" spans="4:17" x14ac:dyDescent="0.3">
      <c r="D480" s="1" t="s">
        <v>542</v>
      </c>
      <c r="E480" s="2">
        <v>45332</v>
      </c>
      <c r="F480" s="2">
        <v>45339</v>
      </c>
      <c r="G480" s="1" t="s">
        <v>11</v>
      </c>
      <c r="H480" s="1" t="s">
        <v>23</v>
      </c>
      <c r="I480" s="1" t="s">
        <v>65</v>
      </c>
      <c r="J480" s="1" t="s">
        <v>114</v>
      </c>
      <c r="K480" s="3">
        <v>3228.44</v>
      </c>
      <c r="L480" s="1">
        <v>2</v>
      </c>
      <c r="M480" s="1" t="s">
        <v>29</v>
      </c>
      <c r="N480" s="3">
        <v>-418.87</v>
      </c>
      <c r="O480" s="1" t="s">
        <v>2205</v>
      </c>
      <c r="P480" s="1" t="s">
        <v>2076</v>
      </c>
      <c r="Q480" s="1" t="str">
        <f>TEXT((Data[[#This Row],[Order_Date]]), "mmm")</f>
        <v>Feb</v>
      </c>
    </row>
    <row r="481" spans="4:17" x14ac:dyDescent="0.3">
      <c r="D481" s="1" t="s">
        <v>543</v>
      </c>
      <c r="E481" s="2">
        <v>45328</v>
      </c>
      <c r="F481" s="2">
        <v>45332</v>
      </c>
      <c r="G481" s="1" t="s">
        <v>11</v>
      </c>
      <c r="H481" s="1" t="s">
        <v>17</v>
      </c>
      <c r="I481" s="1" t="s">
        <v>32</v>
      </c>
      <c r="J481" s="1" t="s">
        <v>56</v>
      </c>
      <c r="K481" s="3">
        <v>629.59</v>
      </c>
      <c r="L481" s="1">
        <v>8</v>
      </c>
      <c r="M481" s="1" t="s">
        <v>29</v>
      </c>
      <c r="N481" s="3">
        <v>104.26</v>
      </c>
      <c r="O481" s="1" t="s">
        <v>2128</v>
      </c>
      <c r="P481" s="1" t="s">
        <v>2078</v>
      </c>
      <c r="Q481" s="1" t="str">
        <f>TEXT((Data[[#This Row],[Order_Date]]), "mmm")</f>
        <v>Feb</v>
      </c>
    </row>
    <row r="482" spans="4:17" x14ac:dyDescent="0.3">
      <c r="D482" s="1" t="s">
        <v>544</v>
      </c>
      <c r="E482" s="2">
        <v>45628</v>
      </c>
      <c r="F482" s="2">
        <v>45631</v>
      </c>
      <c r="G482" s="1" t="s">
        <v>22</v>
      </c>
      <c r="H482" s="1" t="s">
        <v>12</v>
      </c>
      <c r="I482" s="1" t="s">
        <v>42</v>
      </c>
      <c r="J482" s="1" t="s">
        <v>48</v>
      </c>
      <c r="K482" s="3">
        <v>3123.56</v>
      </c>
      <c r="L482" s="1">
        <v>19</v>
      </c>
      <c r="M482" s="1" t="s">
        <v>34</v>
      </c>
      <c r="N482" s="3">
        <v>788.22</v>
      </c>
      <c r="O482" s="1" t="s">
        <v>2220</v>
      </c>
      <c r="P482" s="1" t="s">
        <v>2071</v>
      </c>
      <c r="Q482" s="1" t="str">
        <f>TEXT((Data[[#This Row],[Order_Date]]), "mmm")</f>
        <v>Dec</v>
      </c>
    </row>
    <row r="483" spans="4:17" x14ac:dyDescent="0.3">
      <c r="D483" s="1" t="s">
        <v>545</v>
      </c>
      <c r="E483" s="2">
        <v>45510</v>
      </c>
      <c r="F483" s="2">
        <v>45511</v>
      </c>
      <c r="G483" s="1" t="s">
        <v>22</v>
      </c>
      <c r="H483" s="1" t="s">
        <v>17</v>
      </c>
      <c r="I483" s="1" t="s">
        <v>32</v>
      </c>
      <c r="J483" s="1" t="s">
        <v>33</v>
      </c>
      <c r="K483" s="3">
        <v>2142.6</v>
      </c>
      <c r="L483" s="1">
        <v>6</v>
      </c>
      <c r="M483" s="1" t="s">
        <v>29</v>
      </c>
      <c r="N483" s="3">
        <v>748.9</v>
      </c>
      <c r="O483" s="1" t="s">
        <v>2140</v>
      </c>
      <c r="P483" s="1" t="s">
        <v>2071</v>
      </c>
      <c r="Q483" s="1" t="str">
        <f>TEXT((Data[[#This Row],[Order_Date]]), "mmm")</f>
        <v>Aug</v>
      </c>
    </row>
    <row r="484" spans="4:17" x14ac:dyDescent="0.3">
      <c r="D484" s="1" t="s">
        <v>546</v>
      </c>
      <c r="E484" s="2">
        <v>45472</v>
      </c>
      <c r="F484" s="2">
        <v>45477</v>
      </c>
      <c r="G484" s="1" t="s">
        <v>36</v>
      </c>
      <c r="H484" s="1" t="s">
        <v>23</v>
      </c>
      <c r="I484" s="1" t="s">
        <v>65</v>
      </c>
      <c r="J484" s="1" t="s">
        <v>122</v>
      </c>
      <c r="K484" s="3">
        <v>1864.71</v>
      </c>
      <c r="L484" s="1">
        <v>11</v>
      </c>
      <c r="M484" s="1" t="s">
        <v>29</v>
      </c>
      <c r="N484" s="3">
        <v>227.9</v>
      </c>
      <c r="O484" s="1" t="s">
        <v>2206</v>
      </c>
      <c r="P484" s="1" t="s">
        <v>2076</v>
      </c>
      <c r="Q484" s="1" t="str">
        <f>TEXT((Data[[#This Row],[Order_Date]]), "mmm")</f>
        <v>Jun</v>
      </c>
    </row>
    <row r="485" spans="4:17" x14ac:dyDescent="0.3">
      <c r="D485" s="1" t="s">
        <v>547</v>
      </c>
      <c r="E485" s="2">
        <v>45484</v>
      </c>
      <c r="F485" s="2">
        <v>45488</v>
      </c>
      <c r="G485" s="1" t="s">
        <v>36</v>
      </c>
      <c r="H485" s="1" t="s">
        <v>23</v>
      </c>
      <c r="I485" s="1" t="s">
        <v>65</v>
      </c>
      <c r="J485" s="1" t="s">
        <v>114</v>
      </c>
      <c r="K485" s="3">
        <v>250.73</v>
      </c>
      <c r="L485" s="1">
        <v>2</v>
      </c>
      <c r="M485" s="1" t="s">
        <v>34</v>
      </c>
      <c r="N485" s="3">
        <v>57.35</v>
      </c>
      <c r="O485" s="1" t="s">
        <v>2134</v>
      </c>
      <c r="P485" s="1" t="s">
        <v>2078</v>
      </c>
      <c r="Q485" s="1" t="str">
        <f>TEXT((Data[[#This Row],[Order_Date]]), "mmm")</f>
        <v>Jul</v>
      </c>
    </row>
    <row r="486" spans="4:17" x14ac:dyDescent="0.3">
      <c r="D486" s="1" t="s">
        <v>548</v>
      </c>
      <c r="E486" s="2">
        <v>45446</v>
      </c>
      <c r="F486" s="2">
        <v>45446</v>
      </c>
      <c r="G486" s="1" t="s">
        <v>36</v>
      </c>
      <c r="H486" s="1" t="s">
        <v>17</v>
      </c>
      <c r="I486" s="1" t="s">
        <v>18</v>
      </c>
      <c r="J486" s="1" t="s">
        <v>54</v>
      </c>
      <c r="K486" s="3">
        <v>331.38</v>
      </c>
      <c r="L486" s="1">
        <v>9</v>
      </c>
      <c r="M486" s="1" t="s">
        <v>29</v>
      </c>
      <c r="N486" s="3">
        <v>67.400000000000006</v>
      </c>
      <c r="O486" s="1" t="s">
        <v>2241</v>
      </c>
      <c r="P486" s="1" t="s">
        <v>2078</v>
      </c>
      <c r="Q486" s="1" t="str">
        <f>TEXT((Data[[#This Row],[Order_Date]]), "mmm")</f>
        <v>Jun</v>
      </c>
    </row>
    <row r="487" spans="4:17" x14ac:dyDescent="0.3">
      <c r="D487" s="1" t="s">
        <v>549</v>
      </c>
      <c r="E487" s="2">
        <v>45584</v>
      </c>
      <c r="F487" s="2">
        <v>45586</v>
      </c>
      <c r="G487" s="1" t="s">
        <v>11</v>
      </c>
      <c r="H487" s="1" t="s">
        <v>17</v>
      </c>
      <c r="I487" s="1" t="s">
        <v>27</v>
      </c>
      <c r="J487" s="1" t="s">
        <v>110</v>
      </c>
      <c r="K487" s="3">
        <v>835.4</v>
      </c>
      <c r="L487" s="1">
        <v>9</v>
      </c>
      <c r="M487" s="1" t="s">
        <v>34</v>
      </c>
      <c r="N487" s="3">
        <v>264.73</v>
      </c>
      <c r="O487" s="1" t="s">
        <v>2253</v>
      </c>
      <c r="P487" s="1" t="s">
        <v>2078</v>
      </c>
      <c r="Q487" s="1" t="str">
        <f>TEXT((Data[[#This Row],[Order_Date]]), "mmm")</f>
        <v>Oct</v>
      </c>
    </row>
    <row r="488" spans="4:17" x14ac:dyDescent="0.3">
      <c r="D488" s="1" t="s">
        <v>550</v>
      </c>
      <c r="E488" s="2">
        <v>45423</v>
      </c>
      <c r="F488" s="2">
        <v>45427</v>
      </c>
      <c r="G488" s="1" t="s">
        <v>11</v>
      </c>
      <c r="H488" s="1" t="s">
        <v>12</v>
      </c>
      <c r="I488" s="1" t="s">
        <v>42</v>
      </c>
      <c r="J488" s="1" t="s">
        <v>72</v>
      </c>
      <c r="K488" s="3">
        <v>3003.5</v>
      </c>
      <c r="L488" s="1">
        <v>11</v>
      </c>
      <c r="M488" s="1" t="s">
        <v>49</v>
      </c>
      <c r="N488" s="3">
        <v>305.97000000000003</v>
      </c>
      <c r="O488" s="1" t="s">
        <v>2263</v>
      </c>
      <c r="P488" s="1" t="s">
        <v>2078</v>
      </c>
      <c r="Q488" s="1" t="str">
        <f>TEXT((Data[[#This Row],[Order_Date]]), "mmm")</f>
        <v>May</v>
      </c>
    </row>
    <row r="489" spans="4:17" x14ac:dyDescent="0.3">
      <c r="D489" s="1" t="s">
        <v>551</v>
      </c>
      <c r="E489" s="2">
        <v>45645</v>
      </c>
      <c r="F489" s="2">
        <v>45646</v>
      </c>
      <c r="G489" s="1" t="s">
        <v>36</v>
      </c>
      <c r="H489" s="1" t="s">
        <v>17</v>
      </c>
      <c r="I489" s="1" t="s">
        <v>32</v>
      </c>
      <c r="J489" s="1" t="s">
        <v>33</v>
      </c>
      <c r="K489" s="3">
        <v>544.29</v>
      </c>
      <c r="L489" s="1">
        <v>2</v>
      </c>
      <c r="M489" s="1" t="s">
        <v>34</v>
      </c>
      <c r="N489" s="3">
        <v>84.03</v>
      </c>
      <c r="O489" s="1" t="s">
        <v>2219</v>
      </c>
      <c r="P489" s="1" t="s">
        <v>2078</v>
      </c>
      <c r="Q489" s="1" t="str">
        <f>TEXT((Data[[#This Row],[Order_Date]]), "mmm")</f>
        <v>Dec</v>
      </c>
    </row>
    <row r="490" spans="4:17" x14ac:dyDescent="0.3">
      <c r="D490" s="1" t="s">
        <v>552</v>
      </c>
      <c r="E490" s="2">
        <v>45505</v>
      </c>
      <c r="F490" s="2">
        <v>45506</v>
      </c>
      <c r="G490" s="1" t="s">
        <v>22</v>
      </c>
      <c r="H490" s="1" t="s">
        <v>12</v>
      </c>
      <c r="I490" s="1" t="s">
        <v>38</v>
      </c>
      <c r="J490" s="1" t="s">
        <v>39</v>
      </c>
      <c r="K490" s="3">
        <v>3165.32</v>
      </c>
      <c r="L490" s="1">
        <v>13</v>
      </c>
      <c r="M490" s="1" t="s">
        <v>20</v>
      </c>
      <c r="N490" s="3">
        <v>-447.69</v>
      </c>
      <c r="O490" s="1" t="s">
        <v>2165</v>
      </c>
      <c r="P490" s="1" t="s">
        <v>2078</v>
      </c>
      <c r="Q490" s="1" t="str">
        <f>TEXT((Data[[#This Row],[Order_Date]]), "mmm")</f>
        <v>Aug</v>
      </c>
    </row>
    <row r="491" spans="4:17" x14ac:dyDescent="0.3">
      <c r="D491" s="1" t="s">
        <v>553</v>
      </c>
      <c r="E491" s="2">
        <v>45568</v>
      </c>
      <c r="F491" s="2">
        <v>45570</v>
      </c>
      <c r="G491" s="1" t="s">
        <v>36</v>
      </c>
      <c r="H491" s="1" t="s">
        <v>12</v>
      </c>
      <c r="I491" s="1" t="s">
        <v>58</v>
      </c>
      <c r="J491" s="1" t="s">
        <v>120</v>
      </c>
      <c r="K491" s="3">
        <v>439.45</v>
      </c>
      <c r="L491" s="1">
        <v>13</v>
      </c>
      <c r="M491" s="1" t="s">
        <v>49</v>
      </c>
      <c r="N491" s="3">
        <v>121.22</v>
      </c>
      <c r="O491" s="1" t="s">
        <v>2285</v>
      </c>
      <c r="P491" s="1" t="s">
        <v>2076</v>
      </c>
      <c r="Q491" s="1" t="str">
        <f>TEXT((Data[[#This Row],[Order_Date]]), "mmm")</f>
        <v>Oct</v>
      </c>
    </row>
    <row r="492" spans="4:17" x14ac:dyDescent="0.3">
      <c r="D492" s="1" t="s">
        <v>554</v>
      </c>
      <c r="E492" s="2">
        <v>45338</v>
      </c>
      <c r="F492" s="2">
        <v>45341</v>
      </c>
      <c r="G492" s="1" t="s">
        <v>31</v>
      </c>
      <c r="H492" s="1" t="s">
        <v>23</v>
      </c>
      <c r="I492" s="1" t="s">
        <v>65</v>
      </c>
      <c r="J492" s="1" t="s">
        <v>66</v>
      </c>
      <c r="K492" s="3">
        <v>745.71</v>
      </c>
      <c r="L492" s="1">
        <v>3</v>
      </c>
      <c r="M492" s="1" t="s">
        <v>49</v>
      </c>
      <c r="N492" s="3">
        <v>-165.12</v>
      </c>
      <c r="O492" s="1" t="s">
        <v>2259</v>
      </c>
      <c r="P492" s="1" t="s">
        <v>2078</v>
      </c>
      <c r="Q492" s="1" t="str">
        <f>TEXT((Data[[#This Row],[Order_Date]]), "mmm")</f>
        <v>Feb</v>
      </c>
    </row>
    <row r="493" spans="4:17" x14ac:dyDescent="0.3">
      <c r="D493" s="1" t="s">
        <v>555</v>
      </c>
      <c r="E493" s="2">
        <v>45496</v>
      </c>
      <c r="F493" s="2">
        <v>45500</v>
      </c>
      <c r="G493" s="1" t="s">
        <v>11</v>
      </c>
      <c r="H493" s="1" t="s">
        <v>23</v>
      </c>
      <c r="I493" s="1" t="s">
        <v>65</v>
      </c>
      <c r="J493" s="1" t="s">
        <v>122</v>
      </c>
      <c r="K493" s="3">
        <v>738.91</v>
      </c>
      <c r="L493" s="1">
        <v>5</v>
      </c>
      <c r="M493" s="1" t="s">
        <v>49</v>
      </c>
      <c r="N493" s="3">
        <v>160.93</v>
      </c>
      <c r="O493" s="1" t="s">
        <v>2096</v>
      </c>
      <c r="P493" s="1" t="s">
        <v>2076</v>
      </c>
      <c r="Q493" s="1" t="str">
        <f>TEXT((Data[[#This Row],[Order_Date]]), "mmm")</f>
        <v>Jul</v>
      </c>
    </row>
    <row r="494" spans="4:17" x14ac:dyDescent="0.3">
      <c r="D494" s="1" t="s">
        <v>556</v>
      </c>
      <c r="E494" s="2">
        <v>45625</v>
      </c>
      <c r="F494" s="2">
        <v>45628</v>
      </c>
      <c r="G494" s="1" t="s">
        <v>22</v>
      </c>
      <c r="H494" s="1" t="s">
        <v>17</v>
      </c>
      <c r="I494" s="1" t="s">
        <v>18</v>
      </c>
      <c r="J494" s="1" t="s">
        <v>54</v>
      </c>
      <c r="K494" s="3">
        <v>3162.89</v>
      </c>
      <c r="L494" s="1">
        <v>11</v>
      </c>
      <c r="M494" s="1" t="s">
        <v>15</v>
      </c>
      <c r="N494" s="3">
        <v>-1035.03</v>
      </c>
      <c r="O494" s="1" t="s">
        <v>2162</v>
      </c>
      <c r="P494" s="1" t="s">
        <v>2071</v>
      </c>
      <c r="Q494" s="1" t="str">
        <f>TEXT((Data[[#This Row],[Order_Date]]), "mmm")</f>
        <v>Nov</v>
      </c>
    </row>
    <row r="495" spans="4:17" x14ac:dyDescent="0.3">
      <c r="D495" s="1" t="s">
        <v>557</v>
      </c>
      <c r="E495" s="2">
        <v>45635</v>
      </c>
      <c r="F495" s="2">
        <v>45641</v>
      </c>
      <c r="G495" s="1" t="s">
        <v>31</v>
      </c>
      <c r="H495" s="1" t="s">
        <v>23</v>
      </c>
      <c r="I495" s="1" t="s">
        <v>24</v>
      </c>
      <c r="J495" s="1" t="s">
        <v>25</v>
      </c>
      <c r="K495" s="3">
        <v>1452.77</v>
      </c>
      <c r="L495" s="1">
        <v>20</v>
      </c>
      <c r="M495" s="1" t="s">
        <v>15</v>
      </c>
      <c r="N495" s="3">
        <v>83.19</v>
      </c>
      <c r="O495" s="1" t="s">
        <v>2257</v>
      </c>
      <c r="P495" s="1" t="s">
        <v>2078</v>
      </c>
      <c r="Q495" s="1" t="str">
        <f>TEXT((Data[[#This Row],[Order_Date]]), "mmm")</f>
        <v>Dec</v>
      </c>
    </row>
    <row r="496" spans="4:17" x14ac:dyDescent="0.3">
      <c r="D496" s="1" t="s">
        <v>558</v>
      </c>
      <c r="E496" s="2">
        <v>45471</v>
      </c>
      <c r="F496" s="2">
        <v>45478</v>
      </c>
      <c r="G496" s="1" t="s">
        <v>22</v>
      </c>
      <c r="H496" s="1" t="s">
        <v>23</v>
      </c>
      <c r="I496" s="1" t="s">
        <v>61</v>
      </c>
      <c r="J496" s="1" t="s">
        <v>76</v>
      </c>
      <c r="K496" s="3">
        <v>998.82</v>
      </c>
      <c r="L496" s="1">
        <v>12</v>
      </c>
      <c r="M496" s="1" t="s">
        <v>44</v>
      </c>
      <c r="N496" s="3">
        <v>276.99</v>
      </c>
      <c r="O496" s="1" t="s">
        <v>2142</v>
      </c>
      <c r="P496" s="1" t="s">
        <v>2078</v>
      </c>
      <c r="Q496" s="1" t="str">
        <f>TEXT((Data[[#This Row],[Order_Date]]), "mmm")</f>
        <v>Jun</v>
      </c>
    </row>
    <row r="497" spans="4:17" x14ac:dyDescent="0.3">
      <c r="D497" s="1" t="s">
        <v>559</v>
      </c>
      <c r="E497" s="2">
        <v>45349</v>
      </c>
      <c r="F497" s="2">
        <v>45349</v>
      </c>
      <c r="G497" s="1" t="s">
        <v>22</v>
      </c>
      <c r="H497" s="1" t="s">
        <v>12</v>
      </c>
      <c r="I497" s="1" t="s">
        <v>58</v>
      </c>
      <c r="J497" s="1" t="s">
        <v>105</v>
      </c>
      <c r="K497" s="3">
        <v>301.5</v>
      </c>
      <c r="L497" s="1">
        <v>4</v>
      </c>
      <c r="M497" s="1" t="s">
        <v>34</v>
      </c>
      <c r="N497" s="3">
        <v>-55.78</v>
      </c>
      <c r="O497" s="1" t="s">
        <v>2196</v>
      </c>
      <c r="P497" s="1" t="s">
        <v>2076</v>
      </c>
      <c r="Q497" s="1" t="str">
        <f>TEXT((Data[[#This Row],[Order_Date]]), "mmm")</f>
        <v>Feb</v>
      </c>
    </row>
    <row r="498" spans="4:17" x14ac:dyDescent="0.3">
      <c r="D498" s="1" t="s">
        <v>560</v>
      </c>
      <c r="E498" s="2">
        <v>45399</v>
      </c>
      <c r="F498" s="2">
        <v>45402</v>
      </c>
      <c r="G498" s="1" t="s">
        <v>22</v>
      </c>
      <c r="H498" s="1" t="s">
        <v>12</v>
      </c>
      <c r="I498" s="1" t="s">
        <v>13</v>
      </c>
      <c r="J498" s="1" t="s">
        <v>96</v>
      </c>
      <c r="K498" s="3">
        <v>2586.41</v>
      </c>
      <c r="L498" s="1">
        <v>5</v>
      </c>
      <c r="M498" s="1" t="s">
        <v>15</v>
      </c>
      <c r="N498" s="3">
        <v>-671.5</v>
      </c>
      <c r="O498" s="1" t="s">
        <v>2152</v>
      </c>
      <c r="P498" s="1" t="s">
        <v>2078</v>
      </c>
      <c r="Q498" s="1" t="str">
        <f>TEXT((Data[[#This Row],[Order_Date]]), "mmm")</f>
        <v>Apr</v>
      </c>
    </row>
    <row r="499" spans="4:17" x14ac:dyDescent="0.3">
      <c r="D499" s="1" t="s">
        <v>561</v>
      </c>
      <c r="E499" s="2">
        <v>45590</v>
      </c>
      <c r="F499" s="2">
        <v>45590</v>
      </c>
      <c r="G499" s="1" t="s">
        <v>36</v>
      </c>
      <c r="H499" s="1" t="s">
        <v>17</v>
      </c>
      <c r="I499" s="1" t="s">
        <v>18</v>
      </c>
      <c r="J499" s="1" t="s">
        <v>54</v>
      </c>
      <c r="K499" s="3">
        <v>1002.61</v>
      </c>
      <c r="L499" s="1">
        <v>20</v>
      </c>
      <c r="M499" s="1" t="s">
        <v>34</v>
      </c>
      <c r="N499" s="3">
        <v>66.099999999999994</v>
      </c>
      <c r="O499" s="1" t="s">
        <v>2117</v>
      </c>
      <c r="P499" s="1" t="s">
        <v>2071</v>
      </c>
      <c r="Q499" s="1" t="str">
        <f>TEXT((Data[[#This Row],[Order_Date]]), "mmm")</f>
        <v>Oct</v>
      </c>
    </row>
    <row r="500" spans="4:17" x14ac:dyDescent="0.3">
      <c r="D500" s="1" t="s">
        <v>562</v>
      </c>
      <c r="E500" s="2">
        <v>45296</v>
      </c>
      <c r="F500" s="2">
        <v>45297</v>
      </c>
      <c r="G500" s="1" t="s">
        <v>31</v>
      </c>
      <c r="H500" s="1" t="s">
        <v>12</v>
      </c>
      <c r="I500" s="1" t="s">
        <v>13</v>
      </c>
      <c r="J500" s="1" t="s">
        <v>129</v>
      </c>
      <c r="K500" s="3">
        <v>3491.06</v>
      </c>
      <c r="L500" s="1">
        <v>1</v>
      </c>
      <c r="M500" s="1" t="s">
        <v>34</v>
      </c>
      <c r="N500" s="3">
        <v>1083.01</v>
      </c>
      <c r="O500" s="1" t="s">
        <v>2084</v>
      </c>
      <c r="P500" s="1" t="s">
        <v>2076</v>
      </c>
      <c r="Q500" s="1" t="str">
        <f>TEXT((Data[[#This Row],[Order_Date]]), "mmm")</f>
        <v>Jan</v>
      </c>
    </row>
    <row r="501" spans="4:17" x14ac:dyDescent="0.3">
      <c r="D501" s="1" t="s">
        <v>563</v>
      </c>
      <c r="E501" s="2">
        <v>45410</v>
      </c>
      <c r="F501" s="2">
        <v>45416</v>
      </c>
      <c r="G501" s="1" t="s">
        <v>11</v>
      </c>
      <c r="H501" s="1" t="s">
        <v>23</v>
      </c>
      <c r="I501" s="1" t="s">
        <v>65</v>
      </c>
      <c r="J501" s="1" t="s">
        <v>122</v>
      </c>
      <c r="K501" s="3">
        <v>2243.35</v>
      </c>
      <c r="L501" s="1">
        <v>6</v>
      </c>
      <c r="M501" s="1" t="s">
        <v>44</v>
      </c>
      <c r="N501" s="3">
        <v>449.11</v>
      </c>
      <c r="O501" s="1" t="s">
        <v>2238</v>
      </c>
      <c r="P501" s="1" t="s">
        <v>2071</v>
      </c>
      <c r="Q501" s="1" t="str">
        <f>TEXT((Data[[#This Row],[Order_Date]]), "mmm")</f>
        <v>Apr</v>
      </c>
    </row>
    <row r="502" spans="4:17" x14ac:dyDescent="0.3">
      <c r="D502" s="1" t="s">
        <v>564</v>
      </c>
      <c r="E502" s="2">
        <v>45656</v>
      </c>
      <c r="F502" s="2">
        <v>45656</v>
      </c>
      <c r="G502" s="1" t="s">
        <v>11</v>
      </c>
      <c r="H502" s="1" t="s">
        <v>17</v>
      </c>
      <c r="I502" s="1" t="s">
        <v>32</v>
      </c>
      <c r="J502" s="1" t="s">
        <v>33</v>
      </c>
      <c r="K502" s="3">
        <v>1500.89</v>
      </c>
      <c r="L502" s="1">
        <v>13</v>
      </c>
      <c r="M502" s="1" t="s">
        <v>15</v>
      </c>
      <c r="N502" s="3">
        <v>145.74</v>
      </c>
      <c r="O502" s="1" t="s">
        <v>2203</v>
      </c>
      <c r="P502" s="1" t="s">
        <v>2071</v>
      </c>
      <c r="Q502" s="1" t="str">
        <f>TEXT((Data[[#This Row],[Order_Date]]), "mmm")</f>
        <v>Dec</v>
      </c>
    </row>
    <row r="503" spans="4:17" x14ac:dyDescent="0.3">
      <c r="D503" s="1" t="s">
        <v>565</v>
      </c>
      <c r="E503" s="2">
        <v>45472</v>
      </c>
      <c r="F503" s="2">
        <v>45477</v>
      </c>
      <c r="G503" s="1" t="s">
        <v>36</v>
      </c>
      <c r="H503" s="1" t="s">
        <v>17</v>
      </c>
      <c r="I503" s="1" t="s">
        <v>32</v>
      </c>
      <c r="J503" s="1" t="s">
        <v>33</v>
      </c>
      <c r="K503" s="3">
        <v>3294.6</v>
      </c>
      <c r="L503" s="1">
        <v>9</v>
      </c>
      <c r="M503" s="1" t="s">
        <v>49</v>
      </c>
      <c r="N503" s="3">
        <v>1044.79</v>
      </c>
      <c r="O503" s="1" t="s">
        <v>2286</v>
      </c>
      <c r="P503" s="1" t="s">
        <v>2076</v>
      </c>
      <c r="Q503" s="1" t="str">
        <f>TEXT((Data[[#This Row],[Order_Date]]), "mmm")</f>
        <v>Jun</v>
      </c>
    </row>
    <row r="504" spans="4:17" x14ac:dyDescent="0.3">
      <c r="D504" s="1" t="s">
        <v>566</v>
      </c>
      <c r="E504" s="2">
        <v>45307</v>
      </c>
      <c r="F504" s="2">
        <v>45311</v>
      </c>
      <c r="G504" s="1" t="s">
        <v>22</v>
      </c>
      <c r="H504" s="1" t="s">
        <v>17</v>
      </c>
      <c r="I504" s="1" t="s">
        <v>27</v>
      </c>
      <c r="J504" s="1" t="s">
        <v>108</v>
      </c>
      <c r="K504" s="3">
        <v>2713.49</v>
      </c>
      <c r="L504" s="1">
        <v>3</v>
      </c>
      <c r="M504" s="1" t="s">
        <v>15</v>
      </c>
      <c r="N504" s="3">
        <v>446.81</v>
      </c>
      <c r="O504" s="1" t="s">
        <v>2171</v>
      </c>
      <c r="P504" s="1" t="s">
        <v>2071</v>
      </c>
      <c r="Q504" s="1" t="str">
        <f>TEXT((Data[[#This Row],[Order_Date]]), "mmm")</f>
        <v>Jan</v>
      </c>
    </row>
    <row r="505" spans="4:17" x14ac:dyDescent="0.3">
      <c r="D505" s="1" t="s">
        <v>567</v>
      </c>
      <c r="E505" s="2">
        <v>45605</v>
      </c>
      <c r="F505" s="2">
        <v>45608</v>
      </c>
      <c r="G505" s="1" t="s">
        <v>31</v>
      </c>
      <c r="H505" s="1" t="s">
        <v>17</v>
      </c>
      <c r="I505" s="1" t="s">
        <v>32</v>
      </c>
      <c r="J505" s="1" t="s">
        <v>56</v>
      </c>
      <c r="K505" s="3">
        <v>1849.24</v>
      </c>
      <c r="L505" s="1">
        <v>10</v>
      </c>
      <c r="M505" s="1" t="s">
        <v>29</v>
      </c>
      <c r="N505" s="3">
        <v>275.14</v>
      </c>
      <c r="O505" s="1" t="s">
        <v>2261</v>
      </c>
      <c r="P505" s="1" t="s">
        <v>2076</v>
      </c>
      <c r="Q505" s="1" t="str">
        <f>TEXT((Data[[#This Row],[Order_Date]]), "mmm")</f>
        <v>Nov</v>
      </c>
    </row>
    <row r="506" spans="4:17" x14ac:dyDescent="0.3">
      <c r="D506" s="1" t="s">
        <v>568</v>
      </c>
      <c r="E506" s="2">
        <v>45397</v>
      </c>
      <c r="F506" s="2">
        <v>45399</v>
      </c>
      <c r="G506" s="1" t="s">
        <v>22</v>
      </c>
      <c r="H506" s="1" t="s">
        <v>17</v>
      </c>
      <c r="I506" s="1" t="s">
        <v>27</v>
      </c>
      <c r="J506" s="1" t="s">
        <v>132</v>
      </c>
      <c r="K506" s="3">
        <v>1862.74</v>
      </c>
      <c r="L506" s="1">
        <v>5</v>
      </c>
      <c r="M506" s="1" t="s">
        <v>15</v>
      </c>
      <c r="N506" s="3">
        <v>614.53</v>
      </c>
      <c r="O506" s="1" t="s">
        <v>2268</v>
      </c>
      <c r="P506" s="1" t="s">
        <v>2078</v>
      </c>
      <c r="Q506" s="1" t="str">
        <f>TEXT((Data[[#This Row],[Order_Date]]), "mmm")</f>
        <v>Apr</v>
      </c>
    </row>
    <row r="507" spans="4:17" x14ac:dyDescent="0.3">
      <c r="D507" s="1" t="s">
        <v>569</v>
      </c>
      <c r="E507" s="2">
        <v>45454</v>
      </c>
      <c r="F507" s="2">
        <v>45455</v>
      </c>
      <c r="G507" s="1" t="s">
        <v>11</v>
      </c>
      <c r="H507" s="1" t="s">
        <v>17</v>
      </c>
      <c r="I507" s="1" t="s">
        <v>27</v>
      </c>
      <c r="J507" s="1" t="s">
        <v>132</v>
      </c>
      <c r="K507" s="3">
        <v>2976.55</v>
      </c>
      <c r="L507" s="1">
        <v>11</v>
      </c>
      <c r="M507" s="1" t="s">
        <v>49</v>
      </c>
      <c r="N507" s="3">
        <v>1007.14</v>
      </c>
      <c r="O507" s="1" t="s">
        <v>2287</v>
      </c>
      <c r="P507" s="1" t="s">
        <v>2071</v>
      </c>
      <c r="Q507" s="1" t="str">
        <f>TEXT((Data[[#This Row],[Order_Date]]), "mmm")</f>
        <v>Jun</v>
      </c>
    </row>
    <row r="508" spans="4:17" x14ac:dyDescent="0.3">
      <c r="D508" s="1" t="s">
        <v>570</v>
      </c>
      <c r="E508" s="2">
        <v>45618</v>
      </c>
      <c r="F508" s="2">
        <v>45622</v>
      </c>
      <c r="G508" s="1" t="s">
        <v>22</v>
      </c>
      <c r="H508" s="1" t="s">
        <v>17</v>
      </c>
      <c r="I508" s="1" t="s">
        <v>18</v>
      </c>
      <c r="J508" s="1" t="s">
        <v>19</v>
      </c>
      <c r="K508" s="3">
        <v>942.8</v>
      </c>
      <c r="L508" s="1">
        <v>20</v>
      </c>
      <c r="M508" s="1" t="s">
        <v>29</v>
      </c>
      <c r="N508" s="3">
        <v>122.62</v>
      </c>
      <c r="O508" s="1" t="s">
        <v>2228</v>
      </c>
      <c r="P508" s="1" t="s">
        <v>2076</v>
      </c>
      <c r="Q508" s="1" t="str">
        <f>TEXT((Data[[#This Row],[Order_Date]]), "mmm")</f>
        <v>Nov</v>
      </c>
    </row>
    <row r="509" spans="4:17" x14ac:dyDescent="0.3">
      <c r="D509" s="1" t="s">
        <v>571</v>
      </c>
      <c r="E509" s="2">
        <v>45410</v>
      </c>
      <c r="F509" s="2">
        <v>45413</v>
      </c>
      <c r="G509" s="1" t="s">
        <v>22</v>
      </c>
      <c r="H509" s="1" t="s">
        <v>12</v>
      </c>
      <c r="I509" s="1" t="s">
        <v>38</v>
      </c>
      <c r="J509" s="1" t="s">
        <v>85</v>
      </c>
      <c r="K509" s="3">
        <v>548.03</v>
      </c>
      <c r="L509" s="1">
        <v>16</v>
      </c>
      <c r="M509" s="1" t="s">
        <v>44</v>
      </c>
      <c r="N509" s="3">
        <v>109.99</v>
      </c>
      <c r="O509" s="1" t="s">
        <v>2275</v>
      </c>
      <c r="P509" s="1" t="s">
        <v>2076</v>
      </c>
      <c r="Q509" s="1" t="str">
        <f>TEXT((Data[[#This Row],[Order_Date]]), "mmm")</f>
        <v>Apr</v>
      </c>
    </row>
    <row r="510" spans="4:17" x14ac:dyDescent="0.3">
      <c r="D510" s="1" t="s">
        <v>572</v>
      </c>
      <c r="E510" s="2">
        <v>45656</v>
      </c>
      <c r="F510" s="2">
        <v>45661</v>
      </c>
      <c r="G510" s="1" t="s">
        <v>22</v>
      </c>
      <c r="H510" s="1" t="s">
        <v>23</v>
      </c>
      <c r="I510" s="1" t="s">
        <v>65</v>
      </c>
      <c r="J510" s="1" t="s">
        <v>114</v>
      </c>
      <c r="K510" s="3">
        <v>765.67</v>
      </c>
      <c r="L510" s="1">
        <v>7</v>
      </c>
      <c r="M510" s="1" t="s">
        <v>44</v>
      </c>
      <c r="N510" s="3">
        <v>45.69</v>
      </c>
      <c r="O510" s="1" t="s">
        <v>2125</v>
      </c>
      <c r="P510" s="1" t="s">
        <v>2078</v>
      </c>
      <c r="Q510" s="1" t="str">
        <f>TEXT((Data[[#This Row],[Order_Date]]), "mmm")</f>
        <v>Dec</v>
      </c>
    </row>
    <row r="511" spans="4:17" x14ac:dyDescent="0.3">
      <c r="D511" s="1" t="s">
        <v>573</v>
      </c>
      <c r="E511" s="2">
        <v>45299</v>
      </c>
      <c r="F511" s="2">
        <v>45303</v>
      </c>
      <c r="G511" s="1" t="s">
        <v>31</v>
      </c>
      <c r="H511" s="1" t="s">
        <v>17</v>
      </c>
      <c r="I511" s="1" t="s">
        <v>32</v>
      </c>
      <c r="J511" s="1" t="s">
        <v>56</v>
      </c>
      <c r="K511" s="3">
        <v>3091.66</v>
      </c>
      <c r="L511" s="1">
        <v>3</v>
      </c>
      <c r="M511" s="1" t="s">
        <v>44</v>
      </c>
      <c r="N511" s="3">
        <v>1014.47</v>
      </c>
      <c r="O511" s="1" t="s">
        <v>2237</v>
      </c>
      <c r="P511" s="1" t="s">
        <v>2078</v>
      </c>
      <c r="Q511" s="1" t="str">
        <f>TEXT((Data[[#This Row],[Order_Date]]), "mmm")</f>
        <v>Jan</v>
      </c>
    </row>
    <row r="512" spans="4:17" x14ac:dyDescent="0.3">
      <c r="D512" s="1" t="s">
        <v>574</v>
      </c>
      <c r="E512" s="2">
        <v>45607</v>
      </c>
      <c r="F512" s="2">
        <v>45614</v>
      </c>
      <c r="G512" s="1" t="s">
        <v>36</v>
      </c>
      <c r="H512" s="1" t="s">
        <v>23</v>
      </c>
      <c r="I512" s="1" t="s">
        <v>78</v>
      </c>
      <c r="J512" s="1" t="s">
        <v>79</v>
      </c>
      <c r="K512" s="3">
        <v>1768.25</v>
      </c>
      <c r="L512" s="1">
        <v>2</v>
      </c>
      <c r="M512" s="1" t="s">
        <v>29</v>
      </c>
      <c r="N512" s="3">
        <v>478.49</v>
      </c>
      <c r="O512" s="1" t="s">
        <v>2288</v>
      </c>
      <c r="P512" s="1" t="s">
        <v>2078</v>
      </c>
      <c r="Q512" s="1" t="str">
        <f>TEXT((Data[[#This Row],[Order_Date]]), "mmm")</f>
        <v>Nov</v>
      </c>
    </row>
    <row r="513" spans="4:17" x14ac:dyDescent="0.3">
      <c r="D513" s="1" t="s">
        <v>575</v>
      </c>
      <c r="E513" s="2">
        <v>45452</v>
      </c>
      <c r="F513" s="2">
        <v>45458</v>
      </c>
      <c r="G513" s="1" t="s">
        <v>11</v>
      </c>
      <c r="H513" s="1" t="s">
        <v>12</v>
      </c>
      <c r="I513" s="1" t="s">
        <v>38</v>
      </c>
      <c r="J513" s="1" t="s">
        <v>85</v>
      </c>
      <c r="K513" s="3">
        <v>1963.38</v>
      </c>
      <c r="L513" s="1">
        <v>2</v>
      </c>
      <c r="M513" s="1" t="s">
        <v>44</v>
      </c>
      <c r="N513" s="3">
        <v>403.69</v>
      </c>
      <c r="O513" s="1" t="s">
        <v>2110</v>
      </c>
      <c r="P513" s="1" t="s">
        <v>2071</v>
      </c>
      <c r="Q513" s="1" t="str">
        <f>TEXT((Data[[#This Row],[Order_Date]]), "mmm")</f>
        <v>Jun</v>
      </c>
    </row>
    <row r="514" spans="4:17" x14ac:dyDescent="0.3">
      <c r="D514" s="1" t="s">
        <v>576</v>
      </c>
      <c r="E514" s="2">
        <v>45312</v>
      </c>
      <c r="F514" s="2">
        <v>45318</v>
      </c>
      <c r="G514" s="1" t="s">
        <v>11</v>
      </c>
      <c r="H514" s="1" t="s">
        <v>17</v>
      </c>
      <c r="I514" s="1" t="s">
        <v>27</v>
      </c>
      <c r="J514" s="1" t="s">
        <v>108</v>
      </c>
      <c r="K514" s="3">
        <v>1742.65</v>
      </c>
      <c r="L514" s="1">
        <v>10</v>
      </c>
      <c r="M514" s="1" t="s">
        <v>34</v>
      </c>
      <c r="N514" s="3">
        <v>328.32</v>
      </c>
      <c r="O514" s="1" t="s">
        <v>2173</v>
      </c>
      <c r="P514" s="1" t="s">
        <v>2076</v>
      </c>
      <c r="Q514" s="1" t="str">
        <f>TEXT((Data[[#This Row],[Order_Date]]), "mmm")</f>
        <v>Jan</v>
      </c>
    </row>
    <row r="515" spans="4:17" x14ac:dyDescent="0.3">
      <c r="D515" s="1" t="s">
        <v>577</v>
      </c>
      <c r="E515" s="2">
        <v>45605</v>
      </c>
      <c r="F515" s="2">
        <v>45605</v>
      </c>
      <c r="G515" s="1" t="s">
        <v>22</v>
      </c>
      <c r="H515" s="1" t="s">
        <v>23</v>
      </c>
      <c r="I515" s="1" t="s">
        <v>65</v>
      </c>
      <c r="J515" s="1" t="s">
        <v>66</v>
      </c>
      <c r="K515" s="3">
        <v>2959.93</v>
      </c>
      <c r="L515" s="1">
        <v>4</v>
      </c>
      <c r="M515" s="1" t="s">
        <v>44</v>
      </c>
      <c r="N515" s="3">
        <v>839.49</v>
      </c>
      <c r="O515" s="1" t="s">
        <v>2073</v>
      </c>
      <c r="P515" s="1" t="s">
        <v>2076</v>
      </c>
      <c r="Q515" s="1" t="str">
        <f>TEXT((Data[[#This Row],[Order_Date]]), "mmm")</f>
        <v>Nov</v>
      </c>
    </row>
    <row r="516" spans="4:17" x14ac:dyDescent="0.3">
      <c r="D516" s="1" t="s">
        <v>578</v>
      </c>
      <c r="E516" s="2">
        <v>45648</v>
      </c>
      <c r="F516" s="2">
        <v>45650</v>
      </c>
      <c r="G516" s="1" t="s">
        <v>31</v>
      </c>
      <c r="H516" s="1" t="s">
        <v>23</v>
      </c>
      <c r="I516" s="1" t="s">
        <v>24</v>
      </c>
      <c r="J516" s="1" t="s">
        <v>93</v>
      </c>
      <c r="K516" s="3">
        <v>343.42</v>
      </c>
      <c r="L516" s="1">
        <v>15</v>
      </c>
      <c r="M516" s="1" t="s">
        <v>29</v>
      </c>
      <c r="N516" s="3">
        <v>109.55</v>
      </c>
      <c r="O516" s="1" t="s">
        <v>2099</v>
      </c>
      <c r="P516" s="1" t="s">
        <v>2078</v>
      </c>
      <c r="Q516" s="1" t="str">
        <f>TEXT((Data[[#This Row],[Order_Date]]), "mmm")</f>
        <v>Dec</v>
      </c>
    </row>
    <row r="517" spans="4:17" x14ac:dyDescent="0.3">
      <c r="D517" s="1" t="s">
        <v>579</v>
      </c>
      <c r="E517" s="2">
        <v>45524</v>
      </c>
      <c r="F517" s="2">
        <v>45525</v>
      </c>
      <c r="G517" s="1" t="s">
        <v>36</v>
      </c>
      <c r="H517" s="1" t="s">
        <v>23</v>
      </c>
      <c r="I517" s="1" t="s">
        <v>78</v>
      </c>
      <c r="J517" s="1" t="s">
        <v>118</v>
      </c>
      <c r="K517" s="3">
        <v>591.97</v>
      </c>
      <c r="L517" s="1">
        <v>15</v>
      </c>
      <c r="M517" s="1" t="s">
        <v>15</v>
      </c>
      <c r="N517" s="3">
        <v>94.05</v>
      </c>
      <c r="O517" s="1" t="s">
        <v>2164</v>
      </c>
      <c r="P517" s="1" t="s">
        <v>2076</v>
      </c>
      <c r="Q517" s="1" t="str">
        <f>TEXT((Data[[#This Row],[Order_Date]]), "mmm")</f>
        <v>Aug</v>
      </c>
    </row>
    <row r="518" spans="4:17" x14ac:dyDescent="0.3">
      <c r="D518" s="1" t="s">
        <v>580</v>
      </c>
      <c r="E518" s="2">
        <v>45488</v>
      </c>
      <c r="F518" s="2">
        <v>45490</v>
      </c>
      <c r="G518" s="1" t="s">
        <v>31</v>
      </c>
      <c r="H518" s="1" t="s">
        <v>12</v>
      </c>
      <c r="I518" s="1" t="s">
        <v>42</v>
      </c>
      <c r="J518" s="1" t="s">
        <v>48</v>
      </c>
      <c r="K518" s="3">
        <v>3130.98</v>
      </c>
      <c r="L518" s="1">
        <v>11</v>
      </c>
      <c r="M518" s="1" t="s">
        <v>29</v>
      </c>
      <c r="N518" s="3">
        <v>974.96</v>
      </c>
      <c r="O518" s="1" t="s">
        <v>2275</v>
      </c>
      <c r="P518" s="1" t="s">
        <v>2076</v>
      </c>
      <c r="Q518" s="1" t="str">
        <f>TEXT((Data[[#This Row],[Order_Date]]), "mmm")</f>
        <v>Jul</v>
      </c>
    </row>
    <row r="519" spans="4:17" x14ac:dyDescent="0.3">
      <c r="D519" s="1" t="s">
        <v>581</v>
      </c>
      <c r="E519" s="2">
        <v>45375</v>
      </c>
      <c r="F519" s="2">
        <v>45377</v>
      </c>
      <c r="G519" s="1" t="s">
        <v>22</v>
      </c>
      <c r="H519" s="1" t="s">
        <v>12</v>
      </c>
      <c r="I519" s="1" t="s">
        <v>38</v>
      </c>
      <c r="J519" s="1" t="s">
        <v>85</v>
      </c>
      <c r="K519" s="3">
        <v>1405.23</v>
      </c>
      <c r="L519" s="1">
        <v>15</v>
      </c>
      <c r="M519" s="1" t="s">
        <v>34</v>
      </c>
      <c r="N519" s="3">
        <v>-334.35</v>
      </c>
      <c r="O519" s="1" t="s">
        <v>2142</v>
      </c>
      <c r="P519" s="1" t="s">
        <v>2076</v>
      </c>
      <c r="Q519" s="1" t="str">
        <f>TEXT((Data[[#This Row],[Order_Date]]), "mmm")</f>
        <v>Mar</v>
      </c>
    </row>
    <row r="520" spans="4:17" x14ac:dyDescent="0.3">
      <c r="D520" s="1" t="s">
        <v>582</v>
      </c>
      <c r="E520" s="2">
        <v>45359</v>
      </c>
      <c r="F520" s="2">
        <v>45362</v>
      </c>
      <c r="G520" s="1" t="s">
        <v>11</v>
      </c>
      <c r="H520" s="1" t="s">
        <v>12</v>
      </c>
      <c r="I520" s="1" t="s">
        <v>13</v>
      </c>
      <c r="J520" s="1" t="s">
        <v>51</v>
      </c>
      <c r="K520" s="3">
        <v>1969.91</v>
      </c>
      <c r="L520" s="1">
        <v>16</v>
      </c>
      <c r="M520" s="1" t="s">
        <v>29</v>
      </c>
      <c r="N520" s="3">
        <v>575.67999999999995</v>
      </c>
      <c r="O520" s="1" t="s">
        <v>2149</v>
      </c>
      <c r="P520" s="1" t="s">
        <v>2078</v>
      </c>
      <c r="Q520" s="1" t="str">
        <f>TEXT((Data[[#This Row],[Order_Date]]), "mmm")</f>
        <v>Mar</v>
      </c>
    </row>
    <row r="521" spans="4:17" x14ac:dyDescent="0.3">
      <c r="D521" s="1" t="s">
        <v>583</v>
      </c>
      <c r="E521" s="2">
        <v>45544</v>
      </c>
      <c r="F521" s="2">
        <v>45547</v>
      </c>
      <c r="G521" s="1" t="s">
        <v>22</v>
      </c>
      <c r="H521" s="1" t="s">
        <v>12</v>
      </c>
      <c r="I521" s="1" t="s">
        <v>42</v>
      </c>
      <c r="J521" s="1" t="s">
        <v>43</v>
      </c>
      <c r="K521" s="3">
        <v>1788.07</v>
      </c>
      <c r="L521" s="1">
        <v>3</v>
      </c>
      <c r="M521" s="1" t="s">
        <v>29</v>
      </c>
      <c r="N521" s="3">
        <v>411.31</v>
      </c>
      <c r="O521" s="1" t="s">
        <v>2135</v>
      </c>
      <c r="P521" s="1" t="s">
        <v>2076</v>
      </c>
      <c r="Q521" s="1" t="str">
        <f>TEXT((Data[[#This Row],[Order_Date]]), "mmm")</f>
        <v>Sep</v>
      </c>
    </row>
    <row r="522" spans="4:17" x14ac:dyDescent="0.3">
      <c r="D522" s="1" t="s">
        <v>584</v>
      </c>
      <c r="E522" s="2">
        <v>45572</v>
      </c>
      <c r="F522" s="2">
        <v>45576</v>
      </c>
      <c r="G522" s="1" t="s">
        <v>22</v>
      </c>
      <c r="H522" s="1" t="s">
        <v>17</v>
      </c>
      <c r="I522" s="1" t="s">
        <v>18</v>
      </c>
      <c r="J522" s="1" t="s">
        <v>19</v>
      </c>
      <c r="K522" s="3">
        <v>456.49</v>
      </c>
      <c r="L522" s="1">
        <v>12</v>
      </c>
      <c r="M522" s="1" t="s">
        <v>20</v>
      </c>
      <c r="N522" s="3">
        <v>-42.73</v>
      </c>
      <c r="O522" s="1" t="s">
        <v>2180</v>
      </c>
      <c r="P522" s="1" t="s">
        <v>2078</v>
      </c>
      <c r="Q522" s="1" t="str">
        <f>TEXT((Data[[#This Row],[Order_Date]]), "mmm")</f>
        <v>Oct</v>
      </c>
    </row>
    <row r="523" spans="4:17" x14ac:dyDescent="0.3">
      <c r="D523" s="1" t="s">
        <v>585</v>
      </c>
      <c r="E523" s="2">
        <v>45587</v>
      </c>
      <c r="F523" s="2">
        <v>45591</v>
      </c>
      <c r="G523" s="1" t="s">
        <v>36</v>
      </c>
      <c r="H523" s="1" t="s">
        <v>17</v>
      </c>
      <c r="I523" s="1" t="s">
        <v>18</v>
      </c>
      <c r="J523" s="1" t="s">
        <v>19</v>
      </c>
      <c r="K523" s="3">
        <v>1813.59</v>
      </c>
      <c r="L523" s="1">
        <v>6</v>
      </c>
      <c r="M523" s="1" t="s">
        <v>44</v>
      </c>
      <c r="N523" s="3">
        <v>456.35</v>
      </c>
      <c r="O523" s="1" t="s">
        <v>2131</v>
      </c>
      <c r="P523" s="1" t="s">
        <v>2076</v>
      </c>
      <c r="Q523" s="1" t="str">
        <f>TEXT((Data[[#This Row],[Order_Date]]), "mmm")</f>
        <v>Oct</v>
      </c>
    </row>
    <row r="524" spans="4:17" x14ac:dyDescent="0.3">
      <c r="D524" s="1" t="s">
        <v>586</v>
      </c>
      <c r="E524" s="2">
        <v>45646</v>
      </c>
      <c r="F524" s="2">
        <v>45648</v>
      </c>
      <c r="G524" s="1" t="s">
        <v>31</v>
      </c>
      <c r="H524" s="1" t="s">
        <v>12</v>
      </c>
      <c r="I524" s="1" t="s">
        <v>13</v>
      </c>
      <c r="J524" s="1" t="s">
        <v>51</v>
      </c>
      <c r="K524" s="3">
        <v>599.22</v>
      </c>
      <c r="L524" s="1">
        <v>10</v>
      </c>
      <c r="M524" s="1" t="s">
        <v>34</v>
      </c>
      <c r="N524" s="3">
        <v>96.22</v>
      </c>
      <c r="O524" s="1" t="s">
        <v>2283</v>
      </c>
      <c r="P524" s="1" t="s">
        <v>2071</v>
      </c>
      <c r="Q524" s="1" t="str">
        <f>TEXT((Data[[#This Row],[Order_Date]]), "mmm")</f>
        <v>Dec</v>
      </c>
    </row>
    <row r="525" spans="4:17" x14ac:dyDescent="0.3">
      <c r="D525" s="1" t="s">
        <v>587</v>
      </c>
      <c r="E525" s="2">
        <v>45326</v>
      </c>
      <c r="F525" s="2">
        <v>45332</v>
      </c>
      <c r="G525" s="1" t="s">
        <v>11</v>
      </c>
      <c r="H525" s="1" t="s">
        <v>23</v>
      </c>
      <c r="I525" s="1" t="s">
        <v>65</v>
      </c>
      <c r="J525" s="1" t="s">
        <v>66</v>
      </c>
      <c r="K525" s="3">
        <v>707.59</v>
      </c>
      <c r="L525" s="1">
        <v>9</v>
      </c>
      <c r="M525" s="1" t="s">
        <v>34</v>
      </c>
      <c r="N525" s="3">
        <v>147.26</v>
      </c>
      <c r="O525" s="1" t="s">
        <v>2225</v>
      </c>
      <c r="P525" s="1" t="s">
        <v>2071</v>
      </c>
      <c r="Q525" s="1" t="str">
        <f>TEXT((Data[[#This Row],[Order_Date]]), "mmm")</f>
        <v>Feb</v>
      </c>
    </row>
    <row r="526" spans="4:17" x14ac:dyDescent="0.3">
      <c r="D526" s="1" t="s">
        <v>588</v>
      </c>
      <c r="E526" s="2">
        <v>45648</v>
      </c>
      <c r="F526" s="2">
        <v>45651</v>
      </c>
      <c r="G526" s="1" t="s">
        <v>11</v>
      </c>
      <c r="H526" s="1" t="s">
        <v>17</v>
      </c>
      <c r="I526" s="1" t="s">
        <v>32</v>
      </c>
      <c r="J526" s="1" t="s">
        <v>56</v>
      </c>
      <c r="K526" s="3">
        <v>2063.7399999999998</v>
      </c>
      <c r="L526" s="1">
        <v>20</v>
      </c>
      <c r="M526" s="1" t="s">
        <v>15</v>
      </c>
      <c r="N526" s="3">
        <v>280.99</v>
      </c>
      <c r="O526" s="1" t="s">
        <v>2238</v>
      </c>
      <c r="P526" s="1" t="s">
        <v>2078</v>
      </c>
      <c r="Q526" s="1" t="str">
        <f>TEXT((Data[[#This Row],[Order_Date]]), "mmm")</f>
        <v>Dec</v>
      </c>
    </row>
    <row r="527" spans="4:17" x14ac:dyDescent="0.3">
      <c r="D527" s="1" t="s">
        <v>589</v>
      </c>
      <c r="E527" s="2">
        <v>45454</v>
      </c>
      <c r="F527" s="2">
        <v>45458</v>
      </c>
      <c r="G527" s="1" t="s">
        <v>36</v>
      </c>
      <c r="H527" s="1" t="s">
        <v>17</v>
      </c>
      <c r="I527" s="1" t="s">
        <v>32</v>
      </c>
      <c r="J527" s="1" t="s">
        <v>33</v>
      </c>
      <c r="K527" s="3">
        <v>2198.9</v>
      </c>
      <c r="L527" s="1">
        <v>16</v>
      </c>
      <c r="M527" s="1" t="s">
        <v>49</v>
      </c>
      <c r="N527" s="3">
        <v>642.95000000000005</v>
      </c>
      <c r="O527" s="1" t="s">
        <v>2167</v>
      </c>
      <c r="P527" s="1" t="s">
        <v>2078</v>
      </c>
      <c r="Q527" s="1" t="str">
        <f>TEXT((Data[[#This Row],[Order_Date]]), "mmm")</f>
        <v>Jun</v>
      </c>
    </row>
    <row r="528" spans="4:17" x14ac:dyDescent="0.3">
      <c r="D528" s="1" t="s">
        <v>590</v>
      </c>
      <c r="E528" s="2">
        <v>45411</v>
      </c>
      <c r="F528" s="2">
        <v>45415</v>
      </c>
      <c r="G528" s="1" t="s">
        <v>22</v>
      </c>
      <c r="H528" s="1" t="s">
        <v>17</v>
      </c>
      <c r="I528" s="1" t="s">
        <v>18</v>
      </c>
      <c r="J528" s="1" t="s">
        <v>19</v>
      </c>
      <c r="K528" s="3">
        <v>1993.32</v>
      </c>
      <c r="L528" s="1">
        <v>4</v>
      </c>
      <c r="M528" s="1" t="s">
        <v>15</v>
      </c>
      <c r="N528" s="3">
        <v>606.80999999999995</v>
      </c>
      <c r="O528" s="1" t="s">
        <v>2289</v>
      </c>
      <c r="P528" s="1" t="s">
        <v>2078</v>
      </c>
      <c r="Q528" s="1" t="str">
        <f>TEXT((Data[[#This Row],[Order_Date]]), "mmm")</f>
        <v>Apr</v>
      </c>
    </row>
    <row r="529" spans="4:17" x14ac:dyDescent="0.3">
      <c r="D529" s="1" t="s">
        <v>591</v>
      </c>
      <c r="E529" s="2">
        <v>45504</v>
      </c>
      <c r="F529" s="2">
        <v>45510</v>
      </c>
      <c r="G529" s="1" t="s">
        <v>11</v>
      </c>
      <c r="H529" s="1" t="s">
        <v>23</v>
      </c>
      <c r="I529" s="1" t="s">
        <v>24</v>
      </c>
      <c r="J529" s="1" t="s">
        <v>150</v>
      </c>
      <c r="K529" s="3">
        <v>3272.66</v>
      </c>
      <c r="L529" s="1">
        <v>7</v>
      </c>
      <c r="M529" s="1" t="s">
        <v>20</v>
      </c>
      <c r="N529" s="3">
        <v>792.59</v>
      </c>
      <c r="O529" s="1" t="s">
        <v>2070</v>
      </c>
      <c r="P529" s="1" t="s">
        <v>2078</v>
      </c>
      <c r="Q529" s="1" t="str">
        <f>TEXT((Data[[#This Row],[Order_Date]]), "mmm")</f>
        <v>Jul</v>
      </c>
    </row>
    <row r="530" spans="4:17" x14ac:dyDescent="0.3">
      <c r="D530" s="1" t="s">
        <v>592</v>
      </c>
      <c r="E530" s="2">
        <v>45422</v>
      </c>
      <c r="F530" s="2">
        <v>45423</v>
      </c>
      <c r="G530" s="1" t="s">
        <v>36</v>
      </c>
      <c r="H530" s="1" t="s">
        <v>23</v>
      </c>
      <c r="I530" s="1" t="s">
        <v>24</v>
      </c>
      <c r="J530" s="1" t="s">
        <v>25</v>
      </c>
      <c r="K530" s="3">
        <v>676.89</v>
      </c>
      <c r="L530" s="1">
        <v>11</v>
      </c>
      <c r="M530" s="1" t="s">
        <v>34</v>
      </c>
      <c r="N530" s="3">
        <v>114.27</v>
      </c>
      <c r="O530" s="1" t="s">
        <v>2254</v>
      </c>
      <c r="P530" s="1" t="s">
        <v>2078</v>
      </c>
      <c r="Q530" s="1" t="str">
        <f>TEXT((Data[[#This Row],[Order_Date]]), "mmm")</f>
        <v>May</v>
      </c>
    </row>
    <row r="531" spans="4:17" x14ac:dyDescent="0.3">
      <c r="D531" s="1" t="s">
        <v>593</v>
      </c>
      <c r="E531" s="2">
        <v>45306</v>
      </c>
      <c r="F531" s="2">
        <v>45308</v>
      </c>
      <c r="G531" s="1" t="s">
        <v>22</v>
      </c>
      <c r="H531" s="1" t="s">
        <v>23</v>
      </c>
      <c r="I531" s="1" t="s">
        <v>24</v>
      </c>
      <c r="J531" s="1" t="s">
        <v>150</v>
      </c>
      <c r="K531" s="3">
        <v>2046.66</v>
      </c>
      <c r="L531" s="1">
        <v>16</v>
      </c>
      <c r="M531" s="1" t="s">
        <v>20</v>
      </c>
      <c r="N531" s="3">
        <v>498.76</v>
      </c>
      <c r="O531" s="1" t="s">
        <v>2174</v>
      </c>
      <c r="P531" s="1" t="s">
        <v>2076</v>
      </c>
      <c r="Q531" s="1" t="str">
        <f>TEXT((Data[[#This Row],[Order_Date]]), "mmm")</f>
        <v>Jan</v>
      </c>
    </row>
    <row r="532" spans="4:17" x14ac:dyDescent="0.3">
      <c r="D532" s="1" t="s">
        <v>594</v>
      </c>
      <c r="E532" s="2">
        <v>45613</v>
      </c>
      <c r="F532" s="2">
        <v>45620</v>
      </c>
      <c r="G532" s="1" t="s">
        <v>36</v>
      </c>
      <c r="H532" s="1" t="s">
        <v>23</v>
      </c>
      <c r="I532" s="1" t="s">
        <v>65</v>
      </c>
      <c r="J532" s="1" t="s">
        <v>122</v>
      </c>
      <c r="K532" s="3">
        <v>460.08</v>
      </c>
      <c r="L532" s="1">
        <v>17</v>
      </c>
      <c r="M532" s="1" t="s">
        <v>34</v>
      </c>
      <c r="N532" s="3">
        <v>100.98</v>
      </c>
      <c r="O532" s="1" t="s">
        <v>2290</v>
      </c>
      <c r="P532" s="1" t="s">
        <v>2078</v>
      </c>
      <c r="Q532" s="1" t="str">
        <f>TEXT((Data[[#This Row],[Order_Date]]), "mmm")</f>
        <v>Nov</v>
      </c>
    </row>
    <row r="533" spans="4:17" x14ac:dyDescent="0.3">
      <c r="D533" s="1" t="s">
        <v>595</v>
      </c>
      <c r="E533" s="2">
        <v>45576</v>
      </c>
      <c r="F533" s="2">
        <v>45576</v>
      </c>
      <c r="G533" s="1" t="s">
        <v>22</v>
      </c>
      <c r="H533" s="1" t="s">
        <v>12</v>
      </c>
      <c r="I533" s="1" t="s">
        <v>13</v>
      </c>
      <c r="J533" s="1" t="s">
        <v>129</v>
      </c>
      <c r="K533" s="3">
        <v>498.3</v>
      </c>
      <c r="L533" s="1">
        <v>5</v>
      </c>
      <c r="M533" s="1" t="s">
        <v>34</v>
      </c>
      <c r="N533" s="3">
        <v>150.6</v>
      </c>
      <c r="O533" s="1" t="s">
        <v>2182</v>
      </c>
      <c r="P533" s="1" t="s">
        <v>2078</v>
      </c>
      <c r="Q533" s="1" t="str">
        <f>TEXT((Data[[#This Row],[Order_Date]]), "mmm")</f>
        <v>Oct</v>
      </c>
    </row>
    <row r="534" spans="4:17" x14ac:dyDescent="0.3">
      <c r="D534" s="1" t="s">
        <v>596</v>
      </c>
      <c r="E534" s="2">
        <v>45484</v>
      </c>
      <c r="F534" s="2">
        <v>45486</v>
      </c>
      <c r="G534" s="1" t="s">
        <v>31</v>
      </c>
      <c r="H534" s="1" t="s">
        <v>17</v>
      </c>
      <c r="I534" s="1" t="s">
        <v>32</v>
      </c>
      <c r="J534" s="1" t="s">
        <v>56</v>
      </c>
      <c r="K534" s="3">
        <v>3492.23</v>
      </c>
      <c r="L534" s="1">
        <v>10</v>
      </c>
      <c r="M534" s="1" t="s">
        <v>15</v>
      </c>
      <c r="N534" s="3">
        <v>1073.32</v>
      </c>
      <c r="O534" s="1" t="s">
        <v>2174</v>
      </c>
      <c r="P534" s="1" t="s">
        <v>2076</v>
      </c>
      <c r="Q534" s="1" t="str">
        <f>TEXT((Data[[#This Row],[Order_Date]]), "mmm")</f>
        <v>Jul</v>
      </c>
    </row>
    <row r="535" spans="4:17" x14ac:dyDescent="0.3">
      <c r="D535" s="1" t="s">
        <v>597</v>
      </c>
      <c r="E535" s="2">
        <v>45431</v>
      </c>
      <c r="F535" s="2">
        <v>45437</v>
      </c>
      <c r="G535" s="1" t="s">
        <v>11</v>
      </c>
      <c r="H535" s="1" t="s">
        <v>23</v>
      </c>
      <c r="I535" s="1" t="s">
        <v>78</v>
      </c>
      <c r="J535" s="1" t="s">
        <v>79</v>
      </c>
      <c r="K535" s="3">
        <v>1944.65</v>
      </c>
      <c r="L535" s="1">
        <v>10</v>
      </c>
      <c r="M535" s="1" t="s">
        <v>44</v>
      </c>
      <c r="N535" s="3">
        <v>403.57</v>
      </c>
      <c r="O535" s="1" t="s">
        <v>2232</v>
      </c>
      <c r="P535" s="1" t="s">
        <v>2071</v>
      </c>
      <c r="Q535" s="1" t="str">
        <f>TEXT((Data[[#This Row],[Order_Date]]), "mmm")</f>
        <v>May</v>
      </c>
    </row>
    <row r="536" spans="4:17" x14ac:dyDescent="0.3">
      <c r="D536" s="1" t="s">
        <v>598</v>
      </c>
      <c r="E536" s="2">
        <v>45483</v>
      </c>
      <c r="F536" s="2">
        <v>45483</v>
      </c>
      <c r="G536" s="1" t="s">
        <v>22</v>
      </c>
      <c r="H536" s="1" t="s">
        <v>17</v>
      </c>
      <c r="I536" s="1" t="s">
        <v>27</v>
      </c>
      <c r="J536" s="1" t="s">
        <v>28</v>
      </c>
      <c r="K536" s="3">
        <v>3246.34</v>
      </c>
      <c r="L536" s="1">
        <v>17</v>
      </c>
      <c r="M536" s="1" t="s">
        <v>44</v>
      </c>
      <c r="N536" s="3">
        <v>347.56</v>
      </c>
      <c r="O536" s="1" t="s">
        <v>2171</v>
      </c>
      <c r="P536" s="1" t="s">
        <v>2076</v>
      </c>
      <c r="Q536" s="1" t="str">
        <f>TEXT((Data[[#This Row],[Order_Date]]), "mmm")</f>
        <v>Jul</v>
      </c>
    </row>
    <row r="537" spans="4:17" x14ac:dyDescent="0.3">
      <c r="D537" s="1" t="s">
        <v>599</v>
      </c>
      <c r="E537" s="2">
        <v>45560</v>
      </c>
      <c r="F537" s="2">
        <v>45564</v>
      </c>
      <c r="G537" s="1" t="s">
        <v>36</v>
      </c>
      <c r="H537" s="1" t="s">
        <v>17</v>
      </c>
      <c r="I537" s="1" t="s">
        <v>18</v>
      </c>
      <c r="J537" s="1" t="s">
        <v>90</v>
      </c>
      <c r="K537" s="3">
        <v>2787.69</v>
      </c>
      <c r="L537" s="1">
        <v>5</v>
      </c>
      <c r="M537" s="1" t="s">
        <v>44</v>
      </c>
      <c r="N537" s="3">
        <v>745.35</v>
      </c>
      <c r="O537" s="1" t="s">
        <v>2238</v>
      </c>
      <c r="P537" s="1" t="s">
        <v>2076</v>
      </c>
      <c r="Q537" s="1" t="str">
        <f>TEXT((Data[[#This Row],[Order_Date]]), "mmm")</f>
        <v>Sep</v>
      </c>
    </row>
    <row r="538" spans="4:17" x14ac:dyDescent="0.3">
      <c r="D538" s="1" t="s">
        <v>600</v>
      </c>
      <c r="E538" s="2">
        <v>45657</v>
      </c>
      <c r="F538" s="2">
        <v>45658</v>
      </c>
      <c r="G538" s="1" t="s">
        <v>11</v>
      </c>
      <c r="H538" s="1" t="s">
        <v>23</v>
      </c>
      <c r="I538" s="1" t="s">
        <v>61</v>
      </c>
      <c r="J538" s="1" t="s">
        <v>62</v>
      </c>
      <c r="K538" s="3">
        <v>3430.47</v>
      </c>
      <c r="L538" s="1">
        <v>3</v>
      </c>
      <c r="M538" s="1" t="s">
        <v>34</v>
      </c>
      <c r="N538" s="3">
        <v>-652</v>
      </c>
      <c r="O538" s="1" t="s">
        <v>2275</v>
      </c>
      <c r="P538" s="1" t="s">
        <v>2078</v>
      </c>
      <c r="Q538" s="1" t="str">
        <f>TEXT((Data[[#This Row],[Order_Date]]), "mmm")</f>
        <v>Dec</v>
      </c>
    </row>
    <row r="539" spans="4:17" x14ac:dyDescent="0.3">
      <c r="D539" s="1" t="s">
        <v>601</v>
      </c>
      <c r="E539" s="2">
        <v>45558</v>
      </c>
      <c r="F539" s="2">
        <v>45562</v>
      </c>
      <c r="G539" s="1" t="s">
        <v>11</v>
      </c>
      <c r="H539" s="1" t="s">
        <v>12</v>
      </c>
      <c r="I539" s="1" t="s">
        <v>13</v>
      </c>
      <c r="J539" s="1" t="s">
        <v>14</v>
      </c>
      <c r="K539" s="3">
        <v>1453.3</v>
      </c>
      <c r="L539" s="1">
        <v>7</v>
      </c>
      <c r="M539" s="1" t="s">
        <v>34</v>
      </c>
      <c r="N539" s="3">
        <v>193.28</v>
      </c>
      <c r="O539" s="1" t="s">
        <v>2291</v>
      </c>
      <c r="P539" s="1" t="s">
        <v>2078</v>
      </c>
      <c r="Q539" s="1" t="str">
        <f>TEXT((Data[[#This Row],[Order_Date]]), "mmm")</f>
        <v>Sep</v>
      </c>
    </row>
    <row r="540" spans="4:17" x14ac:dyDescent="0.3">
      <c r="D540" s="1" t="s">
        <v>602</v>
      </c>
      <c r="E540" s="2">
        <v>45517</v>
      </c>
      <c r="F540" s="2">
        <v>45518</v>
      </c>
      <c r="G540" s="1" t="s">
        <v>36</v>
      </c>
      <c r="H540" s="1" t="s">
        <v>17</v>
      </c>
      <c r="I540" s="1" t="s">
        <v>18</v>
      </c>
      <c r="J540" s="1" t="s">
        <v>54</v>
      </c>
      <c r="K540" s="3">
        <v>679.23</v>
      </c>
      <c r="L540" s="1">
        <v>20</v>
      </c>
      <c r="M540" s="1" t="s">
        <v>29</v>
      </c>
      <c r="N540" s="3">
        <v>138.71</v>
      </c>
      <c r="O540" s="1" t="s">
        <v>2222</v>
      </c>
      <c r="P540" s="1" t="s">
        <v>2078</v>
      </c>
      <c r="Q540" s="1" t="str">
        <f>TEXT((Data[[#This Row],[Order_Date]]), "mmm")</f>
        <v>Aug</v>
      </c>
    </row>
    <row r="541" spans="4:17" x14ac:dyDescent="0.3">
      <c r="D541" s="1" t="s">
        <v>603</v>
      </c>
      <c r="E541" s="2">
        <v>45471</v>
      </c>
      <c r="F541" s="2">
        <v>45476</v>
      </c>
      <c r="G541" s="1" t="s">
        <v>36</v>
      </c>
      <c r="H541" s="1" t="s">
        <v>17</v>
      </c>
      <c r="I541" s="1" t="s">
        <v>32</v>
      </c>
      <c r="J541" s="1" t="s">
        <v>33</v>
      </c>
      <c r="K541" s="3">
        <v>2402.81</v>
      </c>
      <c r="L541" s="1">
        <v>6</v>
      </c>
      <c r="M541" s="1" t="s">
        <v>20</v>
      </c>
      <c r="N541" s="3">
        <v>344.59</v>
      </c>
      <c r="O541" s="1" t="s">
        <v>2241</v>
      </c>
      <c r="P541" s="1" t="s">
        <v>2076</v>
      </c>
      <c r="Q541" s="1" t="str">
        <f>TEXT((Data[[#This Row],[Order_Date]]), "mmm")</f>
        <v>Jun</v>
      </c>
    </row>
    <row r="542" spans="4:17" x14ac:dyDescent="0.3">
      <c r="D542" s="1" t="s">
        <v>604</v>
      </c>
      <c r="E542" s="2">
        <v>45568</v>
      </c>
      <c r="F542" s="2">
        <v>45575</v>
      </c>
      <c r="G542" s="1" t="s">
        <v>11</v>
      </c>
      <c r="H542" s="1" t="s">
        <v>17</v>
      </c>
      <c r="I542" s="1" t="s">
        <v>18</v>
      </c>
      <c r="J542" s="1" t="s">
        <v>54</v>
      </c>
      <c r="K542" s="3">
        <v>3637.35</v>
      </c>
      <c r="L542" s="1">
        <v>2</v>
      </c>
      <c r="M542" s="1" t="s">
        <v>20</v>
      </c>
      <c r="N542" s="3">
        <v>-600.45000000000005</v>
      </c>
      <c r="O542" s="1" t="s">
        <v>2147</v>
      </c>
      <c r="P542" s="1" t="s">
        <v>2071</v>
      </c>
      <c r="Q542" s="1" t="str">
        <f>TEXT((Data[[#This Row],[Order_Date]]), "mmm")</f>
        <v>Oct</v>
      </c>
    </row>
    <row r="543" spans="4:17" x14ac:dyDescent="0.3">
      <c r="D543" s="1" t="s">
        <v>605</v>
      </c>
      <c r="E543" s="2">
        <v>45492</v>
      </c>
      <c r="F543" s="2">
        <v>45494</v>
      </c>
      <c r="G543" s="1" t="s">
        <v>31</v>
      </c>
      <c r="H543" s="1" t="s">
        <v>12</v>
      </c>
      <c r="I543" s="1" t="s">
        <v>13</v>
      </c>
      <c r="J543" s="1" t="s">
        <v>129</v>
      </c>
      <c r="K543" s="3">
        <v>1496.25</v>
      </c>
      <c r="L543" s="1">
        <v>7</v>
      </c>
      <c r="M543" s="1" t="s">
        <v>15</v>
      </c>
      <c r="N543" s="3">
        <v>415.24</v>
      </c>
      <c r="O543" s="1" t="s">
        <v>2135</v>
      </c>
      <c r="P543" s="1" t="s">
        <v>2076</v>
      </c>
      <c r="Q543" s="1" t="str">
        <f>TEXT((Data[[#This Row],[Order_Date]]), "mmm")</f>
        <v>Jul</v>
      </c>
    </row>
    <row r="544" spans="4:17" x14ac:dyDescent="0.3">
      <c r="D544" s="1" t="s">
        <v>606</v>
      </c>
      <c r="E544" s="2">
        <v>45332</v>
      </c>
      <c r="F544" s="2">
        <v>45339</v>
      </c>
      <c r="G544" s="1" t="s">
        <v>22</v>
      </c>
      <c r="H544" s="1" t="s">
        <v>17</v>
      </c>
      <c r="I544" s="1" t="s">
        <v>32</v>
      </c>
      <c r="J544" s="1" t="s">
        <v>33</v>
      </c>
      <c r="K544" s="3">
        <v>614.74</v>
      </c>
      <c r="L544" s="1">
        <v>10</v>
      </c>
      <c r="M544" s="1" t="s">
        <v>15</v>
      </c>
      <c r="N544" s="3">
        <v>149.58000000000001</v>
      </c>
      <c r="O544" s="1" t="s">
        <v>2168</v>
      </c>
      <c r="P544" s="1" t="s">
        <v>2071</v>
      </c>
      <c r="Q544" s="1" t="str">
        <f>TEXT((Data[[#This Row],[Order_Date]]), "mmm")</f>
        <v>Feb</v>
      </c>
    </row>
    <row r="545" spans="4:17" x14ac:dyDescent="0.3">
      <c r="D545" s="1" t="s">
        <v>607</v>
      </c>
      <c r="E545" s="2">
        <v>45532</v>
      </c>
      <c r="F545" s="2">
        <v>45535</v>
      </c>
      <c r="G545" s="1" t="s">
        <v>22</v>
      </c>
      <c r="H545" s="1" t="s">
        <v>17</v>
      </c>
      <c r="I545" s="1" t="s">
        <v>32</v>
      </c>
      <c r="J545" s="1" t="s">
        <v>33</v>
      </c>
      <c r="K545" s="3">
        <v>3673.23</v>
      </c>
      <c r="L545" s="1">
        <v>13</v>
      </c>
      <c r="M545" s="1" t="s">
        <v>44</v>
      </c>
      <c r="N545" s="3">
        <v>954.62</v>
      </c>
      <c r="O545" s="1" t="s">
        <v>2138</v>
      </c>
      <c r="P545" s="1" t="s">
        <v>2071</v>
      </c>
      <c r="Q545" s="1" t="str">
        <f>TEXT((Data[[#This Row],[Order_Date]]), "mmm")</f>
        <v>Aug</v>
      </c>
    </row>
    <row r="546" spans="4:17" x14ac:dyDescent="0.3">
      <c r="D546" s="1" t="s">
        <v>608</v>
      </c>
      <c r="E546" s="2">
        <v>45458</v>
      </c>
      <c r="F546" s="2">
        <v>45465</v>
      </c>
      <c r="G546" s="1" t="s">
        <v>31</v>
      </c>
      <c r="H546" s="1" t="s">
        <v>17</v>
      </c>
      <c r="I546" s="1" t="s">
        <v>18</v>
      </c>
      <c r="J546" s="1" t="s">
        <v>54</v>
      </c>
      <c r="K546" s="3">
        <v>673.33</v>
      </c>
      <c r="L546" s="1">
        <v>16</v>
      </c>
      <c r="M546" s="1" t="s">
        <v>49</v>
      </c>
      <c r="N546" s="3">
        <v>204.51</v>
      </c>
      <c r="O546" s="1" t="s">
        <v>2209</v>
      </c>
      <c r="P546" s="1" t="s">
        <v>2078</v>
      </c>
      <c r="Q546" s="1" t="str">
        <f>TEXT((Data[[#This Row],[Order_Date]]), "mmm")</f>
        <v>Jun</v>
      </c>
    </row>
    <row r="547" spans="4:17" x14ac:dyDescent="0.3">
      <c r="D547" s="1" t="s">
        <v>609</v>
      </c>
      <c r="E547" s="2">
        <v>45470</v>
      </c>
      <c r="F547" s="2">
        <v>45472</v>
      </c>
      <c r="G547" s="1" t="s">
        <v>11</v>
      </c>
      <c r="H547" s="1" t="s">
        <v>23</v>
      </c>
      <c r="I547" s="1" t="s">
        <v>61</v>
      </c>
      <c r="J547" s="1" t="s">
        <v>98</v>
      </c>
      <c r="K547" s="3">
        <v>2335.56</v>
      </c>
      <c r="L547" s="1">
        <v>3</v>
      </c>
      <c r="M547" s="1" t="s">
        <v>34</v>
      </c>
      <c r="N547" s="3">
        <v>490.06</v>
      </c>
      <c r="O547" s="1" t="s">
        <v>2192</v>
      </c>
      <c r="P547" s="1" t="s">
        <v>2078</v>
      </c>
      <c r="Q547" s="1" t="str">
        <f>TEXT((Data[[#This Row],[Order_Date]]), "mmm")</f>
        <v>Jun</v>
      </c>
    </row>
    <row r="548" spans="4:17" x14ac:dyDescent="0.3">
      <c r="D548" s="1" t="s">
        <v>610</v>
      </c>
      <c r="E548" s="2">
        <v>45503</v>
      </c>
      <c r="F548" s="2">
        <v>45506</v>
      </c>
      <c r="G548" s="1" t="s">
        <v>22</v>
      </c>
      <c r="H548" s="1" t="s">
        <v>12</v>
      </c>
      <c r="I548" s="1" t="s">
        <v>58</v>
      </c>
      <c r="J548" s="1" t="s">
        <v>105</v>
      </c>
      <c r="K548" s="3">
        <v>1689.31</v>
      </c>
      <c r="L548" s="1">
        <v>11</v>
      </c>
      <c r="M548" s="1" t="s">
        <v>44</v>
      </c>
      <c r="N548" s="3">
        <v>496.95</v>
      </c>
      <c r="O548" s="1" t="s">
        <v>2092</v>
      </c>
      <c r="P548" s="1" t="s">
        <v>2071</v>
      </c>
      <c r="Q548" s="1" t="str">
        <f>TEXT((Data[[#This Row],[Order_Date]]), "mmm")</f>
        <v>Jul</v>
      </c>
    </row>
    <row r="549" spans="4:17" x14ac:dyDescent="0.3">
      <c r="D549" s="1" t="s">
        <v>611</v>
      </c>
      <c r="E549" s="2">
        <v>45514</v>
      </c>
      <c r="F549" s="2">
        <v>45519</v>
      </c>
      <c r="G549" s="1" t="s">
        <v>22</v>
      </c>
      <c r="H549" s="1" t="s">
        <v>17</v>
      </c>
      <c r="I549" s="1" t="s">
        <v>32</v>
      </c>
      <c r="J549" s="1" t="s">
        <v>56</v>
      </c>
      <c r="K549" s="3">
        <v>3022.63</v>
      </c>
      <c r="L549" s="1">
        <v>19</v>
      </c>
      <c r="M549" s="1" t="s">
        <v>49</v>
      </c>
      <c r="N549" s="3">
        <v>254.8</v>
      </c>
      <c r="O549" s="1" t="s">
        <v>2292</v>
      </c>
      <c r="P549" s="1" t="s">
        <v>2076</v>
      </c>
      <c r="Q549" s="1" t="str">
        <f>TEXT((Data[[#This Row],[Order_Date]]), "mmm")</f>
        <v>Aug</v>
      </c>
    </row>
    <row r="550" spans="4:17" x14ac:dyDescent="0.3">
      <c r="D550" s="1" t="s">
        <v>612</v>
      </c>
      <c r="E550" s="2">
        <v>45458</v>
      </c>
      <c r="F550" s="2">
        <v>45459</v>
      </c>
      <c r="G550" s="1" t="s">
        <v>31</v>
      </c>
      <c r="H550" s="1" t="s">
        <v>17</v>
      </c>
      <c r="I550" s="1" t="s">
        <v>27</v>
      </c>
      <c r="J550" s="1" t="s">
        <v>108</v>
      </c>
      <c r="K550" s="3">
        <v>511.03</v>
      </c>
      <c r="L550" s="1">
        <v>4</v>
      </c>
      <c r="M550" s="1" t="s">
        <v>15</v>
      </c>
      <c r="N550" s="3">
        <v>150.36000000000001</v>
      </c>
      <c r="O550" s="1" t="s">
        <v>2100</v>
      </c>
      <c r="P550" s="1" t="s">
        <v>2076</v>
      </c>
      <c r="Q550" s="1" t="str">
        <f>TEXT((Data[[#This Row],[Order_Date]]), "mmm")</f>
        <v>Jun</v>
      </c>
    </row>
    <row r="551" spans="4:17" x14ac:dyDescent="0.3">
      <c r="D551" s="1" t="s">
        <v>613</v>
      </c>
      <c r="E551" s="2">
        <v>45486</v>
      </c>
      <c r="F551" s="2">
        <v>45491</v>
      </c>
      <c r="G551" s="1" t="s">
        <v>31</v>
      </c>
      <c r="H551" s="1" t="s">
        <v>12</v>
      </c>
      <c r="I551" s="1" t="s">
        <v>38</v>
      </c>
      <c r="J551" s="1" t="s">
        <v>81</v>
      </c>
      <c r="K551" s="3">
        <v>1066.04</v>
      </c>
      <c r="L551" s="1">
        <v>5</v>
      </c>
      <c r="M551" s="1" t="s">
        <v>29</v>
      </c>
      <c r="N551" s="3">
        <v>342.17</v>
      </c>
      <c r="O551" s="1" t="s">
        <v>2167</v>
      </c>
      <c r="P551" s="1" t="s">
        <v>2076</v>
      </c>
      <c r="Q551" s="1" t="str">
        <f>TEXT((Data[[#This Row],[Order_Date]]), "mmm")</f>
        <v>Jul</v>
      </c>
    </row>
    <row r="552" spans="4:17" x14ac:dyDescent="0.3">
      <c r="D552" s="1" t="s">
        <v>614</v>
      </c>
      <c r="E552" s="2">
        <v>45292</v>
      </c>
      <c r="F552" s="2">
        <v>45294</v>
      </c>
      <c r="G552" s="1" t="s">
        <v>22</v>
      </c>
      <c r="H552" s="1" t="s">
        <v>23</v>
      </c>
      <c r="I552" s="1" t="s">
        <v>24</v>
      </c>
      <c r="J552" s="1" t="s">
        <v>93</v>
      </c>
      <c r="K552" s="3">
        <v>2558.4</v>
      </c>
      <c r="L552" s="1">
        <v>15</v>
      </c>
      <c r="M552" s="1" t="s">
        <v>44</v>
      </c>
      <c r="N552" s="3">
        <v>285.77</v>
      </c>
      <c r="O552" s="1" t="s">
        <v>2293</v>
      </c>
      <c r="P552" s="1" t="s">
        <v>2078</v>
      </c>
      <c r="Q552" s="1" t="str">
        <f>TEXT((Data[[#This Row],[Order_Date]]), "mmm")</f>
        <v>Jan</v>
      </c>
    </row>
    <row r="553" spans="4:17" x14ac:dyDescent="0.3">
      <c r="D553" s="1" t="s">
        <v>615</v>
      </c>
      <c r="E553" s="2">
        <v>45445</v>
      </c>
      <c r="F553" s="2">
        <v>45449</v>
      </c>
      <c r="G553" s="1" t="s">
        <v>31</v>
      </c>
      <c r="H553" s="1" t="s">
        <v>12</v>
      </c>
      <c r="I553" s="1" t="s">
        <v>13</v>
      </c>
      <c r="J553" s="1" t="s">
        <v>51</v>
      </c>
      <c r="K553" s="3">
        <v>2435.23</v>
      </c>
      <c r="L553" s="1">
        <v>20</v>
      </c>
      <c r="M553" s="1" t="s">
        <v>29</v>
      </c>
      <c r="N553" s="3">
        <v>-417.06</v>
      </c>
      <c r="O553" s="1" t="s">
        <v>2167</v>
      </c>
      <c r="P553" s="1" t="s">
        <v>2078</v>
      </c>
      <c r="Q553" s="1" t="str">
        <f>TEXT((Data[[#This Row],[Order_Date]]), "mmm")</f>
        <v>Jun</v>
      </c>
    </row>
    <row r="554" spans="4:17" x14ac:dyDescent="0.3">
      <c r="D554" s="1" t="s">
        <v>616</v>
      </c>
      <c r="E554" s="2">
        <v>45442</v>
      </c>
      <c r="F554" s="2">
        <v>45442</v>
      </c>
      <c r="G554" s="1" t="s">
        <v>36</v>
      </c>
      <c r="H554" s="1" t="s">
        <v>12</v>
      </c>
      <c r="I554" s="1" t="s">
        <v>38</v>
      </c>
      <c r="J554" s="1" t="s">
        <v>81</v>
      </c>
      <c r="K554" s="3">
        <v>2887.58</v>
      </c>
      <c r="L554" s="1">
        <v>12</v>
      </c>
      <c r="M554" s="1" t="s">
        <v>20</v>
      </c>
      <c r="N554" s="3">
        <v>890.46</v>
      </c>
      <c r="O554" s="1" t="s">
        <v>2168</v>
      </c>
      <c r="P554" s="1" t="s">
        <v>2071</v>
      </c>
      <c r="Q554" s="1" t="str">
        <f>TEXT((Data[[#This Row],[Order_Date]]), "mmm")</f>
        <v>May</v>
      </c>
    </row>
    <row r="555" spans="4:17" x14ac:dyDescent="0.3">
      <c r="D555" s="1" t="s">
        <v>617</v>
      </c>
      <c r="E555" s="2">
        <v>45412</v>
      </c>
      <c r="F555" s="2">
        <v>45418</v>
      </c>
      <c r="G555" s="1" t="s">
        <v>31</v>
      </c>
      <c r="H555" s="1" t="s">
        <v>12</v>
      </c>
      <c r="I555" s="1" t="s">
        <v>13</v>
      </c>
      <c r="J555" s="1" t="s">
        <v>96</v>
      </c>
      <c r="K555" s="3">
        <v>1772.62</v>
      </c>
      <c r="L555" s="1">
        <v>14</v>
      </c>
      <c r="M555" s="1" t="s">
        <v>29</v>
      </c>
      <c r="N555" s="3">
        <v>200.95</v>
      </c>
      <c r="O555" s="1" t="s">
        <v>2141</v>
      </c>
      <c r="P555" s="1" t="s">
        <v>2076</v>
      </c>
      <c r="Q555" s="1" t="str">
        <f>TEXT((Data[[#This Row],[Order_Date]]), "mmm")</f>
        <v>Apr</v>
      </c>
    </row>
    <row r="556" spans="4:17" x14ac:dyDescent="0.3">
      <c r="D556" s="1" t="s">
        <v>618</v>
      </c>
      <c r="E556" s="2">
        <v>45363</v>
      </c>
      <c r="F556" s="2">
        <v>45366</v>
      </c>
      <c r="G556" s="1" t="s">
        <v>31</v>
      </c>
      <c r="H556" s="1" t="s">
        <v>23</v>
      </c>
      <c r="I556" s="1" t="s">
        <v>65</v>
      </c>
      <c r="J556" s="1" t="s">
        <v>66</v>
      </c>
      <c r="K556" s="3">
        <v>1331.77</v>
      </c>
      <c r="L556" s="1">
        <v>5</v>
      </c>
      <c r="M556" s="1" t="s">
        <v>44</v>
      </c>
      <c r="N556" s="3">
        <v>71.22</v>
      </c>
      <c r="O556" s="1" t="s">
        <v>2251</v>
      </c>
      <c r="P556" s="1" t="s">
        <v>2071</v>
      </c>
      <c r="Q556" s="1" t="str">
        <f>TEXT((Data[[#This Row],[Order_Date]]), "mmm")</f>
        <v>Mar</v>
      </c>
    </row>
    <row r="557" spans="4:17" x14ac:dyDescent="0.3">
      <c r="D557" s="1" t="s">
        <v>619</v>
      </c>
      <c r="E557" s="2">
        <v>45365</v>
      </c>
      <c r="F557" s="2">
        <v>45372</v>
      </c>
      <c r="G557" s="1" t="s">
        <v>31</v>
      </c>
      <c r="H557" s="1" t="s">
        <v>17</v>
      </c>
      <c r="I557" s="1" t="s">
        <v>18</v>
      </c>
      <c r="J557" s="1" t="s">
        <v>19</v>
      </c>
      <c r="K557" s="3">
        <v>2658.41</v>
      </c>
      <c r="L557" s="1">
        <v>14</v>
      </c>
      <c r="M557" s="1" t="s">
        <v>49</v>
      </c>
      <c r="N557" s="3">
        <v>845.57</v>
      </c>
      <c r="O557" s="1" t="s">
        <v>2072</v>
      </c>
      <c r="P557" s="1" t="s">
        <v>2076</v>
      </c>
      <c r="Q557" s="1" t="str">
        <f>TEXT((Data[[#This Row],[Order_Date]]), "mmm")</f>
        <v>Mar</v>
      </c>
    </row>
    <row r="558" spans="4:17" x14ac:dyDescent="0.3">
      <c r="D558" s="1" t="s">
        <v>620</v>
      </c>
      <c r="E558" s="2">
        <v>45509</v>
      </c>
      <c r="F558" s="2">
        <v>45511</v>
      </c>
      <c r="G558" s="1" t="s">
        <v>31</v>
      </c>
      <c r="H558" s="1" t="s">
        <v>12</v>
      </c>
      <c r="I558" s="1" t="s">
        <v>42</v>
      </c>
      <c r="J558" s="1" t="s">
        <v>43</v>
      </c>
      <c r="K558" s="3">
        <v>1692.68</v>
      </c>
      <c r="L558" s="1">
        <v>8</v>
      </c>
      <c r="M558" s="1" t="s">
        <v>44</v>
      </c>
      <c r="N558" s="3">
        <v>-300.33</v>
      </c>
      <c r="O558" s="1" t="s">
        <v>2183</v>
      </c>
      <c r="P558" s="1" t="s">
        <v>2078</v>
      </c>
      <c r="Q558" s="1" t="str">
        <f>TEXT((Data[[#This Row],[Order_Date]]), "mmm")</f>
        <v>Aug</v>
      </c>
    </row>
    <row r="559" spans="4:17" x14ac:dyDescent="0.3">
      <c r="D559" s="1" t="s">
        <v>621</v>
      </c>
      <c r="E559" s="2">
        <v>45547</v>
      </c>
      <c r="F559" s="2">
        <v>45550</v>
      </c>
      <c r="G559" s="1" t="s">
        <v>36</v>
      </c>
      <c r="H559" s="1" t="s">
        <v>23</v>
      </c>
      <c r="I559" s="1" t="s">
        <v>24</v>
      </c>
      <c r="J559" s="1" t="s">
        <v>25</v>
      </c>
      <c r="K559" s="3">
        <v>3918.38</v>
      </c>
      <c r="L559" s="1">
        <v>19</v>
      </c>
      <c r="M559" s="1" t="s">
        <v>49</v>
      </c>
      <c r="N559" s="3">
        <v>-1024.52</v>
      </c>
      <c r="O559" s="1" t="s">
        <v>2126</v>
      </c>
      <c r="P559" s="1" t="s">
        <v>2078</v>
      </c>
      <c r="Q559" s="1" t="str">
        <f>TEXT((Data[[#This Row],[Order_Date]]), "mmm")</f>
        <v>Sep</v>
      </c>
    </row>
    <row r="560" spans="4:17" x14ac:dyDescent="0.3">
      <c r="D560" s="1" t="s">
        <v>622</v>
      </c>
      <c r="E560" s="2">
        <v>45538</v>
      </c>
      <c r="F560" s="2">
        <v>45539</v>
      </c>
      <c r="G560" s="1" t="s">
        <v>22</v>
      </c>
      <c r="H560" s="1" t="s">
        <v>12</v>
      </c>
      <c r="I560" s="1" t="s">
        <v>13</v>
      </c>
      <c r="J560" s="1" t="s">
        <v>96</v>
      </c>
      <c r="K560" s="3">
        <v>2188.56</v>
      </c>
      <c r="L560" s="1">
        <v>17</v>
      </c>
      <c r="M560" s="1" t="s">
        <v>29</v>
      </c>
      <c r="N560" s="3">
        <v>167.5</v>
      </c>
      <c r="O560" s="1" t="s">
        <v>2226</v>
      </c>
      <c r="P560" s="1" t="s">
        <v>2078</v>
      </c>
      <c r="Q560" s="1" t="str">
        <f>TEXT((Data[[#This Row],[Order_Date]]), "mmm")</f>
        <v>Sep</v>
      </c>
    </row>
    <row r="561" spans="4:17" x14ac:dyDescent="0.3">
      <c r="D561" s="1" t="s">
        <v>623</v>
      </c>
      <c r="E561" s="2">
        <v>45631</v>
      </c>
      <c r="F561" s="2">
        <v>45632</v>
      </c>
      <c r="G561" s="1" t="s">
        <v>36</v>
      </c>
      <c r="H561" s="1" t="s">
        <v>12</v>
      </c>
      <c r="I561" s="1" t="s">
        <v>38</v>
      </c>
      <c r="J561" s="1" t="s">
        <v>85</v>
      </c>
      <c r="K561" s="3">
        <v>2256.37</v>
      </c>
      <c r="L561" s="1">
        <v>1</v>
      </c>
      <c r="M561" s="1" t="s">
        <v>49</v>
      </c>
      <c r="N561" s="3">
        <v>420.16</v>
      </c>
      <c r="O561" s="1" t="s">
        <v>2189</v>
      </c>
      <c r="P561" s="1" t="s">
        <v>2071</v>
      </c>
      <c r="Q561" s="1" t="str">
        <f>TEXT((Data[[#This Row],[Order_Date]]), "mmm")</f>
        <v>Dec</v>
      </c>
    </row>
    <row r="562" spans="4:17" x14ac:dyDescent="0.3">
      <c r="D562" s="1" t="s">
        <v>624</v>
      </c>
      <c r="E562" s="2">
        <v>45585</v>
      </c>
      <c r="F562" s="2">
        <v>45590</v>
      </c>
      <c r="G562" s="1" t="s">
        <v>31</v>
      </c>
      <c r="H562" s="1" t="s">
        <v>23</v>
      </c>
      <c r="I562" s="1" t="s">
        <v>24</v>
      </c>
      <c r="J562" s="1" t="s">
        <v>93</v>
      </c>
      <c r="K562" s="3">
        <v>878.16</v>
      </c>
      <c r="L562" s="1">
        <v>20</v>
      </c>
      <c r="M562" s="1" t="s">
        <v>15</v>
      </c>
      <c r="N562" s="3">
        <v>124.01</v>
      </c>
      <c r="O562" s="1" t="s">
        <v>2290</v>
      </c>
      <c r="P562" s="1" t="s">
        <v>2071</v>
      </c>
      <c r="Q562" s="1" t="str">
        <f>TEXT((Data[[#This Row],[Order_Date]]), "mmm")</f>
        <v>Oct</v>
      </c>
    </row>
    <row r="563" spans="4:17" x14ac:dyDescent="0.3">
      <c r="D563" s="1" t="s">
        <v>625</v>
      </c>
      <c r="E563" s="2">
        <v>45425</v>
      </c>
      <c r="F563" s="2">
        <v>45425</v>
      </c>
      <c r="G563" s="1" t="s">
        <v>31</v>
      </c>
      <c r="H563" s="1" t="s">
        <v>12</v>
      </c>
      <c r="I563" s="1" t="s">
        <v>58</v>
      </c>
      <c r="J563" s="1" t="s">
        <v>59</v>
      </c>
      <c r="K563" s="3">
        <v>443.57</v>
      </c>
      <c r="L563" s="1">
        <v>10</v>
      </c>
      <c r="M563" s="1" t="s">
        <v>15</v>
      </c>
      <c r="N563" s="3">
        <v>105.26</v>
      </c>
      <c r="O563" s="1" t="s">
        <v>2153</v>
      </c>
      <c r="P563" s="1" t="s">
        <v>2076</v>
      </c>
      <c r="Q563" s="1" t="str">
        <f>TEXT((Data[[#This Row],[Order_Date]]), "mmm")</f>
        <v>May</v>
      </c>
    </row>
    <row r="564" spans="4:17" x14ac:dyDescent="0.3">
      <c r="D564" s="1" t="s">
        <v>626</v>
      </c>
      <c r="E564" s="2">
        <v>45334</v>
      </c>
      <c r="F564" s="2">
        <v>45336</v>
      </c>
      <c r="G564" s="1" t="s">
        <v>11</v>
      </c>
      <c r="H564" s="1" t="s">
        <v>23</v>
      </c>
      <c r="I564" s="1" t="s">
        <v>24</v>
      </c>
      <c r="J564" s="1" t="s">
        <v>25</v>
      </c>
      <c r="K564" s="3">
        <v>2559.2399999999998</v>
      </c>
      <c r="L564" s="1">
        <v>9</v>
      </c>
      <c r="M564" s="1" t="s">
        <v>34</v>
      </c>
      <c r="N564" s="3">
        <v>-138.87</v>
      </c>
      <c r="O564" s="1" t="s">
        <v>2199</v>
      </c>
      <c r="P564" s="1" t="s">
        <v>2071</v>
      </c>
      <c r="Q564" s="1" t="str">
        <f>TEXT((Data[[#This Row],[Order_Date]]), "mmm")</f>
        <v>Feb</v>
      </c>
    </row>
    <row r="565" spans="4:17" x14ac:dyDescent="0.3">
      <c r="D565" s="1" t="s">
        <v>627</v>
      </c>
      <c r="E565" s="2">
        <v>45381</v>
      </c>
      <c r="F565" s="2">
        <v>45383</v>
      </c>
      <c r="G565" s="1" t="s">
        <v>31</v>
      </c>
      <c r="H565" s="1" t="s">
        <v>23</v>
      </c>
      <c r="I565" s="1" t="s">
        <v>78</v>
      </c>
      <c r="J565" s="1" t="s">
        <v>79</v>
      </c>
      <c r="K565" s="3">
        <v>3184.48</v>
      </c>
      <c r="L565" s="1">
        <v>8</v>
      </c>
      <c r="M565" s="1" t="s">
        <v>49</v>
      </c>
      <c r="N565" s="3">
        <v>331.96</v>
      </c>
      <c r="O565" s="1" t="s">
        <v>2290</v>
      </c>
      <c r="P565" s="1" t="s">
        <v>2078</v>
      </c>
      <c r="Q565" s="1" t="str">
        <f>TEXT((Data[[#This Row],[Order_Date]]), "mmm")</f>
        <v>Mar</v>
      </c>
    </row>
    <row r="566" spans="4:17" x14ac:dyDescent="0.3">
      <c r="D566" s="1" t="s">
        <v>628</v>
      </c>
      <c r="E566" s="2">
        <v>45308</v>
      </c>
      <c r="F566" s="2">
        <v>45313</v>
      </c>
      <c r="G566" s="1" t="s">
        <v>11</v>
      </c>
      <c r="H566" s="1" t="s">
        <v>17</v>
      </c>
      <c r="I566" s="1" t="s">
        <v>32</v>
      </c>
      <c r="J566" s="1" t="s">
        <v>56</v>
      </c>
      <c r="K566" s="3">
        <v>3391.05</v>
      </c>
      <c r="L566" s="1">
        <v>14</v>
      </c>
      <c r="M566" s="1" t="s">
        <v>49</v>
      </c>
      <c r="N566" s="3">
        <v>411.62</v>
      </c>
      <c r="O566" s="1" t="s">
        <v>2169</v>
      </c>
      <c r="P566" s="1" t="s">
        <v>2076</v>
      </c>
      <c r="Q566" s="1" t="str">
        <f>TEXT((Data[[#This Row],[Order_Date]]), "mmm")</f>
        <v>Jan</v>
      </c>
    </row>
    <row r="567" spans="4:17" x14ac:dyDescent="0.3">
      <c r="D567" s="1" t="s">
        <v>629</v>
      </c>
      <c r="E567" s="2">
        <v>45618</v>
      </c>
      <c r="F567" s="2">
        <v>45620</v>
      </c>
      <c r="G567" s="1" t="s">
        <v>22</v>
      </c>
      <c r="H567" s="1" t="s">
        <v>12</v>
      </c>
      <c r="I567" s="1" t="s">
        <v>13</v>
      </c>
      <c r="J567" s="1" t="s">
        <v>51</v>
      </c>
      <c r="K567" s="3">
        <v>2658.48</v>
      </c>
      <c r="L567" s="1">
        <v>4</v>
      </c>
      <c r="M567" s="1" t="s">
        <v>20</v>
      </c>
      <c r="N567" s="3">
        <v>266.58999999999997</v>
      </c>
      <c r="O567" s="1" t="s">
        <v>2163</v>
      </c>
      <c r="P567" s="1" t="s">
        <v>2078</v>
      </c>
      <c r="Q567" s="1" t="str">
        <f>TEXT((Data[[#This Row],[Order_Date]]), "mmm")</f>
        <v>Nov</v>
      </c>
    </row>
    <row r="568" spans="4:17" x14ac:dyDescent="0.3">
      <c r="D568" s="1" t="s">
        <v>630</v>
      </c>
      <c r="E568" s="2">
        <v>45446</v>
      </c>
      <c r="F568" s="2">
        <v>45453</v>
      </c>
      <c r="G568" s="1" t="s">
        <v>22</v>
      </c>
      <c r="H568" s="1" t="s">
        <v>23</v>
      </c>
      <c r="I568" s="1" t="s">
        <v>65</v>
      </c>
      <c r="J568" s="1" t="s">
        <v>114</v>
      </c>
      <c r="K568" s="3">
        <v>1234.8399999999999</v>
      </c>
      <c r="L568" s="1">
        <v>17</v>
      </c>
      <c r="M568" s="1" t="s">
        <v>49</v>
      </c>
      <c r="N568" s="3">
        <v>66.14</v>
      </c>
      <c r="O568" s="1" t="s">
        <v>2294</v>
      </c>
      <c r="P568" s="1" t="s">
        <v>2076</v>
      </c>
      <c r="Q568" s="1" t="str">
        <f>TEXT((Data[[#This Row],[Order_Date]]), "mmm")</f>
        <v>Jun</v>
      </c>
    </row>
    <row r="569" spans="4:17" x14ac:dyDescent="0.3">
      <c r="D569" s="1" t="s">
        <v>631</v>
      </c>
      <c r="E569" s="2">
        <v>45521</v>
      </c>
      <c r="F569" s="2">
        <v>45527</v>
      </c>
      <c r="G569" s="1" t="s">
        <v>36</v>
      </c>
      <c r="H569" s="1" t="s">
        <v>12</v>
      </c>
      <c r="I569" s="1" t="s">
        <v>38</v>
      </c>
      <c r="J569" s="1" t="s">
        <v>81</v>
      </c>
      <c r="K569" s="3">
        <v>3691.42</v>
      </c>
      <c r="L569" s="1">
        <v>12</v>
      </c>
      <c r="M569" s="1" t="s">
        <v>49</v>
      </c>
      <c r="N569" s="3">
        <v>860.64</v>
      </c>
      <c r="O569" s="1" t="s">
        <v>2080</v>
      </c>
      <c r="P569" s="1" t="s">
        <v>2076</v>
      </c>
      <c r="Q569" s="1" t="str">
        <f>TEXT((Data[[#This Row],[Order_Date]]), "mmm")</f>
        <v>Aug</v>
      </c>
    </row>
    <row r="570" spans="4:17" x14ac:dyDescent="0.3">
      <c r="D570" s="1" t="s">
        <v>632</v>
      </c>
      <c r="E570" s="2">
        <v>45431</v>
      </c>
      <c r="F570" s="2">
        <v>45436</v>
      </c>
      <c r="G570" s="1" t="s">
        <v>36</v>
      </c>
      <c r="H570" s="1" t="s">
        <v>23</v>
      </c>
      <c r="I570" s="1" t="s">
        <v>61</v>
      </c>
      <c r="J570" s="1" t="s">
        <v>98</v>
      </c>
      <c r="K570" s="3">
        <v>2703.79</v>
      </c>
      <c r="L570" s="1">
        <v>13</v>
      </c>
      <c r="M570" s="1" t="s">
        <v>49</v>
      </c>
      <c r="N570" s="3">
        <v>762.32</v>
      </c>
      <c r="O570" s="1" t="s">
        <v>2072</v>
      </c>
      <c r="P570" s="1" t="s">
        <v>2078</v>
      </c>
      <c r="Q570" s="1" t="str">
        <f>TEXT((Data[[#This Row],[Order_Date]]), "mmm")</f>
        <v>May</v>
      </c>
    </row>
    <row r="571" spans="4:17" x14ac:dyDescent="0.3">
      <c r="D571" s="1" t="s">
        <v>633</v>
      </c>
      <c r="E571" s="2">
        <v>45636</v>
      </c>
      <c r="F571" s="2">
        <v>45639</v>
      </c>
      <c r="G571" s="1" t="s">
        <v>36</v>
      </c>
      <c r="H571" s="1" t="s">
        <v>12</v>
      </c>
      <c r="I571" s="1" t="s">
        <v>58</v>
      </c>
      <c r="J571" s="1" t="s">
        <v>105</v>
      </c>
      <c r="K571" s="3">
        <v>2303.5500000000002</v>
      </c>
      <c r="L571" s="1">
        <v>1</v>
      </c>
      <c r="M571" s="1" t="s">
        <v>20</v>
      </c>
      <c r="N571" s="3">
        <v>-123.44</v>
      </c>
      <c r="O571" s="1" t="s">
        <v>2202</v>
      </c>
      <c r="P571" s="1" t="s">
        <v>2071</v>
      </c>
      <c r="Q571" s="1" t="str">
        <f>TEXT((Data[[#This Row],[Order_Date]]), "mmm")</f>
        <v>Dec</v>
      </c>
    </row>
    <row r="572" spans="4:17" x14ac:dyDescent="0.3">
      <c r="D572" s="1" t="s">
        <v>634</v>
      </c>
      <c r="E572" s="2">
        <v>45345</v>
      </c>
      <c r="F572" s="2">
        <v>45352</v>
      </c>
      <c r="G572" s="1" t="s">
        <v>36</v>
      </c>
      <c r="H572" s="1" t="s">
        <v>17</v>
      </c>
      <c r="I572" s="1" t="s">
        <v>32</v>
      </c>
      <c r="J572" s="1" t="s">
        <v>33</v>
      </c>
      <c r="K572" s="3">
        <v>1194.6099999999999</v>
      </c>
      <c r="L572" s="1">
        <v>2</v>
      </c>
      <c r="M572" s="1" t="s">
        <v>20</v>
      </c>
      <c r="N572" s="3">
        <v>-281.70999999999998</v>
      </c>
      <c r="O572" s="1" t="s">
        <v>2251</v>
      </c>
      <c r="P572" s="1" t="s">
        <v>2071</v>
      </c>
      <c r="Q572" s="1" t="str">
        <f>TEXT((Data[[#This Row],[Order_Date]]), "mmm")</f>
        <v>Feb</v>
      </c>
    </row>
    <row r="573" spans="4:17" x14ac:dyDescent="0.3">
      <c r="D573" s="1" t="s">
        <v>635</v>
      </c>
      <c r="E573" s="2">
        <v>45596</v>
      </c>
      <c r="F573" s="2">
        <v>45599</v>
      </c>
      <c r="G573" s="1" t="s">
        <v>11</v>
      </c>
      <c r="H573" s="1" t="s">
        <v>12</v>
      </c>
      <c r="I573" s="1" t="s">
        <v>38</v>
      </c>
      <c r="J573" s="1" t="s">
        <v>81</v>
      </c>
      <c r="K573" s="3">
        <v>3461.65</v>
      </c>
      <c r="L573" s="1">
        <v>5</v>
      </c>
      <c r="M573" s="1" t="s">
        <v>49</v>
      </c>
      <c r="N573" s="3">
        <v>854.75</v>
      </c>
      <c r="O573" s="1" t="s">
        <v>2146</v>
      </c>
      <c r="P573" s="1" t="s">
        <v>2078</v>
      </c>
      <c r="Q573" s="1" t="str">
        <f>TEXT((Data[[#This Row],[Order_Date]]), "mmm")</f>
        <v>Oct</v>
      </c>
    </row>
    <row r="574" spans="4:17" x14ac:dyDescent="0.3">
      <c r="D574" s="1" t="s">
        <v>636</v>
      </c>
      <c r="E574" s="2">
        <v>45581</v>
      </c>
      <c r="F574" s="2">
        <v>45583</v>
      </c>
      <c r="G574" s="1" t="s">
        <v>11</v>
      </c>
      <c r="H574" s="1" t="s">
        <v>12</v>
      </c>
      <c r="I574" s="1" t="s">
        <v>58</v>
      </c>
      <c r="J574" s="1" t="s">
        <v>105</v>
      </c>
      <c r="K574" s="3">
        <v>1354.63</v>
      </c>
      <c r="L574" s="1">
        <v>3</v>
      </c>
      <c r="M574" s="1" t="s">
        <v>15</v>
      </c>
      <c r="N574" s="3">
        <v>252.01</v>
      </c>
      <c r="O574" s="1" t="s">
        <v>2295</v>
      </c>
      <c r="P574" s="1" t="s">
        <v>2076</v>
      </c>
      <c r="Q574" s="1" t="str">
        <f>TEXT((Data[[#This Row],[Order_Date]]), "mmm")</f>
        <v>Oct</v>
      </c>
    </row>
    <row r="575" spans="4:17" x14ac:dyDescent="0.3">
      <c r="D575" s="1" t="s">
        <v>637</v>
      </c>
      <c r="E575" s="2">
        <v>45510</v>
      </c>
      <c r="F575" s="2">
        <v>45515</v>
      </c>
      <c r="G575" s="1" t="s">
        <v>36</v>
      </c>
      <c r="H575" s="1" t="s">
        <v>17</v>
      </c>
      <c r="I575" s="1" t="s">
        <v>18</v>
      </c>
      <c r="J575" s="1" t="s">
        <v>54</v>
      </c>
      <c r="K575" s="3">
        <v>3164.15</v>
      </c>
      <c r="L575" s="1">
        <v>13</v>
      </c>
      <c r="M575" s="1" t="s">
        <v>49</v>
      </c>
      <c r="N575" s="3">
        <v>-473.98</v>
      </c>
      <c r="O575" s="1" t="s">
        <v>2212</v>
      </c>
      <c r="P575" s="1" t="s">
        <v>2076</v>
      </c>
      <c r="Q575" s="1" t="str">
        <f>TEXT((Data[[#This Row],[Order_Date]]), "mmm")</f>
        <v>Aug</v>
      </c>
    </row>
    <row r="576" spans="4:17" x14ac:dyDescent="0.3">
      <c r="D576" s="1" t="s">
        <v>638</v>
      </c>
      <c r="E576" s="2">
        <v>45427</v>
      </c>
      <c r="F576" s="2">
        <v>45429</v>
      </c>
      <c r="G576" s="1" t="s">
        <v>31</v>
      </c>
      <c r="H576" s="1" t="s">
        <v>17</v>
      </c>
      <c r="I576" s="1" t="s">
        <v>27</v>
      </c>
      <c r="J576" s="1" t="s">
        <v>132</v>
      </c>
      <c r="K576" s="3">
        <v>2538.63</v>
      </c>
      <c r="L576" s="1">
        <v>6</v>
      </c>
      <c r="M576" s="1" t="s">
        <v>15</v>
      </c>
      <c r="N576" s="3">
        <v>-501.68</v>
      </c>
      <c r="O576" s="1" t="s">
        <v>2238</v>
      </c>
      <c r="P576" s="1" t="s">
        <v>2076</v>
      </c>
      <c r="Q576" s="1" t="str">
        <f>TEXT((Data[[#This Row],[Order_Date]]), "mmm")</f>
        <v>May</v>
      </c>
    </row>
    <row r="577" spans="4:17" x14ac:dyDescent="0.3">
      <c r="D577" s="1" t="s">
        <v>639</v>
      </c>
      <c r="E577" s="2">
        <v>45512</v>
      </c>
      <c r="F577" s="2">
        <v>45515</v>
      </c>
      <c r="G577" s="1" t="s">
        <v>11</v>
      </c>
      <c r="H577" s="1" t="s">
        <v>23</v>
      </c>
      <c r="I577" s="1" t="s">
        <v>24</v>
      </c>
      <c r="J577" s="1" t="s">
        <v>25</v>
      </c>
      <c r="K577" s="3">
        <v>380.73</v>
      </c>
      <c r="L577" s="1">
        <v>3</v>
      </c>
      <c r="M577" s="1" t="s">
        <v>29</v>
      </c>
      <c r="N577" s="3">
        <v>102.14</v>
      </c>
      <c r="O577" s="1" t="s">
        <v>2243</v>
      </c>
      <c r="P577" s="1" t="s">
        <v>2078</v>
      </c>
      <c r="Q577" s="1" t="str">
        <f>TEXT((Data[[#This Row],[Order_Date]]), "mmm")</f>
        <v>Aug</v>
      </c>
    </row>
    <row r="578" spans="4:17" x14ac:dyDescent="0.3">
      <c r="D578" s="1" t="s">
        <v>640</v>
      </c>
      <c r="E578" s="2">
        <v>45301</v>
      </c>
      <c r="F578" s="2">
        <v>45308</v>
      </c>
      <c r="G578" s="1" t="s">
        <v>22</v>
      </c>
      <c r="H578" s="1" t="s">
        <v>12</v>
      </c>
      <c r="I578" s="1" t="s">
        <v>38</v>
      </c>
      <c r="J578" s="1" t="s">
        <v>81</v>
      </c>
      <c r="K578" s="3">
        <v>2742.27</v>
      </c>
      <c r="L578" s="1">
        <v>9</v>
      </c>
      <c r="M578" s="1" t="s">
        <v>44</v>
      </c>
      <c r="N578" s="3">
        <v>713.04</v>
      </c>
      <c r="O578" s="1" t="s">
        <v>2137</v>
      </c>
      <c r="P578" s="1" t="s">
        <v>2071</v>
      </c>
      <c r="Q578" s="1" t="str">
        <f>TEXT((Data[[#This Row],[Order_Date]]), "mmm")</f>
        <v>Jan</v>
      </c>
    </row>
    <row r="579" spans="4:17" x14ac:dyDescent="0.3">
      <c r="D579" s="1" t="s">
        <v>641</v>
      </c>
      <c r="E579" s="2">
        <v>45586</v>
      </c>
      <c r="F579" s="2">
        <v>45586</v>
      </c>
      <c r="G579" s="1" t="s">
        <v>31</v>
      </c>
      <c r="H579" s="1" t="s">
        <v>23</v>
      </c>
      <c r="I579" s="1" t="s">
        <v>65</v>
      </c>
      <c r="J579" s="1" t="s">
        <v>114</v>
      </c>
      <c r="K579" s="3">
        <v>3415.18</v>
      </c>
      <c r="L579" s="1">
        <v>3</v>
      </c>
      <c r="M579" s="1" t="s">
        <v>29</v>
      </c>
      <c r="N579" s="3">
        <v>402.15</v>
      </c>
      <c r="O579" s="1" t="s">
        <v>2112</v>
      </c>
      <c r="P579" s="1" t="s">
        <v>2076</v>
      </c>
      <c r="Q579" s="1" t="str">
        <f>TEXT((Data[[#This Row],[Order_Date]]), "mmm")</f>
        <v>Oct</v>
      </c>
    </row>
    <row r="580" spans="4:17" x14ac:dyDescent="0.3">
      <c r="D580" s="1" t="s">
        <v>642</v>
      </c>
      <c r="E580" s="2">
        <v>45644</v>
      </c>
      <c r="F580" s="2">
        <v>45651</v>
      </c>
      <c r="G580" s="1" t="s">
        <v>11</v>
      </c>
      <c r="H580" s="1" t="s">
        <v>12</v>
      </c>
      <c r="I580" s="1" t="s">
        <v>13</v>
      </c>
      <c r="J580" s="1" t="s">
        <v>129</v>
      </c>
      <c r="K580" s="3">
        <v>2806.88</v>
      </c>
      <c r="L580" s="1">
        <v>13</v>
      </c>
      <c r="M580" s="1" t="s">
        <v>20</v>
      </c>
      <c r="N580" s="3">
        <v>672.76</v>
      </c>
      <c r="O580" s="1" t="s">
        <v>2086</v>
      </c>
      <c r="P580" s="1" t="s">
        <v>2078</v>
      </c>
      <c r="Q580" s="1" t="str">
        <f>TEXT((Data[[#This Row],[Order_Date]]), "mmm")</f>
        <v>Dec</v>
      </c>
    </row>
    <row r="581" spans="4:17" x14ac:dyDescent="0.3">
      <c r="D581" s="1" t="s">
        <v>643</v>
      </c>
      <c r="E581" s="2">
        <v>45338</v>
      </c>
      <c r="F581" s="2">
        <v>45343</v>
      </c>
      <c r="G581" s="1" t="s">
        <v>36</v>
      </c>
      <c r="H581" s="1" t="s">
        <v>17</v>
      </c>
      <c r="I581" s="1" t="s">
        <v>27</v>
      </c>
      <c r="J581" s="1" t="s">
        <v>110</v>
      </c>
      <c r="K581" s="3">
        <v>2679.22</v>
      </c>
      <c r="L581" s="1">
        <v>6</v>
      </c>
      <c r="M581" s="1" t="s">
        <v>29</v>
      </c>
      <c r="N581" s="3">
        <v>165.57</v>
      </c>
      <c r="O581" s="1" t="s">
        <v>2288</v>
      </c>
      <c r="P581" s="1" t="s">
        <v>2076</v>
      </c>
      <c r="Q581" s="1" t="str">
        <f>TEXT((Data[[#This Row],[Order_Date]]), "mmm")</f>
        <v>Feb</v>
      </c>
    </row>
    <row r="582" spans="4:17" x14ac:dyDescent="0.3">
      <c r="D582" s="1" t="s">
        <v>644</v>
      </c>
      <c r="E582" s="2">
        <v>45389</v>
      </c>
      <c r="F582" s="2">
        <v>45393</v>
      </c>
      <c r="G582" s="1" t="s">
        <v>31</v>
      </c>
      <c r="H582" s="1" t="s">
        <v>17</v>
      </c>
      <c r="I582" s="1" t="s">
        <v>32</v>
      </c>
      <c r="J582" s="1" t="s">
        <v>33</v>
      </c>
      <c r="K582" s="3">
        <v>2074.39</v>
      </c>
      <c r="L582" s="1">
        <v>15</v>
      </c>
      <c r="M582" s="1" t="s">
        <v>15</v>
      </c>
      <c r="N582" s="3">
        <v>-221.63</v>
      </c>
      <c r="O582" s="1" t="s">
        <v>2140</v>
      </c>
      <c r="P582" s="1" t="s">
        <v>2078</v>
      </c>
      <c r="Q582" s="1" t="str">
        <f>TEXT((Data[[#This Row],[Order_Date]]), "mmm")</f>
        <v>Apr</v>
      </c>
    </row>
    <row r="583" spans="4:17" x14ac:dyDescent="0.3">
      <c r="D583" s="1" t="s">
        <v>645</v>
      </c>
      <c r="E583" s="2">
        <v>45304</v>
      </c>
      <c r="F583" s="2">
        <v>45307</v>
      </c>
      <c r="G583" s="1" t="s">
        <v>31</v>
      </c>
      <c r="H583" s="1" t="s">
        <v>23</v>
      </c>
      <c r="I583" s="1" t="s">
        <v>61</v>
      </c>
      <c r="J583" s="1" t="s">
        <v>62</v>
      </c>
      <c r="K583" s="3">
        <v>2662.78</v>
      </c>
      <c r="L583" s="1">
        <v>16</v>
      </c>
      <c r="M583" s="1" t="s">
        <v>29</v>
      </c>
      <c r="N583" s="3">
        <v>903.98</v>
      </c>
      <c r="O583" s="1" t="s">
        <v>2296</v>
      </c>
      <c r="P583" s="1" t="s">
        <v>2078</v>
      </c>
      <c r="Q583" s="1" t="str">
        <f>TEXT((Data[[#This Row],[Order_Date]]), "mmm")</f>
        <v>Jan</v>
      </c>
    </row>
    <row r="584" spans="4:17" x14ac:dyDescent="0.3">
      <c r="D584" s="1" t="s">
        <v>646</v>
      </c>
      <c r="E584" s="2">
        <v>45300</v>
      </c>
      <c r="F584" s="2">
        <v>45300</v>
      </c>
      <c r="G584" s="1" t="s">
        <v>36</v>
      </c>
      <c r="H584" s="1" t="s">
        <v>17</v>
      </c>
      <c r="I584" s="1" t="s">
        <v>27</v>
      </c>
      <c r="J584" s="1" t="s">
        <v>28</v>
      </c>
      <c r="K584" s="3">
        <v>1770.65</v>
      </c>
      <c r="L584" s="1">
        <v>7</v>
      </c>
      <c r="M584" s="1" t="s">
        <v>15</v>
      </c>
      <c r="N584" s="3">
        <v>443.01</v>
      </c>
      <c r="O584" s="1" t="s">
        <v>2073</v>
      </c>
      <c r="P584" s="1" t="s">
        <v>2078</v>
      </c>
      <c r="Q584" s="1" t="str">
        <f>TEXT((Data[[#This Row],[Order_Date]]), "mmm")</f>
        <v>Jan</v>
      </c>
    </row>
    <row r="585" spans="4:17" x14ac:dyDescent="0.3">
      <c r="D585" s="1" t="s">
        <v>647</v>
      </c>
      <c r="E585" s="2">
        <v>45639</v>
      </c>
      <c r="F585" s="2">
        <v>45641</v>
      </c>
      <c r="G585" s="1" t="s">
        <v>22</v>
      </c>
      <c r="H585" s="1" t="s">
        <v>17</v>
      </c>
      <c r="I585" s="1" t="s">
        <v>18</v>
      </c>
      <c r="J585" s="1" t="s">
        <v>90</v>
      </c>
      <c r="K585" s="3">
        <v>780.96</v>
      </c>
      <c r="L585" s="1">
        <v>1</v>
      </c>
      <c r="M585" s="1" t="s">
        <v>49</v>
      </c>
      <c r="N585" s="3">
        <v>251.59</v>
      </c>
      <c r="O585" s="1" t="s">
        <v>2113</v>
      </c>
      <c r="P585" s="1" t="s">
        <v>2078</v>
      </c>
      <c r="Q585" s="1" t="str">
        <f>TEXT((Data[[#This Row],[Order_Date]]), "mmm")</f>
        <v>Dec</v>
      </c>
    </row>
    <row r="586" spans="4:17" x14ac:dyDescent="0.3">
      <c r="D586" s="1" t="s">
        <v>648</v>
      </c>
      <c r="E586" s="2">
        <v>45416</v>
      </c>
      <c r="F586" s="2">
        <v>45418</v>
      </c>
      <c r="G586" s="1" t="s">
        <v>11</v>
      </c>
      <c r="H586" s="1" t="s">
        <v>17</v>
      </c>
      <c r="I586" s="1" t="s">
        <v>32</v>
      </c>
      <c r="J586" s="1" t="s">
        <v>56</v>
      </c>
      <c r="K586" s="3">
        <v>3642.48</v>
      </c>
      <c r="L586" s="1">
        <v>4</v>
      </c>
      <c r="M586" s="1" t="s">
        <v>49</v>
      </c>
      <c r="N586" s="3">
        <v>850.04</v>
      </c>
      <c r="O586" s="1" t="s">
        <v>2259</v>
      </c>
      <c r="P586" s="1" t="s">
        <v>2071</v>
      </c>
      <c r="Q586" s="1" t="str">
        <f>TEXT((Data[[#This Row],[Order_Date]]), "mmm")</f>
        <v>May</v>
      </c>
    </row>
    <row r="587" spans="4:17" x14ac:dyDescent="0.3">
      <c r="D587" s="1" t="s">
        <v>649</v>
      </c>
      <c r="E587" s="2">
        <v>45324</v>
      </c>
      <c r="F587" s="2">
        <v>45325</v>
      </c>
      <c r="G587" s="1" t="s">
        <v>11</v>
      </c>
      <c r="H587" s="1" t="s">
        <v>23</v>
      </c>
      <c r="I587" s="1" t="s">
        <v>78</v>
      </c>
      <c r="J587" s="1" t="s">
        <v>118</v>
      </c>
      <c r="K587" s="3">
        <v>3266.7</v>
      </c>
      <c r="L587" s="1">
        <v>14</v>
      </c>
      <c r="M587" s="1" t="s">
        <v>34</v>
      </c>
      <c r="N587" s="3">
        <v>958.63</v>
      </c>
      <c r="O587" s="1" t="s">
        <v>2156</v>
      </c>
      <c r="P587" s="1" t="s">
        <v>2078</v>
      </c>
      <c r="Q587" s="1" t="str">
        <f>TEXT((Data[[#This Row],[Order_Date]]), "mmm")</f>
        <v>Feb</v>
      </c>
    </row>
    <row r="588" spans="4:17" x14ac:dyDescent="0.3">
      <c r="D588" s="1" t="s">
        <v>650</v>
      </c>
      <c r="E588" s="2">
        <v>45639</v>
      </c>
      <c r="F588" s="2">
        <v>45645</v>
      </c>
      <c r="G588" s="1" t="s">
        <v>36</v>
      </c>
      <c r="H588" s="1" t="s">
        <v>17</v>
      </c>
      <c r="I588" s="1" t="s">
        <v>32</v>
      </c>
      <c r="J588" s="1" t="s">
        <v>56</v>
      </c>
      <c r="K588" s="3">
        <v>1455.96</v>
      </c>
      <c r="L588" s="1">
        <v>7</v>
      </c>
      <c r="M588" s="1" t="s">
        <v>20</v>
      </c>
      <c r="N588" s="3">
        <v>331.85</v>
      </c>
      <c r="O588" s="1" t="s">
        <v>2295</v>
      </c>
      <c r="P588" s="1" t="s">
        <v>2076</v>
      </c>
      <c r="Q588" s="1" t="str">
        <f>TEXT((Data[[#This Row],[Order_Date]]), "mmm")</f>
        <v>Dec</v>
      </c>
    </row>
    <row r="589" spans="4:17" x14ac:dyDescent="0.3">
      <c r="D589" s="1" t="s">
        <v>651</v>
      </c>
      <c r="E589" s="2">
        <v>45353</v>
      </c>
      <c r="F589" s="2">
        <v>45357</v>
      </c>
      <c r="G589" s="1" t="s">
        <v>22</v>
      </c>
      <c r="H589" s="1" t="s">
        <v>23</v>
      </c>
      <c r="I589" s="1" t="s">
        <v>78</v>
      </c>
      <c r="J589" s="1" t="s">
        <v>79</v>
      </c>
      <c r="K589" s="3">
        <v>2325.2800000000002</v>
      </c>
      <c r="L589" s="1">
        <v>15</v>
      </c>
      <c r="M589" s="1" t="s">
        <v>44</v>
      </c>
      <c r="N589" s="3">
        <v>-762</v>
      </c>
      <c r="O589" s="1" t="s">
        <v>2238</v>
      </c>
      <c r="P589" s="1" t="s">
        <v>2078</v>
      </c>
      <c r="Q589" s="1" t="str">
        <f>TEXT((Data[[#This Row],[Order_Date]]), "mmm")</f>
        <v>Mar</v>
      </c>
    </row>
    <row r="590" spans="4:17" x14ac:dyDescent="0.3">
      <c r="D590" s="1" t="s">
        <v>652</v>
      </c>
      <c r="E590" s="2">
        <v>45343</v>
      </c>
      <c r="F590" s="2">
        <v>45349</v>
      </c>
      <c r="G590" s="1" t="s">
        <v>22</v>
      </c>
      <c r="H590" s="1" t="s">
        <v>17</v>
      </c>
      <c r="I590" s="1" t="s">
        <v>27</v>
      </c>
      <c r="J590" s="1" t="s">
        <v>28</v>
      </c>
      <c r="K590" s="3">
        <v>273.81</v>
      </c>
      <c r="L590" s="1">
        <v>6</v>
      </c>
      <c r="M590" s="1" t="s">
        <v>20</v>
      </c>
      <c r="N590" s="3">
        <v>71.739999999999995</v>
      </c>
      <c r="O590" s="1" t="s">
        <v>2171</v>
      </c>
      <c r="P590" s="1" t="s">
        <v>2071</v>
      </c>
      <c r="Q590" s="1" t="str">
        <f>TEXT((Data[[#This Row],[Order_Date]]), "mmm")</f>
        <v>Feb</v>
      </c>
    </row>
    <row r="591" spans="4:17" x14ac:dyDescent="0.3">
      <c r="D591" s="1" t="s">
        <v>653</v>
      </c>
      <c r="E591" s="2">
        <v>45437</v>
      </c>
      <c r="F591" s="2">
        <v>45443</v>
      </c>
      <c r="G591" s="1" t="s">
        <v>31</v>
      </c>
      <c r="H591" s="1" t="s">
        <v>12</v>
      </c>
      <c r="I591" s="1" t="s">
        <v>58</v>
      </c>
      <c r="J591" s="1" t="s">
        <v>120</v>
      </c>
      <c r="K591" s="3">
        <v>786.58</v>
      </c>
      <c r="L591" s="1">
        <v>9</v>
      </c>
      <c r="M591" s="1" t="s">
        <v>29</v>
      </c>
      <c r="N591" s="3">
        <v>145.62</v>
      </c>
      <c r="O591" s="1" t="s">
        <v>2282</v>
      </c>
      <c r="P591" s="1" t="s">
        <v>2078</v>
      </c>
      <c r="Q591" s="1" t="str">
        <f>TEXT((Data[[#This Row],[Order_Date]]), "mmm")</f>
        <v>May</v>
      </c>
    </row>
    <row r="592" spans="4:17" x14ac:dyDescent="0.3">
      <c r="D592" s="1" t="s">
        <v>654</v>
      </c>
      <c r="E592" s="2">
        <v>45381</v>
      </c>
      <c r="F592" s="2">
        <v>45381</v>
      </c>
      <c r="G592" s="1" t="s">
        <v>22</v>
      </c>
      <c r="H592" s="1" t="s">
        <v>12</v>
      </c>
      <c r="I592" s="1" t="s">
        <v>42</v>
      </c>
      <c r="J592" s="1" t="s">
        <v>48</v>
      </c>
      <c r="K592" s="3">
        <v>2601.9699999999998</v>
      </c>
      <c r="L592" s="1">
        <v>10</v>
      </c>
      <c r="M592" s="1" t="s">
        <v>34</v>
      </c>
      <c r="N592" s="3">
        <v>457</v>
      </c>
      <c r="O592" s="1" t="s">
        <v>2138</v>
      </c>
      <c r="P592" s="1" t="s">
        <v>2076</v>
      </c>
      <c r="Q592" s="1" t="str">
        <f>TEXT((Data[[#This Row],[Order_Date]]), "mmm")</f>
        <v>Mar</v>
      </c>
    </row>
    <row r="593" spans="4:17" x14ac:dyDescent="0.3">
      <c r="D593" s="1" t="s">
        <v>655</v>
      </c>
      <c r="E593" s="2">
        <v>45390</v>
      </c>
      <c r="F593" s="2">
        <v>45391</v>
      </c>
      <c r="G593" s="1" t="s">
        <v>11</v>
      </c>
      <c r="H593" s="1" t="s">
        <v>12</v>
      </c>
      <c r="I593" s="1" t="s">
        <v>13</v>
      </c>
      <c r="J593" s="1" t="s">
        <v>14</v>
      </c>
      <c r="K593" s="3">
        <v>1990.81</v>
      </c>
      <c r="L593" s="1">
        <v>7</v>
      </c>
      <c r="M593" s="1" t="s">
        <v>34</v>
      </c>
      <c r="N593" s="3">
        <v>-131.24</v>
      </c>
      <c r="O593" s="1" t="s">
        <v>2250</v>
      </c>
      <c r="P593" s="1" t="s">
        <v>2076</v>
      </c>
      <c r="Q593" s="1" t="str">
        <f>TEXT((Data[[#This Row],[Order_Date]]), "mmm")</f>
        <v>Apr</v>
      </c>
    </row>
    <row r="594" spans="4:17" x14ac:dyDescent="0.3">
      <c r="D594" s="1" t="s">
        <v>656</v>
      </c>
      <c r="E594" s="2">
        <v>45368</v>
      </c>
      <c r="F594" s="2">
        <v>45375</v>
      </c>
      <c r="G594" s="1" t="s">
        <v>31</v>
      </c>
      <c r="H594" s="1" t="s">
        <v>17</v>
      </c>
      <c r="I594" s="1" t="s">
        <v>18</v>
      </c>
      <c r="J594" s="1" t="s">
        <v>90</v>
      </c>
      <c r="K594" s="3">
        <v>3710.02</v>
      </c>
      <c r="L594" s="1">
        <v>2</v>
      </c>
      <c r="M594" s="1" t="s">
        <v>15</v>
      </c>
      <c r="N594" s="3">
        <v>590.85</v>
      </c>
      <c r="O594" s="1" t="s">
        <v>2110</v>
      </c>
      <c r="P594" s="1" t="s">
        <v>2076</v>
      </c>
      <c r="Q594" s="1" t="str">
        <f>TEXT((Data[[#This Row],[Order_Date]]), "mmm")</f>
        <v>Mar</v>
      </c>
    </row>
    <row r="595" spans="4:17" x14ac:dyDescent="0.3">
      <c r="D595" s="1" t="s">
        <v>657</v>
      </c>
      <c r="E595" s="2">
        <v>45420</v>
      </c>
      <c r="F595" s="2">
        <v>45425</v>
      </c>
      <c r="G595" s="1" t="s">
        <v>31</v>
      </c>
      <c r="H595" s="1" t="s">
        <v>17</v>
      </c>
      <c r="I595" s="1" t="s">
        <v>18</v>
      </c>
      <c r="J595" s="1" t="s">
        <v>90</v>
      </c>
      <c r="K595" s="3">
        <v>446.71</v>
      </c>
      <c r="L595" s="1">
        <v>18</v>
      </c>
      <c r="M595" s="1" t="s">
        <v>44</v>
      </c>
      <c r="N595" s="3">
        <v>-43.52</v>
      </c>
      <c r="O595" s="1" t="s">
        <v>2169</v>
      </c>
      <c r="P595" s="1" t="s">
        <v>2076</v>
      </c>
      <c r="Q595" s="1" t="str">
        <f>TEXT((Data[[#This Row],[Order_Date]]), "mmm")</f>
        <v>May</v>
      </c>
    </row>
    <row r="596" spans="4:17" x14ac:dyDescent="0.3">
      <c r="D596" s="1" t="s">
        <v>658</v>
      </c>
      <c r="E596" s="2">
        <v>45555</v>
      </c>
      <c r="F596" s="2">
        <v>45556</v>
      </c>
      <c r="G596" s="1" t="s">
        <v>11</v>
      </c>
      <c r="H596" s="1" t="s">
        <v>17</v>
      </c>
      <c r="I596" s="1" t="s">
        <v>32</v>
      </c>
      <c r="J596" s="1" t="s">
        <v>33</v>
      </c>
      <c r="K596" s="3">
        <v>2472.65</v>
      </c>
      <c r="L596" s="1">
        <v>11</v>
      </c>
      <c r="M596" s="1" t="s">
        <v>49</v>
      </c>
      <c r="N596" s="3">
        <v>271.07</v>
      </c>
      <c r="O596" s="1" t="s">
        <v>2128</v>
      </c>
      <c r="P596" s="1" t="s">
        <v>2076</v>
      </c>
      <c r="Q596" s="1" t="str">
        <f>TEXT((Data[[#This Row],[Order_Date]]), "mmm")</f>
        <v>Sep</v>
      </c>
    </row>
    <row r="597" spans="4:17" x14ac:dyDescent="0.3">
      <c r="D597" s="1" t="s">
        <v>659</v>
      </c>
      <c r="E597" s="2">
        <v>45458</v>
      </c>
      <c r="F597" s="2">
        <v>45461</v>
      </c>
      <c r="G597" s="1" t="s">
        <v>11</v>
      </c>
      <c r="H597" s="1" t="s">
        <v>23</v>
      </c>
      <c r="I597" s="1" t="s">
        <v>78</v>
      </c>
      <c r="J597" s="1" t="s">
        <v>118</v>
      </c>
      <c r="K597" s="3">
        <v>1139.19</v>
      </c>
      <c r="L597" s="1">
        <v>14</v>
      </c>
      <c r="M597" s="1" t="s">
        <v>44</v>
      </c>
      <c r="N597" s="3">
        <v>185.3</v>
      </c>
      <c r="O597" s="1" t="s">
        <v>2256</v>
      </c>
      <c r="P597" s="1" t="s">
        <v>2078</v>
      </c>
      <c r="Q597" s="1" t="str">
        <f>TEXT((Data[[#This Row],[Order_Date]]), "mmm")</f>
        <v>Jun</v>
      </c>
    </row>
    <row r="598" spans="4:17" x14ac:dyDescent="0.3">
      <c r="D598" s="1" t="s">
        <v>660</v>
      </c>
      <c r="E598" s="2">
        <v>45533</v>
      </c>
      <c r="F598" s="2">
        <v>45540</v>
      </c>
      <c r="G598" s="1" t="s">
        <v>11</v>
      </c>
      <c r="H598" s="1" t="s">
        <v>23</v>
      </c>
      <c r="I598" s="1" t="s">
        <v>78</v>
      </c>
      <c r="J598" s="1" t="s">
        <v>118</v>
      </c>
      <c r="K598" s="3">
        <v>3729.58</v>
      </c>
      <c r="L598" s="1">
        <v>15</v>
      </c>
      <c r="M598" s="1" t="s">
        <v>44</v>
      </c>
      <c r="N598" s="3">
        <v>-619.85</v>
      </c>
      <c r="O598" s="1" t="s">
        <v>2297</v>
      </c>
      <c r="P598" s="1" t="s">
        <v>2078</v>
      </c>
      <c r="Q598" s="1" t="str">
        <f>TEXT((Data[[#This Row],[Order_Date]]), "mmm")</f>
        <v>Aug</v>
      </c>
    </row>
    <row r="599" spans="4:17" x14ac:dyDescent="0.3">
      <c r="D599" s="1" t="s">
        <v>661</v>
      </c>
      <c r="E599" s="2">
        <v>45391</v>
      </c>
      <c r="F599" s="2">
        <v>45396</v>
      </c>
      <c r="G599" s="1" t="s">
        <v>36</v>
      </c>
      <c r="H599" s="1" t="s">
        <v>17</v>
      </c>
      <c r="I599" s="1" t="s">
        <v>27</v>
      </c>
      <c r="J599" s="1" t="s">
        <v>132</v>
      </c>
      <c r="K599" s="3">
        <v>370.35</v>
      </c>
      <c r="L599" s="1">
        <v>19</v>
      </c>
      <c r="M599" s="1" t="s">
        <v>20</v>
      </c>
      <c r="N599" s="3">
        <v>-49.69</v>
      </c>
      <c r="O599" s="1" t="s">
        <v>2278</v>
      </c>
      <c r="P599" s="1" t="s">
        <v>2078</v>
      </c>
      <c r="Q599" s="1" t="str">
        <f>TEXT((Data[[#This Row],[Order_Date]]), "mmm")</f>
        <v>Apr</v>
      </c>
    </row>
    <row r="600" spans="4:17" x14ac:dyDescent="0.3">
      <c r="D600" s="1" t="s">
        <v>662</v>
      </c>
      <c r="E600" s="2">
        <v>45530</v>
      </c>
      <c r="F600" s="2">
        <v>45537</v>
      </c>
      <c r="G600" s="1" t="s">
        <v>31</v>
      </c>
      <c r="H600" s="1" t="s">
        <v>17</v>
      </c>
      <c r="I600" s="1" t="s">
        <v>27</v>
      </c>
      <c r="J600" s="1" t="s">
        <v>132</v>
      </c>
      <c r="K600" s="3">
        <v>3574.03</v>
      </c>
      <c r="L600" s="1">
        <v>20</v>
      </c>
      <c r="M600" s="1" t="s">
        <v>44</v>
      </c>
      <c r="N600" s="3">
        <v>1025.26</v>
      </c>
      <c r="O600" s="1" t="s">
        <v>2295</v>
      </c>
      <c r="P600" s="1" t="s">
        <v>2076</v>
      </c>
      <c r="Q600" s="1" t="str">
        <f>TEXT((Data[[#This Row],[Order_Date]]), "mmm")</f>
        <v>Aug</v>
      </c>
    </row>
    <row r="601" spans="4:17" x14ac:dyDescent="0.3">
      <c r="D601" s="1" t="s">
        <v>663</v>
      </c>
      <c r="E601" s="2">
        <v>45605</v>
      </c>
      <c r="F601" s="2">
        <v>45607</v>
      </c>
      <c r="G601" s="1" t="s">
        <v>22</v>
      </c>
      <c r="H601" s="1" t="s">
        <v>17</v>
      </c>
      <c r="I601" s="1" t="s">
        <v>27</v>
      </c>
      <c r="J601" s="1" t="s">
        <v>108</v>
      </c>
      <c r="K601" s="3">
        <v>3483.25</v>
      </c>
      <c r="L601" s="1">
        <v>7</v>
      </c>
      <c r="M601" s="1" t="s">
        <v>29</v>
      </c>
      <c r="N601" s="3">
        <v>668.95</v>
      </c>
      <c r="O601" s="1" t="s">
        <v>2102</v>
      </c>
      <c r="P601" s="1" t="s">
        <v>2078</v>
      </c>
      <c r="Q601" s="1" t="str">
        <f>TEXT((Data[[#This Row],[Order_Date]]), "mmm")</f>
        <v>Nov</v>
      </c>
    </row>
    <row r="602" spans="4:17" x14ac:dyDescent="0.3">
      <c r="D602" s="1" t="s">
        <v>664</v>
      </c>
      <c r="E602" s="2">
        <v>45299</v>
      </c>
      <c r="F602" s="2">
        <v>45305</v>
      </c>
      <c r="G602" s="1" t="s">
        <v>22</v>
      </c>
      <c r="H602" s="1" t="s">
        <v>17</v>
      </c>
      <c r="I602" s="1" t="s">
        <v>27</v>
      </c>
      <c r="J602" s="1" t="s">
        <v>108</v>
      </c>
      <c r="K602" s="3">
        <v>2423</v>
      </c>
      <c r="L602" s="1">
        <v>19</v>
      </c>
      <c r="M602" s="1" t="s">
        <v>44</v>
      </c>
      <c r="N602" s="3">
        <v>785.36</v>
      </c>
      <c r="O602" s="1" t="s">
        <v>2211</v>
      </c>
      <c r="P602" s="1" t="s">
        <v>2078</v>
      </c>
      <c r="Q602" s="1" t="str">
        <f>TEXT((Data[[#This Row],[Order_Date]]), "mmm")</f>
        <v>Jan</v>
      </c>
    </row>
    <row r="603" spans="4:17" x14ac:dyDescent="0.3">
      <c r="D603" s="1" t="s">
        <v>665</v>
      </c>
      <c r="E603" s="2">
        <v>45505</v>
      </c>
      <c r="F603" s="2">
        <v>45505</v>
      </c>
      <c r="G603" s="1" t="s">
        <v>11</v>
      </c>
      <c r="H603" s="1" t="s">
        <v>23</v>
      </c>
      <c r="I603" s="1" t="s">
        <v>61</v>
      </c>
      <c r="J603" s="1" t="s">
        <v>98</v>
      </c>
      <c r="K603" s="3">
        <v>2241.71</v>
      </c>
      <c r="L603" s="1">
        <v>16</v>
      </c>
      <c r="M603" s="1" t="s">
        <v>15</v>
      </c>
      <c r="N603" s="3">
        <v>664.41</v>
      </c>
      <c r="O603" s="1" t="s">
        <v>2182</v>
      </c>
      <c r="P603" s="1" t="s">
        <v>2076</v>
      </c>
      <c r="Q603" s="1" t="str">
        <f>TEXT((Data[[#This Row],[Order_Date]]), "mmm")</f>
        <v>Aug</v>
      </c>
    </row>
    <row r="604" spans="4:17" x14ac:dyDescent="0.3">
      <c r="D604" s="1" t="s">
        <v>666</v>
      </c>
      <c r="E604" s="2">
        <v>45415</v>
      </c>
      <c r="F604" s="2">
        <v>45416</v>
      </c>
      <c r="G604" s="1" t="s">
        <v>11</v>
      </c>
      <c r="H604" s="1" t="s">
        <v>12</v>
      </c>
      <c r="I604" s="1" t="s">
        <v>42</v>
      </c>
      <c r="J604" s="1" t="s">
        <v>72</v>
      </c>
      <c r="K604" s="3">
        <v>747.67</v>
      </c>
      <c r="L604" s="1">
        <v>10</v>
      </c>
      <c r="M604" s="1" t="s">
        <v>44</v>
      </c>
      <c r="N604" s="3">
        <v>-182.65</v>
      </c>
      <c r="O604" s="1" t="s">
        <v>2184</v>
      </c>
      <c r="P604" s="1" t="s">
        <v>2076</v>
      </c>
      <c r="Q604" s="1" t="str">
        <f>TEXT((Data[[#This Row],[Order_Date]]), "mmm")</f>
        <v>May</v>
      </c>
    </row>
    <row r="605" spans="4:17" x14ac:dyDescent="0.3">
      <c r="D605" s="1" t="s">
        <v>667</v>
      </c>
      <c r="E605" s="2">
        <v>45537</v>
      </c>
      <c r="F605" s="2">
        <v>45541</v>
      </c>
      <c r="G605" s="1" t="s">
        <v>22</v>
      </c>
      <c r="H605" s="1" t="s">
        <v>12</v>
      </c>
      <c r="I605" s="1" t="s">
        <v>42</v>
      </c>
      <c r="J605" s="1" t="s">
        <v>48</v>
      </c>
      <c r="K605" s="3">
        <v>3911.58</v>
      </c>
      <c r="L605" s="1">
        <v>15</v>
      </c>
      <c r="M605" s="1" t="s">
        <v>44</v>
      </c>
      <c r="N605" s="3">
        <v>1221.43</v>
      </c>
      <c r="O605" s="1" t="s">
        <v>2240</v>
      </c>
      <c r="P605" s="1" t="s">
        <v>2071</v>
      </c>
      <c r="Q605" s="1" t="str">
        <f>TEXT((Data[[#This Row],[Order_Date]]), "mmm")</f>
        <v>Sep</v>
      </c>
    </row>
    <row r="606" spans="4:17" x14ac:dyDescent="0.3">
      <c r="D606" s="1" t="s">
        <v>668</v>
      </c>
      <c r="E606" s="2">
        <v>45481</v>
      </c>
      <c r="F606" s="2">
        <v>45488</v>
      </c>
      <c r="G606" s="1" t="s">
        <v>11</v>
      </c>
      <c r="H606" s="1" t="s">
        <v>12</v>
      </c>
      <c r="I606" s="1" t="s">
        <v>38</v>
      </c>
      <c r="J606" s="1" t="s">
        <v>85</v>
      </c>
      <c r="K606" s="3">
        <v>3600.38</v>
      </c>
      <c r="L606" s="1">
        <v>11</v>
      </c>
      <c r="M606" s="1" t="s">
        <v>29</v>
      </c>
      <c r="N606" s="3">
        <v>215.35</v>
      </c>
      <c r="O606" s="1" t="s">
        <v>2297</v>
      </c>
      <c r="P606" s="1" t="s">
        <v>2071</v>
      </c>
      <c r="Q606" s="1" t="str">
        <f>TEXT((Data[[#This Row],[Order_Date]]), "mmm")</f>
        <v>Jul</v>
      </c>
    </row>
    <row r="607" spans="4:17" x14ac:dyDescent="0.3">
      <c r="D607" s="1" t="s">
        <v>669</v>
      </c>
      <c r="E607" s="2">
        <v>45430</v>
      </c>
      <c r="F607" s="2">
        <v>45433</v>
      </c>
      <c r="G607" s="1" t="s">
        <v>11</v>
      </c>
      <c r="H607" s="1" t="s">
        <v>12</v>
      </c>
      <c r="I607" s="1" t="s">
        <v>13</v>
      </c>
      <c r="J607" s="1" t="s">
        <v>51</v>
      </c>
      <c r="K607" s="3">
        <v>2180.2600000000002</v>
      </c>
      <c r="L607" s="1">
        <v>12</v>
      </c>
      <c r="M607" s="1" t="s">
        <v>20</v>
      </c>
      <c r="N607" s="3">
        <v>181.59</v>
      </c>
      <c r="O607" s="1" t="s">
        <v>2298</v>
      </c>
      <c r="P607" s="1" t="s">
        <v>2071</v>
      </c>
      <c r="Q607" s="1" t="str">
        <f>TEXT((Data[[#This Row],[Order_Date]]), "mmm")</f>
        <v>May</v>
      </c>
    </row>
    <row r="608" spans="4:17" x14ac:dyDescent="0.3">
      <c r="D608" s="1" t="s">
        <v>670</v>
      </c>
      <c r="E608" s="2">
        <v>45608</v>
      </c>
      <c r="F608" s="2">
        <v>45608</v>
      </c>
      <c r="G608" s="1" t="s">
        <v>36</v>
      </c>
      <c r="H608" s="1" t="s">
        <v>23</v>
      </c>
      <c r="I608" s="1" t="s">
        <v>78</v>
      </c>
      <c r="J608" s="1" t="s">
        <v>118</v>
      </c>
      <c r="K608" s="3">
        <v>2352.84</v>
      </c>
      <c r="L608" s="1">
        <v>7</v>
      </c>
      <c r="M608" s="1" t="s">
        <v>44</v>
      </c>
      <c r="N608" s="3">
        <v>810.26</v>
      </c>
      <c r="O608" s="1" t="s">
        <v>2097</v>
      </c>
      <c r="P608" s="1" t="s">
        <v>2076</v>
      </c>
      <c r="Q608" s="1" t="str">
        <f>TEXT((Data[[#This Row],[Order_Date]]), "mmm")</f>
        <v>Nov</v>
      </c>
    </row>
    <row r="609" spans="4:17" x14ac:dyDescent="0.3">
      <c r="D609" s="1" t="s">
        <v>671</v>
      </c>
      <c r="E609" s="2">
        <v>45350</v>
      </c>
      <c r="F609" s="2">
        <v>45357</v>
      </c>
      <c r="G609" s="1" t="s">
        <v>22</v>
      </c>
      <c r="H609" s="1" t="s">
        <v>12</v>
      </c>
      <c r="I609" s="1" t="s">
        <v>58</v>
      </c>
      <c r="J609" s="1" t="s">
        <v>105</v>
      </c>
      <c r="K609" s="3">
        <v>1572.67</v>
      </c>
      <c r="L609" s="1">
        <v>9</v>
      </c>
      <c r="M609" s="1" t="s">
        <v>29</v>
      </c>
      <c r="N609" s="3">
        <v>399.57</v>
      </c>
      <c r="O609" s="1" t="s">
        <v>2218</v>
      </c>
      <c r="P609" s="1" t="s">
        <v>2078</v>
      </c>
      <c r="Q609" s="1" t="str">
        <f>TEXT((Data[[#This Row],[Order_Date]]), "mmm")</f>
        <v>Feb</v>
      </c>
    </row>
    <row r="610" spans="4:17" x14ac:dyDescent="0.3">
      <c r="D610" s="1" t="s">
        <v>672</v>
      </c>
      <c r="E610" s="2">
        <v>45324</v>
      </c>
      <c r="F610" s="2">
        <v>45329</v>
      </c>
      <c r="G610" s="1" t="s">
        <v>36</v>
      </c>
      <c r="H610" s="1" t="s">
        <v>23</v>
      </c>
      <c r="I610" s="1" t="s">
        <v>65</v>
      </c>
      <c r="J610" s="1" t="s">
        <v>122</v>
      </c>
      <c r="K610" s="3">
        <v>2225.06</v>
      </c>
      <c r="L610" s="1">
        <v>4</v>
      </c>
      <c r="M610" s="1" t="s">
        <v>49</v>
      </c>
      <c r="N610" s="3">
        <v>585.07000000000005</v>
      </c>
      <c r="O610" s="1" t="s">
        <v>2139</v>
      </c>
      <c r="P610" s="1" t="s">
        <v>2076</v>
      </c>
      <c r="Q610" s="1" t="str">
        <f>TEXT((Data[[#This Row],[Order_Date]]), "mmm")</f>
        <v>Feb</v>
      </c>
    </row>
    <row r="611" spans="4:17" x14ac:dyDescent="0.3">
      <c r="D611" s="1" t="s">
        <v>673</v>
      </c>
      <c r="E611" s="2">
        <v>45564</v>
      </c>
      <c r="F611" s="2">
        <v>45568</v>
      </c>
      <c r="G611" s="1" t="s">
        <v>31</v>
      </c>
      <c r="H611" s="1" t="s">
        <v>12</v>
      </c>
      <c r="I611" s="1" t="s">
        <v>13</v>
      </c>
      <c r="J611" s="1" t="s">
        <v>51</v>
      </c>
      <c r="K611" s="3">
        <v>956.33</v>
      </c>
      <c r="L611" s="1">
        <v>15</v>
      </c>
      <c r="M611" s="1" t="s">
        <v>20</v>
      </c>
      <c r="N611" s="3">
        <v>70.819999999999993</v>
      </c>
      <c r="O611" s="1" t="s">
        <v>2207</v>
      </c>
      <c r="P611" s="1" t="s">
        <v>2076</v>
      </c>
      <c r="Q611" s="1" t="str">
        <f>TEXT((Data[[#This Row],[Order_Date]]), "mmm")</f>
        <v>Sep</v>
      </c>
    </row>
    <row r="612" spans="4:17" x14ac:dyDescent="0.3">
      <c r="D612" s="1" t="s">
        <v>674</v>
      </c>
      <c r="E612" s="2">
        <v>45439</v>
      </c>
      <c r="F612" s="2">
        <v>45440</v>
      </c>
      <c r="G612" s="1" t="s">
        <v>11</v>
      </c>
      <c r="H612" s="1" t="s">
        <v>17</v>
      </c>
      <c r="I612" s="1" t="s">
        <v>27</v>
      </c>
      <c r="J612" s="1" t="s">
        <v>28</v>
      </c>
      <c r="K612" s="3">
        <v>2864.06</v>
      </c>
      <c r="L612" s="1">
        <v>16</v>
      </c>
      <c r="M612" s="1" t="s">
        <v>44</v>
      </c>
      <c r="N612" s="3">
        <v>895.01</v>
      </c>
      <c r="O612" s="1" t="s">
        <v>2259</v>
      </c>
      <c r="P612" s="1" t="s">
        <v>2071</v>
      </c>
      <c r="Q612" s="1" t="str">
        <f>TEXT((Data[[#This Row],[Order_Date]]), "mmm")</f>
        <v>May</v>
      </c>
    </row>
    <row r="613" spans="4:17" x14ac:dyDescent="0.3">
      <c r="D613" s="1" t="s">
        <v>675</v>
      </c>
      <c r="E613" s="2">
        <v>45613</v>
      </c>
      <c r="F613" s="2">
        <v>45613</v>
      </c>
      <c r="G613" s="1" t="s">
        <v>36</v>
      </c>
      <c r="H613" s="1" t="s">
        <v>23</v>
      </c>
      <c r="I613" s="1" t="s">
        <v>78</v>
      </c>
      <c r="J613" s="1" t="s">
        <v>79</v>
      </c>
      <c r="K613" s="3">
        <v>1550.13</v>
      </c>
      <c r="L613" s="1">
        <v>15</v>
      </c>
      <c r="M613" s="1" t="s">
        <v>15</v>
      </c>
      <c r="N613" s="3">
        <v>377.31</v>
      </c>
      <c r="O613" s="1" t="s">
        <v>2299</v>
      </c>
      <c r="P613" s="1" t="s">
        <v>2076</v>
      </c>
      <c r="Q613" s="1" t="str">
        <f>TEXT((Data[[#This Row],[Order_Date]]), "mmm")</f>
        <v>Nov</v>
      </c>
    </row>
    <row r="614" spans="4:17" x14ac:dyDescent="0.3">
      <c r="D614" s="1" t="s">
        <v>676</v>
      </c>
      <c r="E614" s="2">
        <v>45324</v>
      </c>
      <c r="F614" s="2">
        <v>45324</v>
      </c>
      <c r="G614" s="1" t="s">
        <v>22</v>
      </c>
      <c r="H614" s="1" t="s">
        <v>12</v>
      </c>
      <c r="I614" s="1" t="s">
        <v>13</v>
      </c>
      <c r="J614" s="1" t="s">
        <v>96</v>
      </c>
      <c r="K614" s="3">
        <v>2420.14</v>
      </c>
      <c r="L614" s="1">
        <v>11</v>
      </c>
      <c r="M614" s="1" t="s">
        <v>49</v>
      </c>
      <c r="N614" s="3">
        <v>551.80999999999995</v>
      </c>
      <c r="O614" s="1" t="s">
        <v>2115</v>
      </c>
      <c r="P614" s="1" t="s">
        <v>2076</v>
      </c>
      <c r="Q614" s="1" t="str">
        <f>TEXT((Data[[#This Row],[Order_Date]]), "mmm")</f>
        <v>Feb</v>
      </c>
    </row>
    <row r="615" spans="4:17" x14ac:dyDescent="0.3">
      <c r="D615" s="1" t="s">
        <v>677</v>
      </c>
      <c r="E615" s="2">
        <v>45572</v>
      </c>
      <c r="F615" s="2">
        <v>45579</v>
      </c>
      <c r="G615" s="1" t="s">
        <v>31</v>
      </c>
      <c r="H615" s="1" t="s">
        <v>23</v>
      </c>
      <c r="I615" s="1" t="s">
        <v>78</v>
      </c>
      <c r="J615" s="1" t="s">
        <v>79</v>
      </c>
      <c r="K615" s="3">
        <v>894.01</v>
      </c>
      <c r="L615" s="1">
        <v>9</v>
      </c>
      <c r="M615" s="1" t="s">
        <v>44</v>
      </c>
      <c r="N615" s="3">
        <v>174.58</v>
      </c>
      <c r="O615" s="1" t="s">
        <v>2173</v>
      </c>
      <c r="P615" s="1" t="s">
        <v>2078</v>
      </c>
      <c r="Q615" s="1" t="str">
        <f>TEXT((Data[[#This Row],[Order_Date]]), "mmm")</f>
        <v>Oct</v>
      </c>
    </row>
    <row r="616" spans="4:17" x14ac:dyDescent="0.3">
      <c r="D616" s="1" t="s">
        <v>678</v>
      </c>
      <c r="E616" s="2">
        <v>45316</v>
      </c>
      <c r="F616" s="2">
        <v>45318</v>
      </c>
      <c r="G616" s="1" t="s">
        <v>36</v>
      </c>
      <c r="H616" s="1" t="s">
        <v>23</v>
      </c>
      <c r="I616" s="1" t="s">
        <v>65</v>
      </c>
      <c r="J616" s="1" t="s">
        <v>66</v>
      </c>
      <c r="K616" s="3">
        <v>2569.86</v>
      </c>
      <c r="L616" s="1">
        <v>6</v>
      </c>
      <c r="M616" s="1" t="s">
        <v>15</v>
      </c>
      <c r="N616" s="3">
        <v>541.20000000000005</v>
      </c>
      <c r="O616" s="1" t="s">
        <v>2180</v>
      </c>
      <c r="P616" s="1" t="s">
        <v>2076</v>
      </c>
      <c r="Q616" s="1" t="str">
        <f>TEXT((Data[[#This Row],[Order_Date]]), "mmm")</f>
        <v>Jan</v>
      </c>
    </row>
    <row r="617" spans="4:17" x14ac:dyDescent="0.3">
      <c r="D617" s="1" t="s">
        <v>679</v>
      </c>
      <c r="E617" s="2">
        <v>45381</v>
      </c>
      <c r="F617" s="2">
        <v>45383</v>
      </c>
      <c r="G617" s="1" t="s">
        <v>22</v>
      </c>
      <c r="H617" s="1" t="s">
        <v>17</v>
      </c>
      <c r="I617" s="1" t="s">
        <v>18</v>
      </c>
      <c r="J617" s="1" t="s">
        <v>19</v>
      </c>
      <c r="K617" s="3">
        <v>3976.65</v>
      </c>
      <c r="L617" s="1">
        <v>19</v>
      </c>
      <c r="M617" s="1" t="s">
        <v>44</v>
      </c>
      <c r="N617" s="3">
        <v>724.81</v>
      </c>
      <c r="O617" s="1" t="s">
        <v>2171</v>
      </c>
      <c r="P617" s="1" t="s">
        <v>2071</v>
      </c>
      <c r="Q617" s="1" t="str">
        <f>TEXT((Data[[#This Row],[Order_Date]]), "mmm")</f>
        <v>Mar</v>
      </c>
    </row>
    <row r="618" spans="4:17" x14ac:dyDescent="0.3">
      <c r="D618" s="1" t="s">
        <v>680</v>
      </c>
      <c r="E618" s="2">
        <v>45397</v>
      </c>
      <c r="F618" s="2">
        <v>45397</v>
      </c>
      <c r="G618" s="1" t="s">
        <v>36</v>
      </c>
      <c r="H618" s="1" t="s">
        <v>23</v>
      </c>
      <c r="I618" s="1" t="s">
        <v>78</v>
      </c>
      <c r="J618" s="1" t="s">
        <v>79</v>
      </c>
      <c r="K618" s="3">
        <v>1931.61</v>
      </c>
      <c r="L618" s="1">
        <v>6</v>
      </c>
      <c r="M618" s="1" t="s">
        <v>29</v>
      </c>
      <c r="N618" s="3">
        <v>271.33</v>
      </c>
      <c r="O618" s="1" t="s">
        <v>2220</v>
      </c>
      <c r="P618" s="1" t="s">
        <v>2078</v>
      </c>
      <c r="Q618" s="1" t="str">
        <f>TEXT((Data[[#This Row],[Order_Date]]), "mmm")</f>
        <v>Apr</v>
      </c>
    </row>
    <row r="619" spans="4:17" x14ac:dyDescent="0.3">
      <c r="D619" s="1" t="s">
        <v>681</v>
      </c>
      <c r="E619" s="2">
        <v>45499</v>
      </c>
      <c r="F619" s="2">
        <v>45506</v>
      </c>
      <c r="G619" s="1" t="s">
        <v>22</v>
      </c>
      <c r="H619" s="1" t="s">
        <v>23</v>
      </c>
      <c r="I619" s="1" t="s">
        <v>24</v>
      </c>
      <c r="J619" s="1" t="s">
        <v>25</v>
      </c>
      <c r="K619" s="3">
        <v>266.10000000000002</v>
      </c>
      <c r="L619" s="1">
        <v>18</v>
      </c>
      <c r="M619" s="1" t="s">
        <v>29</v>
      </c>
      <c r="N619" s="3">
        <v>39.75</v>
      </c>
      <c r="O619" s="1" t="s">
        <v>2250</v>
      </c>
      <c r="P619" s="1" t="s">
        <v>2071</v>
      </c>
      <c r="Q619" s="1" t="str">
        <f>TEXT((Data[[#This Row],[Order_Date]]), "mmm")</f>
        <v>Jul</v>
      </c>
    </row>
    <row r="620" spans="4:17" x14ac:dyDescent="0.3">
      <c r="D620" s="1" t="s">
        <v>682</v>
      </c>
      <c r="E620" s="2">
        <v>45534</v>
      </c>
      <c r="F620" s="2">
        <v>45538</v>
      </c>
      <c r="G620" s="1" t="s">
        <v>22</v>
      </c>
      <c r="H620" s="1" t="s">
        <v>12</v>
      </c>
      <c r="I620" s="1" t="s">
        <v>42</v>
      </c>
      <c r="J620" s="1" t="s">
        <v>46</v>
      </c>
      <c r="K620" s="3">
        <v>2834.3</v>
      </c>
      <c r="L620" s="1">
        <v>16</v>
      </c>
      <c r="M620" s="1" t="s">
        <v>20</v>
      </c>
      <c r="N620" s="3">
        <v>260.27</v>
      </c>
      <c r="O620" s="1" t="s">
        <v>2086</v>
      </c>
      <c r="P620" s="1" t="s">
        <v>2078</v>
      </c>
      <c r="Q620" s="1" t="str">
        <f>TEXT((Data[[#This Row],[Order_Date]]), "mmm")</f>
        <v>Aug</v>
      </c>
    </row>
    <row r="621" spans="4:17" x14ac:dyDescent="0.3">
      <c r="D621" s="1" t="s">
        <v>683</v>
      </c>
      <c r="E621" s="2">
        <v>45449</v>
      </c>
      <c r="F621" s="2">
        <v>45449</v>
      </c>
      <c r="G621" s="1" t="s">
        <v>31</v>
      </c>
      <c r="H621" s="1" t="s">
        <v>12</v>
      </c>
      <c r="I621" s="1" t="s">
        <v>58</v>
      </c>
      <c r="J621" s="1" t="s">
        <v>105</v>
      </c>
      <c r="K621" s="3">
        <v>1590.23</v>
      </c>
      <c r="L621" s="1">
        <v>11</v>
      </c>
      <c r="M621" s="1" t="s">
        <v>20</v>
      </c>
      <c r="N621" s="3">
        <v>369.64</v>
      </c>
      <c r="O621" s="1" t="s">
        <v>2082</v>
      </c>
      <c r="P621" s="1" t="s">
        <v>2078</v>
      </c>
      <c r="Q621" s="1" t="str">
        <f>TEXT((Data[[#This Row],[Order_Date]]), "mmm")</f>
        <v>Jun</v>
      </c>
    </row>
    <row r="622" spans="4:17" x14ac:dyDescent="0.3">
      <c r="D622" s="1" t="s">
        <v>684</v>
      </c>
      <c r="E622" s="2">
        <v>45561</v>
      </c>
      <c r="F622" s="2">
        <v>45564</v>
      </c>
      <c r="G622" s="1" t="s">
        <v>36</v>
      </c>
      <c r="H622" s="1" t="s">
        <v>17</v>
      </c>
      <c r="I622" s="1" t="s">
        <v>18</v>
      </c>
      <c r="J622" s="1" t="s">
        <v>19</v>
      </c>
      <c r="K622" s="3">
        <v>2269.0500000000002</v>
      </c>
      <c r="L622" s="1">
        <v>15</v>
      </c>
      <c r="M622" s="1" t="s">
        <v>15</v>
      </c>
      <c r="N622" s="3">
        <v>-570.59</v>
      </c>
      <c r="O622" s="1" t="s">
        <v>2129</v>
      </c>
      <c r="P622" s="1" t="s">
        <v>2078</v>
      </c>
      <c r="Q622" s="1" t="str">
        <f>TEXT((Data[[#This Row],[Order_Date]]), "mmm")</f>
        <v>Sep</v>
      </c>
    </row>
    <row r="623" spans="4:17" x14ac:dyDescent="0.3">
      <c r="D623" s="1" t="s">
        <v>685</v>
      </c>
      <c r="E623" s="2">
        <v>45554</v>
      </c>
      <c r="F623" s="2">
        <v>45560</v>
      </c>
      <c r="G623" s="1" t="s">
        <v>22</v>
      </c>
      <c r="H623" s="1" t="s">
        <v>23</v>
      </c>
      <c r="I623" s="1" t="s">
        <v>24</v>
      </c>
      <c r="J623" s="1" t="s">
        <v>150</v>
      </c>
      <c r="K623" s="3">
        <v>2519.04</v>
      </c>
      <c r="L623" s="1">
        <v>2</v>
      </c>
      <c r="M623" s="1" t="s">
        <v>15</v>
      </c>
      <c r="N623" s="3">
        <v>-398.81</v>
      </c>
      <c r="O623" s="1" t="s">
        <v>2258</v>
      </c>
      <c r="P623" s="1" t="s">
        <v>2076</v>
      </c>
      <c r="Q623" s="1" t="str">
        <f>TEXT((Data[[#This Row],[Order_Date]]), "mmm")</f>
        <v>Sep</v>
      </c>
    </row>
    <row r="624" spans="4:17" x14ac:dyDescent="0.3">
      <c r="D624" s="1" t="s">
        <v>686</v>
      </c>
      <c r="E624" s="2">
        <v>45510</v>
      </c>
      <c r="F624" s="2">
        <v>45515</v>
      </c>
      <c r="G624" s="1" t="s">
        <v>31</v>
      </c>
      <c r="H624" s="1" t="s">
        <v>23</v>
      </c>
      <c r="I624" s="1" t="s">
        <v>61</v>
      </c>
      <c r="J624" s="1" t="s">
        <v>98</v>
      </c>
      <c r="K624" s="3">
        <v>1543.45</v>
      </c>
      <c r="L624" s="1">
        <v>10</v>
      </c>
      <c r="M624" s="1" t="s">
        <v>49</v>
      </c>
      <c r="N624" s="3">
        <v>-482</v>
      </c>
      <c r="O624" s="1" t="s">
        <v>2096</v>
      </c>
      <c r="P624" s="1" t="s">
        <v>2071</v>
      </c>
      <c r="Q624" s="1" t="str">
        <f>TEXT((Data[[#This Row],[Order_Date]]), "mmm")</f>
        <v>Aug</v>
      </c>
    </row>
    <row r="625" spans="4:17" x14ac:dyDescent="0.3">
      <c r="D625" s="1" t="s">
        <v>687</v>
      </c>
      <c r="E625" s="2">
        <v>45519</v>
      </c>
      <c r="F625" s="2">
        <v>45525</v>
      </c>
      <c r="G625" s="1" t="s">
        <v>31</v>
      </c>
      <c r="H625" s="1" t="s">
        <v>23</v>
      </c>
      <c r="I625" s="1" t="s">
        <v>78</v>
      </c>
      <c r="J625" s="1" t="s">
        <v>79</v>
      </c>
      <c r="K625" s="3">
        <v>2982.27</v>
      </c>
      <c r="L625" s="1">
        <v>14</v>
      </c>
      <c r="M625" s="1" t="s">
        <v>44</v>
      </c>
      <c r="N625" s="3">
        <v>896.63</v>
      </c>
      <c r="O625" s="1" t="s">
        <v>2191</v>
      </c>
      <c r="P625" s="1" t="s">
        <v>2078</v>
      </c>
      <c r="Q625" s="1" t="str">
        <f>TEXT((Data[[#This Row],[Order_Date]]), "mmm")</f>
        <v>Aug</v>
      </c>
    </row>
    <row r="626" spans="4:17" x14ac:dyDescent="0.3">
      <c r="D626" s="1" t="s">
        <v>688</v>
      </c>
      <c r="E626" s="2">
        <v>45365</v>
      </c>
      <c r="F626" s="2">
        <v>45368</v>
      </c>
      <c r="G626" s="1" t="s">
        <v>36</v>
      </c>
      <c r="H626" s="1" t="s">
        <v>23</v>
      </c>
      <c r="I626" s="1" t="s">
        <v>24</v>
      </c>
      <c r="J626" s="1" t="s">
        <v>25</v>
      </c>
      <c r="K626" s="3">
        <v>3749.32</v>
      </c>
      <c r="L626" s="1">
        <v>19</v>
      </c>
      <c r="M626" s="1" t="s">
        <v>49</v>
      </c>
      <c r="N626" s="3">
        <v>286.95</v>
      </c>
      <c r="O626" s="1" t="s">
        <v>2300</v>
      </c>
      <c r="P626" s="1" t="s">
        <v>2078</v>
      </c>
      <c r="Q626" s="1" t="str">
        <f>TEXT((Data[[#This Row],[Order_Date]]), "mmm")</f>
        <v>Mar</v>
      </c>
    </row>
    <row r="627" spans="4:17" x14ac:dyDescent="0.3">
      <c r="D627" s="1" t="s">
        <v>689</v>
      </c>
      <c r="E627" s="2">
        <v>45431</v>
      </c>
      <c r="F627" s="2">
        <v>45437</v>
      </c>
      <c r="G627" s="1" t="s">
        <v>22</v>
      </c>
      <c r="H627" s="1" t="s">
        <v>12</v>
      </c>
      <c r="I627" s="1" t="s">
        <v>42</v>
      </c>
      <c r="J627" s="1" t="s">
        <v>72</v>
      </c>
      <c r="K627" s="3">
        <v>997.22</v>
      </c>
      <c r="L627" s="1">
        <v>13</v>
      </c>
      <c r="M627" s="1" t="s">
        <v>34</v>
      </c>
      <c r="N627" s="3">
        <v>-215.56</v>
      </c>
      <c r="O627" s="1" t="s">
        <v>2185</v>
      </c>
      <c r="P627" s="1" t="s">
        <v>2071</v>
      </c>
      <c r="Q627" s="1" t="str">
        <f>TEXT((Data[[#This Row],[Order_Date]]), "mmm")</f>
        <v>May</v>
      </c>
    </row>
    <row r="628" spans="4:17" x14ac:dyDescent="0.3">
      <c r="D628" s="1" t="s">
        <v>690</v>
      </c>
      <c r="E628" s="2">
        <v>45446</v>
      </c>
      <c r="F628" s="2">
        <v>45450</v>
      </c>
      <c r="G628" s="1" t="s">
        <v>31</v>
      </c>
      <c r="H628" s="1" t="s">
        <v>12</v>
      </c>
      <c r="I628" s="1" t="s">
        <v>42</v>
      </c>
      <c r="J628" s="1" t="s">
        <v>72</v>
      </c>
      <c r="K628" s="3">
        <v>350.65</v>
      </c>
      <c r="L628" s="1">
        <v>1</v>
      </c>
      <c r="M628" s="1" t="s">
        <v>44</v>
      </c>
      <c r="N628" s="3">
        <v>45.16</v>
      </c>
      <c r="O628" s="1" t="s">
        <v>2133</v>
      </c>
      <c r="P628" s="1" t="s">
        <v>2076</v>
      </c>
      <c r="Q628" s="1" t="str">
        <f>TEXT((Data[[#This Row],[Order_Date]]), "mmm")</f>
        <v>Jun</v>
      </c>
    </row>
    <row r="629" spans="4:17" x14ac:dyDescent="0.3">
      <c r="D629" s="1" t="s">
        <v>691</v>
      </c>
      <c r="E629" s="2">
        <v>45617</v>
      </c>
      <c r="F629" s="2">
        <v>45624</v>
      </c>
      <c r="G629" s="1" t="s">
        <v>11</v>
      </c>
      <c r="H629" s="1" t="s">
        <v>12</v>
      </c>
      <c r="I629" s="1" t="s">
        <v>13</v>
      </c>
      <c r="J629" s="1" t="s">
        <v>96</v>
      </c>
      <c r="K629" s="3">
        <v>922.65</v>
      </c>
      <c r="L629" s="1">
        <v>8</v>
      </c>
      <c r="M629" s="1" t="s">
        <v>20</v>
      </c>
      <c r="N629" s="3">
        <v>79.17</v>
      </c>
      <c r="O629" s="1" t="s">
        <v>2187</v>
      </c>
      <c r="P629" s="1" t="s">
        <v>2078</v>
      </c>
      <c r="Q629" s="1" t="str">
        <f>TEXT((Data[[#This Row],[Order_Date]]), "mmm")</f>
        <v>Nov</v>
      </c>
    </row>
    <row r="630" spans="4:17" x14ac:dyDescent="0.3">
      <c r="D630" s="1" t="s">
        <v>692</v>
      </c>
      <c r="E630" s="2">
        <v>45326</v>
      </c>
      <c r="F630" s="2">
        <v>45331</v>
      </c>
      <c r="G630" s="1" t="s">
        <v>31</v>
      </c>
      <c r="H630" s="1" t="s">
        <v>12</v>
      </c>
      <c r="I630" s="1" t="s">
        <v>42</v>
      </c>
      <c r="J630" s="1" t="s">
        <v>46</v>
      </c>
      <c r="K630" s="3">
        <v>2604.9899999999998</v>
      </c>
      <c r="L630" s="1">
        <v>16</v>
      </c>
      <c r="M630" s="1" t="s">
        <v>15</v>
      </c>
      <c r="N630" s="3">
        <v>769.73</v>
      </c>
      <c r="O630" s="1" t="s">
        <v>2213</v>
      </c>
      <c r="P630" s="1" t="s">
        <v>2078</v>
      </c>
      <c r="Q630" s="1" t="str">
        <f>TEXT((Data[[#This Row],[Order_Date]]), "mmm")</f>
        <v>Feb</v>
      </c>
    </row>
    <row r="631" spans="4:17" x14ac:dyDescent="0.3">
      <c r="D631" s="1" t="s">
        <v>693</v>
      </c>
      <c r="E631" s="2">
        <v>45586</v>
      </c>
      <c r="F631" s="2">
        <v>45586</v>
      </c>
      <c r="G631" s="1" t="s">
        <v>36</v>
      </c>
      <c r="H631" s="1" t="s">
        <v>17</v>
      </c>
      <c r="I631" s="1" t="s">
        <v>32</v>
      </c>
      <c r="J631" s="1" t="s">
        <v>56</v>
      </c>
      <c r="K631" s="3">
        <v>798.01</v>
      </c>
      <c r="L631" s="1">
        <v>15</v>
      </c>
      <c r="M631" s="1" t="s">
        <v>15</v>
      </c>
      <c r="N631" s="3">
        <v>72.34</v>
      </c>
      <c r="O631" s="1" t="s">
        <v>2301</v>
      </c>
      <c r="P631" s="1" t="s">
        <v>2078</v>
      </c>
      <c r="Q631" s="1" t="str">
        <f>TEXT((Data[[#This Row],[Order_Date]]), "mmm")</f>
        <v>Oct</v>
      </c>
    </row>
    <row r="632" spans="4:17" x14ac:dyDescent="0.3">
      <c r="D632" s="1" t="s">
        <v>694</v>
      </c>
      <c r="E632" s="2">
        <v>45431</v>
      </c>
      <c r="F632" s="2">
        <v>45436</v>
      </c>
      <c r="G632" s="1" t="s">
        <v>31</v>
      </c>
      <c r="H632" s="1" t="s">
        <v>12</v>
      </c>
      <c r="I632" s="1" t="s">
        <v>13</v>
      </c>
      <c r="J632" s="1" t="s">
        <v>51</v>
      </c>
      <c r="K632" s="3">
        <v>1336.96</v>
      </c>
      <c r="L632" s="1">
        <v>17</v>
      </c>
      <c r="M632" s="1" t="s">
        <v>15</v>
      </c>
      <c r="N632" s="3">
        <v>442.39</v>
      </c>
      <c r="O632" s="1" t="s">
        <v>2152</v>
      </c>
      <c r="P632" s="1" t="s">
        <v>2071</v>
      </c>
      <c r="Q632" s="1" t="str">
        <f>TEXT((Data[[#This Row],[Order_Date]]), "mmm")</f>
        <v>May</v>
      </c>
    </row>
    <row r="633" spans="4:17" x14ac:dyDescent="0.3">
      <c r="D633" s="1" t="s">
        <v>695</v>
      </c>
      <c r="E633" s="2">
        <v>45613</v>
      </c>
      <c r="F633" s="2">
        <v>45615</v>
      </c>
      <c r="G633" s="1" t="s">
        <v>11</v>
      </c>
      <c r="H633" s="1" t="s">
        <v>12</v>
      </c>
      <c r="I633" s="1" t="s">
        <v>58</v>
      </c>
      <c r="J633" s="1" t="s">
        <v>59</v>
      </c>
      <c r="K633" s="3">
        <v>1459.78</v>
      </c>
      <c r="L633" s="1">
        <v>11</v>
      </c>
      <c r="M633" s="1" t="s">
        <v>15</v>
      </c>
      <c r="N633" s="3">
        <v>423.28</v>
      </c>
      <c r="O633" s="1" t="s">
        <v>2126</v>
      </c>
      <c r="P633" s="1" t="s">
        <v>2078</v>
      </c>
      <c r="Q633" s="1" t="str">
        <f>TEXT((Data[[#This Row],[Order_Date]]), "mmm")</f>
        <v>Nov</v>
      </c>
    </row>
    <row r="634" spans="4:17" x14ac:dyDescent="0.3">
      <c r="D634" s="1" t="s">
        <v>696</v>
      </c>
      <c r="E634" s="2">
        <v>45649</v>
      </c>
      <c r="F634" s="2">
        <v>45654</v>
      </c>
      <c r="G634" s="1" t="s">
        <v>11</v>
      </c>
      <c r="H634" s="1" t="s">
        <v>12</v>
      </c>
      <c r="I634" s="1" t="s">
        <v>13</v>
      </c>
      <c r="J634" s="1" t="s">
        <v>14</v>
      </c>
      <c r="K634" s="3">
        <v>298.37</v>
      </c>
      <c r="L634" s="1">
        <v>17</v>
      </c>
      <c r="M634" s="1" t="s">
        <v>34</v>
      </c>
      <c r="N634" s="3">
        <v>48.31</v>
      </c>
      <c r="O634" s="1" t="s">
        <v>2279</v>
      </c>
      <c r="P634" s="1" t="s">
        <v>2071</v>
      </c>
      <c r="Q634" s="1" t="str">
        <f>TEXT((Data[[#This Row],[Order_Date]]), "mmm")</f>
        <v>Dec</v>
      </c>
    </row>
    <row r="635" spans="4:17" x14ac:dyDescent="0.3">
      <c r="D635" s="1" t="s">
        <v>697</v>
      </c>
      <c r="E635" s="2">
        <v>45466</v>
      </c>
      <c r="F635" s="2">
        <v>45468</v>
      </c>
      <c r="G635" s="1" t="s">
        <v>11</v>
      </c>
      <c r="H635" s="1" t="s">
        <v>17</v>
      </c>
      <c r="I635" s="1" t="s">
        <v>18</v>
      </c>
      <c r="J635" s="1" t="s">
        <v>90</v>
      </c>
      <c r="K635" s="3">
        <v>1079.18</v>
      </c>
      <c r="L635" s="1">
        <v>7</v>
      </c>
      <c r="M635" s="1" t="s">
        <v>29</v>
      </c>
      <c r="N635" s="3">
        <v>252.56</v>
      </c>
      <c r="O635" s="1" t="s">
        <v>2120</v>
      </c>
      <c r="P635" s="1" t="s">
        <v>2078</v>
      </c>
      <c r="Q635" s="1" t="str">
        <f>TEXT((Data[[#This Row],[Order_Date]]), "mmm")</f>
        <v>Jun</v>
      </c>
    </row>
    <row r="636" spans="4:17" x14ac:dyDescent="0.3">
      <c r="D636" s="1" t="s">
        <v>698</v>
      </c>
      <c r="E636" s="2">
        <v>45561</v>
      </c>
      <c r="F636" s="2">
        <v>45562</v>
      </c>
      <c r="G636" s="1" t="s">
        <v>31</v>
      </c>
      <c r="H636" s="1" t="s">
        <v>23</v>
      </c>
      <c r="I636" s="1" t="s">
        <v>61</v>
      </c>
      <c r="J636" s="1" t="s">
        <v>76</v>
      </c>
      <c r="K636" s="3">
        <v>3320.67</v>
      </c>
      <c r="L636" s="1">
        <v>1</v>
      </c>
      <c r="M636" s="1" t="s">
        <v>49</v>
      </c>
      <c r="N636" s="3">
        <v>512.91999999999996</v>
      </c>
      <c r="O636" s="1" t="s">
        <v>2285</v>
      </c>
      <c r="P636" s="1" t="s">
        <v>2071</v>
      </c>
      <c r="Q636" s="1" t="str">
        <f>TEXT((Data[[#This Row],[Order_Date]]), "mmm")</f>
        <v>Sep</v>
      </c>
    </row>
    <row r="637" spans="4:17" x14ac:dyDescent="0.3">
      <c r="D637" s="1" t="s">
        <v>699</v>
      </c>
      <c r="E637" s="2">
        <v>45363</v>
      </c>
      <c r="F637" s="2">
        <v>45370</v>
      </c>
      <c r="G637" s="1" t="s">
        <v>36</v>
      </c>
      <c r="H637" s="1" t="s">
        <v>17</v>
      </c>
      <c r="I637" s="1" t="s">
        <v>32</v>
      </c>
      <c r="J637" s="1" t="s">
        <v>33</v>
      </c>
      <c r="K637" s="3">
        <v>357.85</v>
      </c>
      <c r="L637" s="1">
        <v>4</v>
      </c>
      <c r="M637" s="1" t="s">
        <v>44</v>
      </c>
      <c r="N637" s="3">
        <v>31.71</v>
      </c>
      <c r="O637" s="1" t="s">
        <v>2296</v>
      </c>
      <c r="P637" s="1" t="s">
        <v>2076</v>
      </c>
      <c r="Q637" s="1" t="str">
        <f>TEXT((Data[[#This Row],[Order_Date]]), "mmm")</f>
        <v>Mar</v>
      </c>
    </row>
    <row r="638" spans="4:17" x14ac:dyDescent="0.3">
      <c r="D638" s="1" t="s">
        <v>700</v>
      </c>
      <c r="E638" s="2">
        <v>45644</v>
      </c>
      <c r="F638" s="2">
        <v>45647</v>
      </c>
      <c r="G638" s="1" t="s">
        <v>36</v>
      </c>
      <c r="H638" s="1" t="s">
        <v>17</v>
      </c>
      <c r="I638" s="1" t="s">
        <v>18</v>
      </c>
      <c r="J638" s="1" t="s">
        <v>19</v>
      </c>
      <c r="K638" s="3">
        <v>3929.16</v>
      </c>
      <c r="L638" s="1">
        <v>14</v>
      </c>
      <c r="M638" s="1" t="s">
        <v>15</v>
      </c>
      <c r="N638" s="3">
        <v>-1095.8699999999999</v>
      </c>
      <c r="O638" s="1" t="s">
        <v>2105</v>
      </c>
      <c r="P638" s="1" t="s">
        <v>2071</v>
      </c>
      <c r="Q638" s="1" t="str">
        <f>TEXT((Data[[#This Row],[Order_Date]]), "mmm")</f>
        <v>Dec</v>
      </c>
    </row>
    <row r="639" spans="4:17" x14ac:dyDescent="0.3">
      <c r="D639" s="1" t="s">
        <v>701</v>
      </c>
      <c r="E639" s="2">
        <v>45301</v>
      </c>
      <c r="F639" s="2">
        <v>45308</v>
      </c>
      <c r="G639" s="1" t="s">
        <v>31</v>
      </c>
      <c r="H639" s="1" t="s">
        <v>17</v>
      </c>
      <c r="I639" s="1" t="s">
        <v>18</v>
      </c>
      <c r="J639" s="1" t="s">
        <v>19</v>
      </c>
      <c r="K639" s="3">
        <v>372.97</v>
      </c>
      <c r="L639" s="1">
        <v>17</v>
      </c>
      <c r="M639" s="1" t="s">
        <v>29</v>
      </c>
      <c r="N639" s="3">
        <v>-25.28</v>
      </c>
      <c r="O639" s="1" t="s">
        <v>2137</v>
      </c>
      <c r="P639" s="1" t="s">
        <v>2071</v>
      </c>
      <c r="Q639" s="1" t="str">
        <f>TEXT((Data[[#This Row],[Order_Date]]), "mmm")</f>
        <v>Jan</v>
      </c>
    </row>
    <row r="640" spans="4:17" x14ac:dyDescent="0.3">
      <c r="D640" s="1" t="s">
        <v>702</v>
      </c>
      <c r="E640" s="2">
        <v>45421</v>
      </c>
      <c r="F640" s="2">
        <v>45421</v>
      </c>
      <c r="G640" s="1" t="s">
        <v>11</v>
      </c>
      <c r="H640" s="1" t="s">
        <v>23</v>
      </c>
      <c r="I640" s="1" t="s">
        <v>61</v>
      </c>
      <c r="J640" s="1" t="s">
        <v>76</v>
      </c>
      <c r="K640" s="3">
        <v>3183.89</v>
      </c>
      <c r="L640" s="1">
        <v>20</v>
      </c>
      <c r="M640" s="1" t="s">
        <v>44</v>
      </c>
      <c r="N640" s="3">
        <v>720.45</v>
      </c>
      <c r="O640" s="1" t="s">
        <v>2115</v>
      </c>
      <c r="P640" s="1" t="s">
        <v>2071</v>
      </c>
      <c r="Q640" s="1" t="str">
        <f>TEXT((Data[[#This Row],[Order_Date]]), "mmm")</f>
        <v>May</v>
      </c>
    </row>
    <row r="641" spans="4:17" x14ac:dyDescent="0.3">
      <c r="D641" s="1" t="s">
        <v>703</v>
      </c>
      <c r="E641" s="2">
        <v>45635</v>
      </c>
      <c r="F641" s="2">
        <v>45640</v>
      </c>
      <c r="G641" s="1" t="s">
        <v>11</v>
      </c>
      <c r="H641" s="1" t="s">
        <v>17</v>
      </c>
      <c r="I641" s="1" t="s">
        <v>18</v>
      </c>
      <c r="J641" s="1" t="s">
        <v>90</v>
      </c>
      <c r="K641" s="3">
        <v>3781.92</v>
      </c>
      <c r="L641" s="1">
        <v>19</v>
      </c>
      <c r="M641" s="1" t="s">
        <v>34</v>
      </c>
      <c r="N641" s="3">
        <v>588.70000000000005</v>
      </c>
      <c r="O641" s="1" t="s">
        <v>2088</v>
      </c>
      <c r="P641" s="1" t="s">
        <v>2076</v>
      </c>
      <c r="Q641" s="1" t="str">
        <f>TEXT((Data[[#This Row],[Order_Date]]), "mmm")</f>
        <v>Dec</v>
      </c>
    </row>
    <row r="642" spans="4:17" x14ac:dyDescent="0.3">
      <c r="D642" s="1" t="s">
        <v>704</v>
      </c>
      <c r="E642" s="2">
        <v>45605</v>
      </c>
      <c r="F642" s="2">
        <v>45608</v>
      </c>
      <c r="G642" s="1" t="s">
        <v>11</v>
      </c>
      <c r="H642" s="1" t="s">
        <v>17</v>
      </c>
      <c r="I642" s="1" t="s">
        <v>32</v>
      </c>
      <c r="J642" s="1" t="s">
        <v>56</v>
      </c>
      <c r="K642" s="3">
        <v>2233.15</v>
      </c>
      <c r="L642" s="1">
        <v>7</v>
      </c>
      <c r="M642" s="1" t="s">
        <v>34</v>
      </c>
      <c r="N642" s="3">
        <v>226.74</v>
      </c>
      <c r="O642" s="1" t="s">
        <v>2124</v>
      </c>
      <c r="P642" s="1" t="s">
        <v>2078</v>
      </c>
      <c r="Q642" s="1" t="str">
        <f>TEXT((Data[[#This Row],[Order_Date]]), "mmm")</f>
        <v>Nov</v>
      </c>
    </row>
    <row r="643" spans="4:17" x14ac:dyDescent="0.3">
      <c r="D643" s="1" t="s">
        <v>705</v>
      </c>
      <c r="E643" s="2">
        <v>45294</v>
      </c>
      <c r="F643" s="2">
        <v>45295</v>
      </c>
      <c r="G643" s="1" t="s">
        <v>22</v>
      </c>
      <c r="H643" s="1" t="s">
        <v>12</v>
      </c>
      <c r="I643" s="1" t="s">
        <v>42</v>
      </c>
      <c r="J643" s="1" t="s">
        <v>46</v>
      </c>
      <c r="K643" s="3">
        <v>2868</v>
      </c>
      <c r="L643" s="1">
        <v>6</v>
      </c>
      <c r="M643" s="1" t="s">
        <v>49</v>
      </c>
      <c r="N643" s="3">
        <v>-722.9</v>
      </c>
      <c r="O643" s="1" t="s">
        <v>2084</v>
      </c>
      <c r="P643" s="1" t="s">
        <v>2078</v>
      </c>
      <c r="Q643" s="1" t="str">
        <f>TEXT((Data[[#This Row],[Order_Date]]), "mmm")</f>
        <v>Jan</v>
      </c>
    </row>
    <row r="644" spans="4:17" x14ac:dyDescent="0.3">
      <c r="D644" s="1" t="s">
        <v>706</v>
      </c>
      <c r="E644" s="2">
        <v>45473</v>
      </c>
      <c r="F644" s="2">
        <v>45479</v>
      </c>
      <c r="G644" s="1" t="s">
        <v>31</v>
      </c>
      <c r="H644" s="1" t="s">
        <v>17</v>
      </c>
      <c r="I644" s="1" t="s">
        <v>32</v>
      </c>
      <c r="J644" s="1" t="s">
        <v>56</v>
      </c>
      <c r="K644" s="3">
        <v>1778.42</v>
      </c>
      <c r="L644" s="1">
        <v>11</v>
      </c>
      <c r="M644" s="1" t="s">
        <v>20</v>
      </c>
      <c r="N644" s="3">
        <v>337.49</v>
      </c>
      <c r="O644" s="1" t="s">
        <v>2207</v>
      </c>
      <c r="P644" s="1" t="s">
        <v>2078</v>
      </c>
      <c r="Q644" s="1" t="str">
        <f>TEXT((Data[[#This Row],[Order_Date]]), "mmm")</f>
        <v>Jun</v>
      </c>
    </row>
    <row r="645" spans="4:17" x14ac:dyDescent="0.3">
      <c r="D645" s="1" t="s">
        <v>707</v>
      </c>
      <c r="E645" s="2">
        <v>45545</v>
      </c>
      <c r="F645" s="2">
        <v>45550</v>
      </c>
      <c r="G645" s="1" t="s">
        <v>36</v>
      </c>
      <c r="H645" s="1" t="s">
        <v>12</v>
      </c>
      <c r="I645" s="1" t="s">
        <v>38</v>
      </c>
      <c r="J645" s="1" t="s">
        <v>81</v>
      </c>
      <c r="K645" s="3">
        <v>1480.43</v>
      </c>
      <c r="L645" s="1">
        <v>4</v>
      </c>
      <c r="M645" s="1" t="s">
        <v>49</v>
      </c>
      <c r="N645" s="3">
        <v>199.98</v>
      </c>
      <c r="O645" s="1" t="s">
        <v>2082</v>
      </c>
      <c r="P645" s="1" t="s">
        <v>2071</v>
      </c>
      <c r="Q645" s="1" t="str">
        <f>TEXT((Data[[#This Row],[Order_Date]]), "mmm")</f>
        <v>Sep</v>
      </c>
    </row>
    <row r="646" spans="4:17" x14ac:dyDescent="0.3">
      <c r="D646" s="1" t="s">
        <v>708</v>
      </c>
      <c r="E646" s="2">
        <v>45451</v>
      </c>
      <c r="F646" s="2">
        <v>45458</v>
      </c>
      <c r="G646" s="1" t="s">
        <v>22</v>
      </c>
      <c r="H646" s="1" t="s">
        <v>12</v>
      </c>
      <c r="I646" s="1" t="s">
        <v>42</v>
      </c>
      <c r="J646" s="1" t="s">
        <v>46</v>
      </c>
      <c r="K646" s="3">
        <v>3943.61</v>
      </c>
      <c r="L646" s="1">
        <v>14</v>
      </c>
      <c r="M646" s="1" t="s">
        <v>44</v>
      </c>
      <c r="N646" s="3">
        <v>1210.81</v>
      </c>
      <c r="O646" s="1" t="s">
        <v>2189</v>
      </c>
      <c r="P646" s="1" t="s">
        <v>2078</v>
      </c>
      <c r="Q646" s="1" t="str">
        <f>TEXT((Data[[#This Row],[Order_Date]]), "mmm")</f>
        <v>Jun</v>
      </c>
    </row>
    <row r="647" spans="4:17" x14ac:dyDescent="0.3">
      <c r="D647" s="1" t="s">
        <v>709</v>
      </c>
      <c r="E647" s="2">
        <v>45535</v>
      </c>
      <c r="F647" s="2">
        <v>45540</v>
      </c>
      <c r="G647" s="1" t="s">
        <v>22</v>
      </c>
      <c r="H647" s="1" t="s">
        <v>17</v>
      </c>
      <c r="I647" s="1" t="s">
        <v>32</v>
      </c>
      <c r="J647" s="1" t="s">
        <v>33</v>
      </c>
      <c r="K647" s="3">
        <v>2770.36</v>
      </c>
      <c r="L647" s="1">
        <v>13</v>
      </c>
      <c r="M647" s="1" t="s">
        <v>49</v>
      </c>
      <c r="N647" s="3">
        <v>572.91</v>
      </c>
      <c r="O647" s="1" t="s">
        <v>2095</v>
      </c>
      <c r="P647" s="1" t="s">
        <v>2071</v>
      </c>
      <c r="Q647" s="1" t="str">
        <f>TEXT((Data[[#This Row],[Order_Date]]), "mmm")</f>
        <v>Aug</v>
      </c>
    </row>
    <row r="648" spans="4:17" x14ac:dyDescent="0.3">
      <c r="D648" s="1" t="s">
        <v>710</v>
      </c>
      <c r="E648" s="2">
        <v>45353</v>
      </c>
      <c r="F648" s="2">
        <v>45355</v>
      </c>
      <c r="G648" s="1" t="s">
        <v>31</v>
      </c>
      <c r="H648" s="1" t="s">
        <v>23</v>
      </c>
      <c r="I648" s="1" t="s">
        <v>61</v>
      </c>
      <c r="J648" s="1" t="s">
        <v>62</v>
      </c>
      <c r="K648" s="3">
        <v>3719.84</v>
      </c>
      <c r="L648" s="1">
        <v>6</v>
      </c>
      <c r="M648" s="1" t="s">
        <v>20</v>
      </c>
      <c r="N648" s="3">
        <v>591.87</v>
      </c>
      <c r="O648" s="1" t="s">
        <v>2207</v>
      </c>
      <c r="P648" s="1" t="s">
        <v>2076</v>
      </c>
      <c r="Q648" s="1" t="str">
        <f>TEXT((Data[[#This Row],[Order_Date]]), "mmm")</f>
        <v>Mar</v>
      </c>
    </row>
    <row r="649" spans="4:17" x14ac:dyDescent="0.3">
      <c r="D649" s="1" t="s">
        <v>711</v>
      </c>
      <c r="E649" s="2">
        <v>45394</v>
      </c>
      <c r="F649" s="2">
        <v>45400</v>
      </c>
      <c r="G649" s="1" t="s">
        <v>11</v>
      </c>
      <c r="H649" s="1" t="s">
        <v>17</v>
      </c>
      <c r="I649" s="1" t="s">
        <v>27</v>
      </c>
      <c r="J649" s="1" t="s">
        <v>108</v>
      </c>
      <c r="K649" s="3">
        <v>1294.44</v>
      </c>
      <c r="L649" s="1">
        <v>19</v>
      </c>
      <c r="M649" s="1" t="s">
        <v>29</v>
      </c>
      <c r="N649" s="3">
        <v>170.73</v>
      </c>
      <c r="O649" s="1" t="s">
        <v>2200</v>
      </c>
      <c r="P649" s="1" t="s">
        <v>2071</v>
      </c>
      <c r="Q649" s="1" t="str">
        <f>TEXT((Data[[#This Row],[Order_Date]]), "mmm")</f>
        <v>Apr</v>
      </c>
    </row>
    <row r="650" spans="4:17" x14ac:dyDescent="0.3">
      <c r="D650" s="1" t="s">
        <v>712</v>
      </c>
      <c r="E650" s="2">
        <v>45621</v>
      </c>
      <c r="F650" s="2">
        <v>45627</v>
      </c>
      <c r="G650" s="1" t="s">
        <v>36</v>
      </c>
      <c r="H650" s="1" t="s">
        <v>23</v>
      </c>
      <c r="I650" s="1" t="s">
        <v>65</v>
      </c>
      <c r="J650" s="1" t="s">
        <v>114</v>
      </c>
      <c r="K650" s="3">
        <v>2167.8000000000002</v>
      </c>
      <c r="L650" s="1">
        <v>5</v>
      </c>
      <c r="M650" s="1" t="s">
        <v>49</v>
      </c>
      <c r="N650" s="3">
        <v>178.65</v>
      </c>
      <c r="O650" s="1" t="s">
        <v>2181</v>
      </c>
      <c r="P650" s="1" t="s">
        <v>2071</v>
      </c>
      <c r="Q650" s="1" t="str">
        <f>TEXT((Data[[#This Row],[Order_Date]]), "mmm")</f>
        <v>Nov</v>
      </c>
    </row>
    <row r="651" spans="4:17" x14ac:dyDescent="0.3">
      <c r="D651" s="1" t="s">
        <v>713</v>
      </c>
      <c r="E651" s="2">
        <v>45546</v>
      </c>
      <c r="F651" s="2">
        <v>45549</v>
      </c>
      <c r="G651" s="1" t="s">
        <v>22</v>
      </c>
      <c r="H651" s="1" t="s">
        <v>17</v>
      </c>
      <c r="I651" s="1" t="s">
        <v>18</v>
      </c>
      <c r="J651" s="1" t="s">
        <v>90</v>
      </c>
      <c r="K651" s="3">
        <v>448.2</v>
      </c>
      <c r="L651" s="1">
        <v>3</v>
      </c>
      <c r="M651" s="1" t="s">
        <v>49</v>
      </c>
      <c r="N651" s="3">
        <v>113.59</v>
      </c>
      <c r="O651" s="1" t="s">
        <v>2254</v>
      </c>
      <c r="P651" s="1" t="s">
        <v>2078</v>
      </c>
      <c r="Q651" s="1" t="str">
        <f>TEXT((Data[[#This Row],[Order_Date]]), "mmm")</f>
        <v>Sep</v>
      </c>
    </row>
    <row r="652" spans="4:17" x14ac:dyDescent="0.3">
      <c r="D652" s="1" t="s">
        <v>714</v>
      </c>
      <c r="E652" s="2">
        <v>45487</v>
      </c>
      <c r="F652" s="2">
        <v>45492</v>
      </c>
      <c r="G652" s="1" t="s">
        <v>22</v>
      </c>
      <c r="H652" s="1" t="s">
        <v>23</v>
      </c>
      <c r="I652" s="1" t="s">
        <v>61</v>
      </c>
      <c r="J652" s="1" t="s">
        <v>76</v>
      </c>
      <c r="K652" s="3">
        <v>2729.05</v>
      </c>
      <c r="L652" s="1">
        <v>17</v>
      </c>
      <c r="M652" s="1" t="s">
        <v>49</v>
      </c>
      <c r="N652" s="3">
        <v>785.47</v>
      </c>
      <c r="O652" s="1" t="s">
        <v>2092</v>
      </c>
      <c r="P652" s="1" t="s">
        <v>2071</v>
      </c>
      <c r="Q652" s="1" t="str">
        <f>TEXT((Data[[#This Row],[Order_Date]]), "mmm")</f>
        <v>Jul</v>
      </c>
    </row>
    <row r="653" spans="4:17" x14ac:dyDescent="0.3">
      <c r="D653" s="1" t="s">
        <v>715</v>
      </c>
      <c r="E653" s="2">
        <v>45630</v>
      </c>
      <c r="F653" s="2">
        <v>45637</v>
      </c>
      <c r="G653" s="1" t="s">
        <v>31</v>
      </c>
      <c r="H653" s="1" t="s">
        <v>12</v>
      </c>
      <c r="I653" s="1" t="s">
        <v>13</v>
      </c>
      <c r="J653" s="1" t="s">
        <v>129</v>
      </c>
      <c r="K653" s="3">
        <v>3285.56</v>
      </c>
      <c r="L653" s="1">
        <v>18</v>
      </c>
      <c r="M653" s="1" t="s">
        <v>29</v>
      </c>
      <c r="N653" s="3">
        <v>181.7</v>
      </c>
      <c r="O653" s="1" t="s">
        <v>2224</v>
      </c>
      <c r="P653" s="1" t="s">
        <v>2078</v>
      </c>
      <c r="Q653" s="1" t="str">
        <f>TEXT((Data[[#This Row],[Order_Date]]), "mmm")</f>
        <v>Dec</v>
      </c>
    </row>
    <row r="654" spans="4:17" x14ac:dyDescent="0.3">
      <c r="D654" s="1" t="s">
        <v>716</v>
      </c>
      <c r="E654" s="2">
        <v>45512</v>
      </c>
      <c r="F654" s="2">
        <v>45513</v>
      </c>
      <c r="G654" s="1" t="s">
        <v>31</v>
      </c>
      <c r="H654" s="1" t="s">
        <v>23</v>
      </c>
      <c r="I654" s="1" t="s">
        <v>24</v>
      </c>
      <c r="J654" s="1" t="s">
        <v>93</v>
      </c>
      <c r="K654" s="3">
        <v>1909.59</v>
      </c>
      <c r="L654" s="1">
        <v>2</v>
      </c>
      <c r="M654" s="1" t="s">
        <v>20</v>
      </c>
      <c r="N654" s="3">
        <v>196.8</v>
      </c>
      <c r="O654" s="1" t="s">
        <v>2191</v>
      </c>
      <c r="P654" s="1" t="s">
        <v>2071</v>
      </c>
      <c r="Q654" s="1" t="str">
        <f>TEXT((Data[[#This Row],[Order_Date]]), "mmm")</f>
        <v>Aug</v>
      </c>
    </row>
    <row r="655" spans="4:17" x14ac:dyDescent="0.3">
      <c r="D655" s="1" t="s">
        <v>717</v>
      </c>
      <c r="E655" s="2">
        <v>45447</v>
      </c>
      <c r="F655" s="2">
        <v>45449</v>
      </c>
      <c r="G655" s="1" t="s">
        <v>31</v>
      </c>
      <c r="H655" s="1" t="s">
        <v>23</v>
      </c>
      <c r="I655" s="1" t="s">
        <v>78</v>
      </c>
      <c r="J655" s="1" t="s">
        <v>79</v>
      </c>
      <c r="K655" s="3">
        <v>2933.96</v>
      </c>
      <c r="L655" s="1">
        <v>16</v>
      </c>
      <c r="M655" s="1" t="s">
        <v>20</v>
      </c>
      <c r="N655" s="3">
        <v>647.4</v>
      </c>
      <c r="O655" s="1" t="s">
        <v>2108</v>
      </c>
      <c r="P655" s="1" t="s">
        <v>2078</v>
      </c>
      <c r="Q655" s="1" t="str">
        <f>TEXT((Data[[#This Row],[Order_Date]]), "mmm")</f>
        <v>Jun</v>
      </c>
    </row>
    <row r="656" spans="4:17" x14ac:dyDescent="0.3">
      <c r="D656" s="1" t="s">
        <v>718</v>
      </c>
      <c r="E656" s="2">
        <v>45575</v>
      </c>
      <c r="F656" s="2">
        <v>45582</v>
      </c>
      <c r="G656" s="1" t="s">
        <v>31</v>
      </c>
      <c r="H656" s="1" t="s">
        <v>12</v>
      </c>
      <c r="I656" s="1" t="s">
        <v>58</v>
      </c>
      <c r="J656" s="1" t="s">
        <v>59</v>
      </c>
      <c r="K656" s="3">
        <v>459.01</v>
      </c>
      <c r="L656" s="1">
        <v>9</v>
      </c>
      <c r="M656" s="1" t="s">
        <v>49</v>
      </c>
      <c r="N656" s="3">
        <v>104.34</v>
      </c>
      <c r="O656" s="1" t="s">
        <v>2270</v>
      </c>
      <c r="P656" s="1" t="s">
        <v>2078</v>
      </c>
      <c r="Q656" s="1" t="str">
        <f>TEXT((Data[[#This Row],[Order_Date]]), "mmm")</f>
        <v>Oct</v>
      </c>
    </row>
    <row r="657" spans="4:17" x14ac:dyDescent="0.3">
      <c r="D657" s="1" t="s">
        <v>719</v>
      </c>
      <c r="E657" s="2">
        <v>45638</v>
      </c>
      <c r="F657" s="2">
        <v>45643</v>
      </c>
      <c r="G657" s="1" t="s">
        <v>36</v>
      </c>
      <c r="H657" s="1" t="s">
        <v>23</v>
      </c>
      <c r="I657" s="1" t="s">
        <v>61</v>
      </c>
      <c r="J657" s="1" t="s">
        <v>76</v>
      </c>
      <c r="K657" s="3">
        <v>2464.2399999999998</v>
      </c>
      <c r="L657" s="1">
        <v>5</v>
      </c>
      <c r="M657" s="1" t="s">
        <v>34</v>
      </c>
      <c r="N657" s="3">
        <v>381.13</v>
      </c>
      <c r="O657" s="1" t="s">
        <v>2108</v>
      </c>
      <c r="P657" s="1" t="s">
        <v>2071</v>
      </c>
      <c r="Q657" s="1" t="str">
        <f>TEXT((Data[[#This Row],[Order_Date]]), "mmm")</f>
        <v>Dec</v>
      </c>
    </row>
    <row r="658" spans="4:17" x14ac:dyDescent="0.3">
      <c r="D658" s="1" t="s">
        <v>720</v>
      </c>
      <c r="E658" s="2">
        <v>45305</v>
      </c>
      <c r="F658" s="2">
        <v>45310</v>
      </c>
      <c r="G658" s="1" t="s">
        <v>31</v>
      </c>
      <c r="H658" s="1" t="s">
        <v>17</v>
      </c>
      <c r="I658" s="1" t="s">
        <v>27</v>
      </c>
      <c r="J658" s="1" t="s">
        <v>110</v>
      </c>
      <c r="K658" s="3">
        <v>3969.8</v>
      </c>
      <c r="L658" s="1">
        <v>14</v>
      </c>
      <c r="M658" s="1" t="s">
        <v>34</v>
      </c>
      <c r="N658" s="3">
        <v>265.72000000000003</v>
      </c>
      <c r="O658" s="1" t="s">
        <v>2228</v>
      </c>
      <c r="P658" s="1" t="s">
        <v>2071</v>
      </c>
      <c r="Q658" s="1" t="str">
        <f>TEXT((Data[[#This Row],[Order_Date]]), "mmm")</f>
        <v>Jan</v>
      </c>
    </row>
    <row r="659" spans="4:17" x14ac:dyDescent="0.3">
      <c r="D659" s="1" t="s">
        <v>721</v>
      </c>
      <c r="E659" s="2">
        <v>45412</v>
      </c>
      <c r="F659" s="2">
        <v>45416</v>
      </c>
      <c r="G659" s="1" t="s">
        <v>11</v>
      </c>
      <c r="H659" s="1" t="s">
        <v>12</v>
      </c>
      <c r="I659" s="1" t="s">
        <v>38</v>
      </c>
      <c r="J659" s="1" t="s">
        <v>85</v>
      </c>
      <c r="K659" s="3">
        <v>679.27</v>
      </c>
      <c r="L659" s="1">
        <v>6</v>
      </c>
      <c r="M659" s="1" t="s">
        <v>20</v>
      </c>
      <c r="N659" s="3">
        <v>-143.68</v>
      </c>
      <c r="O659" s="1" t="s">
        <v>2224</v>
      </c>
      <c r="P659" s="1" t="s">
        <v>2071</v>
      </c>
      <c r="Q659" s="1" t="str">
        <f>TEXT((Data[[#This Row],[Order_Date]]), "mmm")</f>
        <v>Apr</v>
      </c>
    </row>
    <row r="660" spans="4:17" x14ac:dyDescent="0.3">
      <c r="D660" s="1" t="s">
        <v>722</v>
      </c>
      <c r="E660" s="2">
        <v>45628</v>
      </c>
      <c r="F660" s="2">
        <v>45634</v>
      </c>
      <c r="G660" s="1" t="s">
        <v>31</v>
      </c>
      <c r="H660" s="1" t="s">
        <v>23</v>
      </c>
      <c r="I660" s="1" t="s">
        <v>61</v>
      </c>
      <c r="J660" s="1" t="s">
        <v>62</v>
      </c>
      <c r="K660" s="3">
        <v>2011.37</v>
      </c>
      <c r="L660" s="1">
        <v>1</v>
      </c>
      <c r="M660" s="1" t="s">
        <v>34</v>
      </c>
      <c r="N660" s="3">
        <v>328.5</v>
      </c>
      <c r="O660" s="1" t="s">
        <v>2116</v>
      </c>
      <c r="P660" s="1" t="s">
        <v>2071</v>
      </c>
      <c r="Q660" s="1" t="str">
        <f>TEXT((Data[[#This Row],[Order_Date]]), "mmm")</f>
        <v>Dec</v>
      </c>
    </row>
    <row r="661" spans="4:17" x14ac:dyDescent="0.3">
      <c r="D661" s="1" t="s">
        <v>723</v>
      </c>
      <c r="E661" s="2">
        <v>45585</v>
      </c>
      <c r="F661" s="2">
        <v>45586</v>
      </c>
      <c r="G661" s="1" t="s">
        <v>31</v>
      </c>
      <c r="H661" s="1" t="s">
        <v>17</v>
      </c>
      <c r="I661" s="1" t="s">
        <v>32</v>
      </c>
      <c r="J661" s="1" t="s">
        <v>56</v>
      </c>
      <c r="K661" s="3">
        <v>1509.88</v>
      </c>
      <c r="L661" s="1">
        <v>17</v>
      </c>
      <c r="M661" s="1" t="s">
        <v>15</v>
      </c>
      <c r="N661" s="3">
        <v>229.29</v>
      </c>
      <c r="O661" s="1" t="s">
        <v>2124</v>
      </c>
      <c r="P661" s="1" t="s">
        <v>2071</v>
      </c>
      <c r="Q661" s="1" t="str">
        <f>TEXT((Data[[#This Row],[Order_Date]]), "mmm")</f>
        <v>Oct</v>
      </c>
    </row>
    <row r="662" spans="4:17" x14ac:dyDescent="0.3">
      <c r="D662" s="1" t="s">
        <v>724</v>
      </c>
      <c r="E662" s="2">
        <v>45478</v>
      </c>
      <c r="F662" s="2">
        <v>45484</v>
      </c>
      <c r="G662" s="1" t="s">
        <v>22</v>
      </c>
      <c r="H662" s="1" t="s">
        <v>23</v>
      </c>
      <c r="I662" s="1" t="s">
        <v>61</v>
      </c>
      <c r="J662" s="1" t="s">
        <v>62</v>
      </c>
      <c r="K662" s="3">
        <v>1052.8</v>
      </c>
      <c r="L662" s="1">
        <v>9</v>
      </c>
      <c r="M662" s="1" t="s">
        <v>20</v>
      </c>
      <c r="N662" s="3">
        <v>146.55000000000001</v>
      </c>
      <c r="O662" s="1" t="s">
        <v>2084</v>
      </c>
      <c r="P662" s="1" t="s">
        <v>2071</v>
      </c>
      <c r="Q662" s="1" t="str">
        <f>TEXT((Data[[#This Row],[Order_Date]]), "mmm")</f>
        <v>Jul</v>
      </c>
    </row>
    <row r="663" spans="4:17" x14ac:dyDescent="0.3">
      <c r="D663" s="1" t="s">
        <v>725</v>
      </c>
      <c r="E663" s="2">
        <v>45407</v>
      </c>
      <c r="F663" s="2">
        <v>45408</v>
      </c>
      <c r="G663" s="1" t="s">
        <v>11</v>
      </c>
      <c r="H663" s="1" t="s">
        <v>12</v>
      </c>
      <c r="I663" s="1" t="s">
        <v>13</v>
      </c>
      <c r="J663" s="1" t="s">
        <v>129</v>
      </c>
      <c r="K663" s="3">
        <v>502.26</v>
      </c>
      <c r="L663" s="1">
        <v>17</v>
      </c>
      <c r="M663" s="1" t="s">
        <v>49</v>
      </c>
      <c r="N663" s="3">
        <v>89.47</v>
      </c>
      <c r="O663" s="1" t="s">
        <v>2275</v>
      </c>
      <c r="P663" s="1" t="s">
        <v>2076</v>
      </c>
      <c r="Q663" s="1" t="str">
        <f>TEXT((Data[[#This Row],[Order_Date]]), "mmm")</f>
        <v>Apr</v>
      </c>
    </row>
    <row r="664" spans="4:17" x14ac:dyDescent="0.3">
      <c r="D664" s="1" t="s">
        <v>726</v>
      </c>
      <c r="E664" s="2">
        <v>45331</v>
      </c>
      <c r="F664" s="2">
        <v>45335</v>
      </c>
      <c r="G664" s="1" t="s">
        <v>36</v>
      </c>
      <c r="H664" s="1" t="s">
        <v>23</v>
      </c>
      <c r="I664" s="1" t="s">
        <v>24</v>
      </c>
      <c r="J664" s="1" t="s">
        <v>25</v>
      </c>
      <c r="K664" s="3">
        <v>1803.68</v>
      </c>
      <c r="L664" s="1">
        <v>9</v>
      </c>
      <c r="M664" s="1" t="s">
        <v>29</v>
      </c>
      <c r="N664" s="3">
        <v>369.05</v>
      </c>
      <c r="O664" s="1" t="s">
        <v>2188</v>
      </c>
      <c r="P664" s="1" t="s">
        <v>2076</v>
      </c>
      <c r="Q664" s="1" t="str">
        <f>TEXT((Data[[#This Row],[Order_Date]]), "mmm")</f>
        <v>Feb</v>
      </c>
    </row>
    <row r="665" spans="4:17" x14ac:dyDescent="0.3">
      <c r="D665" s="1" t="s">
        <v>727</v>
      </c>
      <c r="E665" s="2">
        <v>45572</v>
      </c>
      <c r="F665" s="2">
        <v>45574</v>
      </c>
      <c r="G665" s="1" t="s">
        <v>11</v>
      </c>
      <c r="H665" s="1" t="s">
        <v>12</v>
      </c>
      <c r="I665" s="1" t="s">
        <v>58</v>
      </c>
      <c r="J665" s="1" t="s">
        <v>59</v>
      </c>
      <c r="K665" s="3">
        <v>2122.0100000000002</v>
      </c>
      <c r="L665" s="1">
        <v>15</v>
      </c>
      <c r="M665" s="1" t="s">
        <v>34</v>
      </c>
      <c r="N665" s="3">
        <v>702.7</v>
      </c>
      <c r="O665" s="1" t="s">
        <v>2171</v>
      </c>
      <c r="P665" s="1" t="s">
        <v>2071</v>
      </c>
      <c r="Q665" s="1" t="str">
        <f>TEXT((Data[[#This Row],[Order_Date]]), "mmm")</f>
        <v>Oct</v>
      </c>
    </row>
    <row r="666" spans="4:17" x14ac:dyDescent="0.3">
      <c r="D666" s="1" t="s">
        <v>728</v>
      </c>
      <c r="E666" s="2">
        <v>45606</v>
      </c>
      <c r="F666" s="2">
        <v>45612</v>
      </c>
      <c r="G666" s="1" t="s">
        <v>11</v>
      </c>
      <c r="H666" s="1" t="s">
        <v>12</v>
      </c>
      <c r="I666" s="1" t="s">
        <v>58</v>
      </c>
      <c r="J666" s="1" t="s">
        <v>105</v>
      </c>
      <c r="K666" s="3">
        <v>1984.33</v>
      </c>
      <c r="L666" s="1">
        <v>8</v>
      </c>
      <c r="M666" s="1" t="s">
        <v>44</v>
      </c>
      <c r="N666" s="3">
        <v>543.57000000000005</v>
      </c>
      <c r="O666" s="1" t="s">
        <v>2263</v>
      </c>
      <c r="P666" s="1" t="s">
        <v>2078</v>
      </c>
      <c r="Q666" s="1" t="str">
        <f>TEXT((Data[[#This Row],[Order_Date]]), "mmm")</f>
        <v>Nov</v>
      </c>
    </row>
    <row r="667" spans="4:17" x14ac:dyDescent="0.3">
      <c r="D667" s="1" t="s">
        <v>729</v>
      </c>
      <c r="E667" s="2">
        <v>45514</v>
      </c>
      <c r="F667" s="2">
        <v>45520</v>
      </c>
      <c r="G667" s="1" t="s">
        <v>36</v>
      </c>
      <c r="H667" s="1" t="s">
        <v>17</v>
      </c>
      <c r="I667" s="1" t="s">
        <v>32</v>
      </c>
      <c r="J667" s="1" t="s">
        <v>56</v>
      </c>
      <c r="K667" s="3">
        <v>3422.38</v>
      </c>
      <c r="L667" s="1">
        <v>9</v>
      </c>
      <c r="M667" s="1" t="s">
        <v>34</v>
      </c>
      <c r="N667" s="3">
        <v>834.42</v>
      </c>
      <c r="O667" s="1" t="s">
        <v>2302</v>
      </c>
      <c r="P667" s="1" t="s">
        <v>2078</v>
      </c>
      <c r="Q667" s="1" t="str">
        <f>TEXT((Data[[#This Row],[Order_Date]]), "mmm")</f>
        <v>Aug</v>
      </c>
    </row>
    <row r="668" spans="4:17" x14ac:dyDescent="0.3">
      <c r="D668" s="1" t="s">
        <v>730</v>
      </c>
      <c r="E668" s="2">
        <v>45599</v>
      </c>
      <c r="F668" s="2">
        <v>45602</v>
      </c>
      <c r="G668" s="1" t="s">
        <v>31</v>
      </c>
      <c r="H668" s="1" t="s">
        <v>17</v>
      </c>
      <c r="I668" s="1" t="s">
        <v>18</v>
      </c>
      <c r="J668" s="1" t="s">
        <v>19</v>
      </c>
      <c r="K668" s="3">
        <v>969.69</v>
      </c>
      <c r="L668" s="1">
        <v>8</v>
      </c>
      <c r="M668" s="1" t="s">
        <v>34</v>
      </c>
      <c r="N668" s="3">
        <v>183.51</v>
      </c>
      <c r="O668" s="1" t="s">
        <v>2248</v>
      </c>
      <c r="P668" s="1" t="s">
        <v>2078</v>
      </c>
      <c r="Q668" s="1" t="str">
        <f>TEXT((Data[[#This Row],[Order_Date]]), "mmm")</f>
        <v>Nov</v>
      </c>
    </row>
    <row r="669" spans="4:17" x14ac:dyDescent="0.3">
      <c r="D669" s="1" t="s">
        <v>731</v>
      </c>
      <c r="E669" s="2">
        <v>45515</v>
      </c>
      <c r="F669" s="2">
        <v>45521</v>
      </c>
      <c r="G669" s="1" t="s">
        <v>11</v>
      </c>
      <c r="H669" s="1" t="s">
        <v>17</v>
      </c>
      <c r="I669" s="1" t="s">
        <v>18</v>
      </c>
      <c r="J669" s="1" t="s">
        <v>54</v>
      </c>
      <c r="K669" s="3">
        <v>761.61</v>
      </c>
      <c r="L669" s="1">
        <v>9</v>
      </c>
      <c r="M669" s="1" t="s">
        <v>34</v>
      </c>
      <c r="N669" s="3">
        <v>188.58</v>
      </c>
      <c r="O669" s="1" t="s">
        <v>2244</v>
      </c>
      <c r="P669" s="1" t="s">
        <v>2078</v>
      </c>
      <c r="Q669" s="1" t="str">
        <f>TEXT((Data[[#This Row],[Order_Date]]), "mmm")</f>
        <v>Aug</v>
      </c>
    </row>
    <row r="670" spans="4:17" x14ac:dyDescent="0.3">
      <c r="D670" s="1" t="s">
        <v>732</v>
      </c>
      <c r="E670" s="2">
        <v>45313</v>
      </c>
      <c r="F670" s="2">
        <v>45320</v>
      </c>
      <c r="G670" s="1" t="s">
        <v>11</v>
      </c>
      <c r="H670" s="1" t="s">
        <v>17</v>
      </c>
      <c r="I670" s="1" t="s">
        <v>18</v>
      </c>
      <c r="J670" s="1" t="s">
        <v>54</v>
      </c>
      <c r="K670" s="3">
        <v>2506</v>
      </c>
      <c r="L670" s="1">
        <v>3</v>
      </c>
      <c r="M670" s="1" t="s">
        <v>49</v>
      </c>
      <c r="N670" s="3">
        <v>799.49</v>
      </c>
      <c r="O670" s="1" t="s">
        <v>2138</v>
      </c>
      <c r="P670" s="1" t="s">
        <v>2076</v>
      </c>
      <c r="Q670" s="1" t="str">
        <f>TEXT((Data[[#This Row],[Order_Date]]), "mmm")</f>
        <v>Jan</v>
      </c>
    </row>
    <row r="671" spans="4:17" x14ac:dyDescent="0.3">
      <c r="D671" s="1" t="s">
        <v>733</v>
      </c>
      <c r="E671" s="2">
        <v>45338</v>
      </c>
      <c r="F671" s="2">
        <v>45344</v>
      </c>
      <c r="G671" s="1" t="s">
        <v>22</v>
      </c>
      <c r="H671" s="1" t="s">
        <v>17</v>
      </c>
      <c r="I671" s="1" t="s">
        <v>18</v>
      </c>
      <c r="J671" s="1" t="s">
        <v>90</v>
      </c>
      <c r="K671" s="3">
        <v>3004.3</v>
      </c>
      <c r="L671" s="1">
        <v>4</v>
      </c>
      <c r="M671" s="1" t="s">
        <v>29</v>
      </c>
      <c r="N671" s="3">
        <v>748.87</v>
      </c>
      <c r="O671" s="1" t="s">
        <v>2186</v>
      </c>
      <c r="P671" s="1" t="s">
        <v>2078</v>
      </c>
      <c r="Q671" s="1" t="str">
        <f>TEXT((Data[[#This Row],[Order_Date]]), "mmm")</f>
        <v>Feb</v>
      </c>
    </row>
    <row r="672" spans="4:17" x14ac:dyDescent="0.3">
      <c r="D672" s="1" t="s">
        <v>734</v>
      </c>
      <c r="E672" s="2">
        <v>45560</v>
      </c>
      <c r="F672" s="2">
        <v>45564</v>
      </c>
      <c r="G672" s="1" t="s">
        <v>31</v>
      </c>
      <c r="H672" s="1" t="s">
        <v>17</v>
      </c>
      <c r="I672" s="1" t="s">
        <v>18</v>
      </c>
      <c r="J672" s="1" t="s">
        <v>90</v>
      </c>
      <c r="K672" s="3">
        <v>708.54</v>
      </c>
      <c r="L672" s="1">
        <v>11</v>
      </c>
      <c r="M672" s="1" t="s">
        <v>34</v>
      </c>
      <c r="N672" s="3">
        <v>212.35</v>
      </c>
      <c r="O672" s="1" t="s">
        <v>2130</v>
      </c>
      <c r="P672" s="1" t="s">
        <v>2076</v>
      </c>
      <c r="Q672" s="1" t="str">
        <f>TEXT((Data[[#This Row],[Order_Date]]), "mmm")</f>
        <v>Sep</v>
      </c>
    </row>
    <row r="673" spans="4:17" x14ac:dyDescent="0.3">
      <c r="D673" s="1" t="s">
        <v>735</v>
      </c>
      <c r="E673" s="2">
        <v>45412</v>
      </c>
      <c r="F673" s="2">
        <v>45418</v>
      </c>
      <c r="G673" s="1" t="s">
        <v>22</v>
      </c>
      <c r="H673" s="1" t="s">
        <v>17</v>
      </c>
      <c r="I673" s="1" t="s">
        <v>18</v>
      </c>
      <c r="J673" s="1" t="s">
        <v>19</v>
      </c>
      <c r="K673" s="3">
        <v>1052.9100000000001</v>
      </c>
      <c r="L673" s="1">
        <v>9</v>
      </c>
      <c r="M673" s="1" t="s">
        <v>49</v>
      </c>
      <c r="N673" s="3">
        <v>181.64</v>
      </c>
      <c r="O673" s="1" t="s">
        <v>2105</v>
      </c>
      <c r="P673" s="1" t="s">
        <v>2071</v>
      </c>
      <c r="Q673" s="1" t="str">
        <f>TEXT((Data[[#This Row],[Order_Date]]), "mmm")</f>
        <v>Apr</v>
      </c>
    </row>
    <row r="674" spans="4:17" x14ac:dyDescent="0.3">
      <c r="D674" s="1" t="s">
        <v>736</v>
      </c>
      <c r="E674" s="2">
        <v>45320</v>
      </c>
      <c r="F674" s="2">
        <v>45327</v>
      </c>
      <c r="G674" s="1" t="s">
        <v>36</v>
      </c>
      <c r="H674" s="1" t="s">
        <v>12</v>
      </c>
      <c r="I674" s="1" t="s">
        <v>38</v>
      </c>
      <c r="J674" s="1" t="s">
        <v>85</v>
      </c>
      <c r="K674" s="3">
        <v>2296.54</v>
      </c>
      <c r="L674" s="1">
        <v>16</v>
      </c>
      <c r="M674" s="1" t="s">
        <v>15</v>
      </c>
      <c r="N674" s="3">
        <v>284.55</v>
      </c>
      <c r="O674" s="1" t="s">
        <v>2095</v>
      </c>
      <c r="P674" s="1" t="s">
        <v>2071</v>
      </c>
      <c r="Q674" s="1" t="str">
        <f>TEXT((Data[[#This Row],[Order_Date]]), "mmm")</f>
        <v>Jan</v>
      </c>
    </row>
    <row r="675" spans="4:17" x14ac:dyDescent="0.3">
      <c r="D675" s="1" t="s">
        <v>737</v>
      </c>
      <c r="E675" s="2">
        <v>45366</v>
      </c>
      <c r="F675" s="2">
        <v>45371</v>
      </c>
      <c r="G675" s="1" t="s">
        <v>31</v>
      </c>
      <c r="H675" s="1" t="s">
        <v>12</v>
      </c>
      <c r="I675" s="1" t="s">
        <v>13</v>
      </c>
      <c r="J675" s="1" t="s">
        <v>129</v>
      </c>
      <c r="K675" s="3">
        <v>329.03</v>
      </c>
      <c r="L675" s="1">
        <v>20</v>
      </c>
      <c r="M675" s="1" t="s">
        <v>20</v>
      </c>
      <c r="N675" s="3">
        <v>99.51</v>
      </c>
      <c r="O675" s="1" t="s">
        <v>2247</v>
      </c>
      <c r="P675" s="1" t="s">
        <v>2071</v>
      </c>
      <c r="Q675" s="1" t="str">
        <f>TEXT((Data[[#This Row],[Order_Date]]), "mmm")</f>
        <v>Mar</v>
      </c>
    </row>
    <row r="676" spans="4:17" x14ac:dyDescent="0.3">
      <c r="D676" s="1" t="s">
        <v>738</v>
      </c>
      <c r="E676" s="2">
        <v>45319</v>
      </c>
      <c r="F676" s="2">
        <v>45322</v>
      </c>
      <c r="G676" s="1" t="s">
        <v>36</v>
      </c>
      <c r="H676" s="1" t="s">
        <v>12</v>
      </c>
      <c r="I676" s="1" t="s">
        <v>42</v>
      </c>
      <c r="J676" s="1" t="s">
        <v>46</v>
      </c>
      <c r="K676" s="3">
        <v>2646.06</v>
      </c>
      <c r="L676" s="1">
        <v>12</v>
      </c>
      <c r="M676" s="1" t="s">
        <v>15</v>
      </c>
      <c r="N676" s="3">
        <v>229.19</v>
      </c>
      <c r="O676" s="1" t="s">
        <v>2270</v>
      </c>
      <c r="P676" s="1" t="s">
        <v>2076</v>
      </c>
      <c r="Q676" s="1" t="str">
        <f>TEXT((Data[[#This Row],[Order_Date]]), "mmm")</f>
        <v>Jan</v>
      </c>
    </row>
    <row r="677" spans="4:17" x14ac:dyDescent="0.3">
      <c r="D677" s="1" t="s">
        <v>739</v>
      </c>
      <c r="E677" s="2">
        <v>45518</v>
      </c>
      <c r="F677" s="2">
        <v>45524</v>
      </c>
      <c r="G677" s="1" t="s">
        <v>11</v>
      </c>
      <c r="H677" s="1" t="s">
        <v>23</v>
      </c>
      <c r="I677" s="1" t="s">
        <v>24</v>
      </c>
      <c r="J677" s="1" t="s">
        <v>93</v>
      </c>
      <c r="K677" s="3">
        <v>588.44000000000005</v>
      </c>
      <c r="L677" s="1">
        <v>8</v>
      </c>
      <c r="M677" s="1" t="s">
        <v>34</v>
      </c>
      <c r="N677" s="3">
        <v>66.56</v>
      </c>
      <c r="O677" s="1" t="s">
        <v>2258</v>
      </c>
      <c r="P677" s="1" t="s">
        <v>2071</v>
      </c>
      <c r="Q677" s="1" t="str">
        <f>TEXT((Data[[#This Row],[Order_Date]]), "mmm")</f>
        <v>Aug</v>
      </c>
    </row>
    <row r="678" spans="4:17" x14ac:dyDescent="0.3">
      <c r="D678" s="1" t="s">
        <v>740</v>
      </c>
      <c r="E678" s="2">
        <v>45516</v>
      </c>
      <c r="F678" s="2">
        <v>45521</v>
      </c>
      <c r="G678" s="1" t="s">
        <v>31</v>
      </c>
      <c r="H678" s="1" t="s">
        <v>17</v>
      </c>
      <c r="I678" s="1" t="s">
        <v>27</v>
      </c>
      <c r="J678" s="1" t="s">
        <v>28</v>
      </c>
      <c r="K678" s="3">
        <v>3336.99</v>
      </c>
      <c r="L678" s="1">
        <v>16</v>
      </c>
      <c r="M678" s="1" t="s">
        <v>49</v>
      </c>
      <c r="N678" s="3">
        <v>904.6</v>
      </c>
      <c r="O678" s="1" t="s">
        <v>2124</v>
      </c>
      <c r="P678" s="1" t="s">
        <v>2076</v>
      </c>
      <c r="Q678" s="1" t="str">
        <f>TEXT((Data[[#This Row],[Order_Date]]), "mmm")</f>
        <v>Aug</v>
      </c>
    </row>
    <row r="679" spans="4:17" x14ac:dyDescent="0.3">
      <c r="D679" s="1" t="s">
        <v>741</v>
      </c>
      <c r="E679" s="2">
        <v>45462</v>
      </c>
      <c r="F679" s="2">
        <v>45468</v>
      </c>
      <c r="G679" s="1" t="s">
        <v>11</v>
      </c>
      <c r="H679" s="1" t="s">
        <v>17</v>
      </c>
      <c r="I679" s="1" t="s">
        <v>32</v>
      </c>
      <c r="J679" s="1" t="s">
        <v>33</v>
      </c>
      <c r="K679" s="3">
        <v>2148.75</v>
      </c>
      <c r="L679" s="1">
        <v>12</v>
      </c>
      <c r="M679" s="1" t="s">
        <v>49</v>
      </c>
      <c r="N679" s="3">
        <v>495.58</v>
      </c>
      <c r="O679" s="1" t="s">
        <v>2073</v>
      </c>
      <c r="P679" s="1" t="s">
        <v>2071</v>
      </c>
      <c r="Q679" s="1" t="str">
        <f>TEXT((Data[[#This Row],[Order_Date]]), "mmm")</f>
        <v>Jun</v>
      </c>
    </row>
    <row r="680" spans="4:17" x14ac:dyDescent="0.3">
      <c r="D680" s="1" t="s">
        <v>742</v>
      </c>
      <c r="E680" s="2">
        <v>45459</v>
      </c>
      <c r="F680" s="2">
        <v>45466</v>
      </c>
      <c r="G680" s="1" t="s">
        <v>11</v>
      </c>
      <c r="H680" s="1" t="s">
        <v>17</v>
      </c>
      <c r="I680" s="1" t="s">
        <v>32</v>
      </c>
      <c r="J680" s="1" t="s">
        <v>56</v>
      </c>
      <c r="K680" s="3">
        <v>2613.09</v>
      </c>
      <c r="L680" s="1">
        <v>5</v>
      </c>
      <c r="M680" s="1" t="s">
        <v>20</v>
      </c>
      <c r="N680" s="3">
        <v>444.74</v>
      </c>
      <c r="O680" s="1" t="s">
        <v>2284</v>
      </c>
      <c r="P680" s="1" t="s">
        <v>2071</v>
      </c>
      <c r="Q680" s="1" t="str">
        <f>TEXT((Data[[#This Row],[Order_Date]]), "mmm")</f>
        <v>Jun</v>
      </c>
    </row>
    <row r="681" spans="4:17" x14ac:dyDescent="0.3">
      <c r="D681" s="1" t="s">
        <v>743</v>
      </c>
      <c r="E681" s="2">
        <v>45452</v>
      </c>
      <c r="F681" s="2">
        <v>45453</v>
      </c>
      <c r="G681" s="1" t="s">
        <v>11</v>
      </c>
      <c r="H681" s="1" t="s">
        <v>17</v>
      </c>
      <c r="I681" s="1" t="s">
        <v>18</v>
      </c>
      <c r="J681" s="1" t="s">
        <v>90</v>
      </c>
      <c r="K681" s="3">
        <v>2925.86</v>
      </c>
      <c r="L681" s="1">
        <v>5</v>
      </c>
      <c r="M681" s="1" t="s">
        <v>29</v>
      </c>
      <c r="N681" s="3">
        <v>748.22</v>
      </c>
      <c r="O681" s="1" t="s">
        <v>2168</v>
      </c>
      <c r="P681" s="1" t="s">
        <v>2071</v>
      </c>
      <c r="Q681" s="1" t="str">
        <f>TEXT((Data[[#This Row],[Order_Date]]), "mmm")</f>
        <v>Jun</v>
      </c>
    </row>
    <row r="682" spans="4:17" x14ac:dyDescent="0.3">
      <c r="D682" s="1" t="s">
        <v>744</v>
      </c>
      <c r="E682" s="2">
        <v>45455</v>
      </c>
      <c r="F682" s="2">
        <v>45462</v>
      </c>
      <c r="G682" s="1" t="s">
        <v>31</v>
      </c>
      <c r="H682" s="1" t="s">
        <v>12</v>
      </c>
      <c r="I682" s="1" t="s">
        <v>58</v>
      </c>
      <c r="J682" s="1" t="s">
        <v>105</v>
      </c>
      <c r="K682" s="3">
        <v>900.55</v>
      </c>
      <c r="L682" s="1">
        <v>19</v>
      </c>
      <c r="M682" s="1" t="s">
        <v>34</v>
      </c>
      <c r="N682" s="3">
        <v>261.02999999999997</v>
      </c>
      <c r="O682" s="1" t="s">
        <v>2184</v>
      </c>
      <c r="P682" s="1" t="s">
        <v>2076</v>
      </c>
      <c r="Q682" s="1" t="str">
        <f>TEXT((Data[[#This Row],[Order_Date]]), "mmm")</f>
        <v>Jun</v>
      </c>
    </row>
    <row r="683" spans="4:17" x14ac:dyDescent="0.3">
      <c r="D683" s="1" t="s">
        <v>745</v>
      </c>
      <c r="E683" s="2">
        <v>45504</v>
      </c>
      <c r="F683" s="2">
        <v>45509</v>
      </c>
      <c r="G683" s="1" t="s">
        <v>22</v>
      </c>
      <c r="H683" s="1" t="s">
        <v>23</v>
      </c>
      <c r="I683" s="1" t="s">
        <v>65</v>
      </c>
      <c r="J683" s="1" t="s">
        <v>122</v>
      </c>
      <c r="K683" s="3">
        <v>1091.83</v>
      </c>
      <c r="L683" s="1">
        <v>1</v>
      </c>
      <c r="M683" s="1" t="s">
        <v>29</v>
      </c>
      <c r="N683" s="3">
        <v>266.55</v>
      </c>
      <c r="O683" s="1" t="s">
        <v>2167</v>
      </c>
      <c r="P683" s="1" t="s">
        <v>2071</v>
      </c>
      <c r="Q683" s="1" t="str">
        <f>TEXT((Data[[#This Row],[Order_Date]]), "mmm")</f>
        <v>Jul</v>
      </c>
    </row>
    <row r="684" spans="4:17" x14ac:dyDescent="0.3">
      <c r="D684" s="1" t="s">
        <v>746</v>
      </c>
      <c r="E684" s="2">
        <v>45337</v>
      </c>
      <c r="F684" s="2">
        <v>45344</v>
      </c>
      <c r="G684" s="1" t="s">
        <v>22</v>
      </c>
      <c r="H684" s="1" t="s">
        <v>23</v>
      </c>
      <c r="I684" s="1" t="s">
        <v>78</v>
      </c>
      <c r="J684" s="1" t="s">
        <v>118</v>
      </c>
      <c r="K684" s="3">
        <v>1753.88</v>
      </c>
      <c r="L684" s="1">
        <v>14</v>
      </c>
      <c r="M684" s="1" t="s">
        <v>29</v>
      </c>
      <c r="N684" s="3">
        <v>-224.58</v>
      </c>
      <c r="O684" s="1" t="s">
        <v>2241</v>
      </c>
      <c r="P684" s="1" t="s">
        <v>2071</v>
      </c>
      <c r="Q684" s="1" t="str">
        <f>TEXT((Data[[#This Row],[Order_Date]]), "mmm")</f>
        <v>Feb</v>
      </c>
    </row>
    <row r="685" spans="4:17" x14ac:dyDescent="0.3">
      <c r="D685" s="1" t="s">
        <v>747</v>
      </c>
      <c r="E685" s="2">
        <v>45480</v>
      </c>
      <c r="F685" s="2">
        <v>45482</v>
      </c>
      <c r="G685" s="1" t="s">
        <v>11</v>
      </c>
      <c r="H685" s="1" t="s">
        <v>17</v>
      </c>
      <c r="I685" s="1" t="s">
        <v>32</v>
      </c>
      <c r="J685" s="1" t="s">
        <v>33</v>
      </c>
      <c r="K685" s="3">
        <v>3150.1</v>
      </c>
      <c r="L685" s="1">
        <v>15</v>
      </c>
      <c r="M685" s="1" t="s">
        <v>15</v>
      </c>
      <c r="N685" s="3">
        <v>624.49</v>
      </c>
      <c r="O685" s="1" t="s">
        <v>2150</v>
      </c>
      <c r="P685" s="1" t="s">
        <v>2076</v>
      </c>
      <c r="Q685" s="1" t="str">
        <f>TEXT((Data[[#This Row],[Order_Date]]), "mmm")</f>
        <v>Jul</v>
      </c>
    </row>
    <row r="686" spans="4:17" x14ac:dyDescent="0.3">
      <c r="D686" s="1" t="s">
        <v>748</v>
      </c>
      <c r="E686" s="2">
        <v>45396</v>
      </c>
      <c r="F686" s="2">
        <v>45399</v>
      </c>
      <c r="G686" s="1" t="s">
        <v>36</v>
      </c>
      <c r="H686" s="1" t="s">
        <v>23</v>
      </c>
      <c r="I686" s="1" t="s">
        <v>65</v>
      </c>
      <c r="J686" s="1" t="s">
        <v>114</v>
      </c>
      <c r="K686" s="3">
        <v>738.25</v>
      </c>
      <c r="L686" s="1">
        <v>7</v>
      </c>
      <c r="M686" s="1" t="s">
        <v>29</v>
      </c>
      <c r="N686" s="3">
        <v>84.66</v>
      </c>
      <c r="O686" s="1" t="s">
        <v>2264</v>
      </c>
      <c r="P686" s="1" t="s">
        <v>2071</v>
      </c>
      <c r="Q686" s="1" t="str">
        <f>TEXT((Data[[#This Row],[Order_Date]]), "mmm")</f>
        <v>Apr</v>
      </c>
    </row>
    <row r="687" spans="4:17" x14ac:dyDescent="0.3">
      <c r="D687" s="1" t="s">
        <v>749</v>
      </c>
      <c r="E687" s="2">
        <v>45638</v>
      </c>
      <c r="F687" s="2">
        <v>45641</v>
      </c>
      <c r="G687" s="1" t="s">
        <v>31</v>
      </c>
      <c r="H687" s="1" t="s">
        <v>17</v>
      </c>
      <c r="I687" s="1" t="s">
        <v>27</v>
      </c>
      <c r="J687" s="1" t="s">
        <v>132</v>
      </c>
      <c r="K687" s="3">
        <v>357.9</v>
      </c>
      <c r="L687" s="1">
        <v>9</v>
      </c>
      <c r="M687" s="1" t="s">
        <v>44</v>
      </c>
      <c r="N687" s="3">
        <v>84.22</v>
      </c>
      <c r="O687" s="1" t="s">
        <v>2084</v>
      </c>
      <c r="P687" s="1" t="s">
        <v>2076</v>
      </c>
      <c r="Q687" s="1" t="str">
        <f>TEXT((Data[[#This Row],[Order_Date]]), "mmm")</f>
        <v>Dec</v>
      </c>
    </row>
    <row r="688" spans="4:17" x14ac:dyDescent="0.3">
      <c r="D688" s="1" t="s">
        <v>750</v>
      </c>
      <c r="E688" s="2">
        <v>45481</v>
      </c>
      <c r="F688" s="2">
        <v>45488</v>
      </c>
      <c r="G688" s="1" t="s">
        <v>11</v>
      </c>
      <c r="H688" s="1" t="s">
        <v>17</v>
      </c>
      <c r="I688" s="1" t="s">
        <v>27</v>
      </c>
      <c r="J688" s="1" t="s">
        <v>132</v>
      </c>
      <c r="K688" s="3">
        <v>3517.91</v>
      </c>
      <c r="L688" s="1">
        <v>13</v>
      </c>
      <c r="M688" s="1" t="s">
        <v>15</v>
      </c>
      <c r="N688" s="3">
        <v>399.86</v>
      </c>
      <c r="O688" s="1" t="s">
        <v>2183</v>
      </c>
      <c r="P688" s="1" t="s">
        <v>2071</v>
      </c>
      <c r="Q688" s="1" t="str">
        <f>TEXT((Data[[#This Row],[Order_Date]]), "mmm")</f>
        <v>Jul</v>
      </c>
    </row>
    <row r="689" spans="4:17" x14ac:dyDescent="0.3">
      <c r="D689" s="1" t="s">
        <v>751</v>
      </c>
      <c r="E689" s="2">
        <v>45508</v>
      </c>
      <c r="F689" s="2">
        <v>45512</v>
      </c>
      <c r="G689" s="1" t="s">
        <v>11</v>
      </c>
      <c r="H689" s="1" t="s">
        <v>17</v>
      </c>
      <c r="I689" s="1" t="s">
        <v>32</v>
      </c>
      <c r="J689" s="1" t="s">
        <v>56</v>
      </c>
      <c r="K689" s="3">
        <v>445.42</v>
      </c>
      <c r="L689" s="1">
        <v>8</v>
      </c>
      <c r="M689" s="1" t="s">
        <v>49</v>
      </c>
      <c r="N689" s="3">
        <v>143.63</v>
      </c>
      <c r="O689" s="1" t="s">
        <v>2158</v>
      </c>
      <c r="P689" s="1" t="s">
        <v>2071</v>
      </c>
      <c r="Q689" s="1" t="str">
        <f>TEXT((Data[[#This Row],[Order_Date]]), "mmm")</f>
        <v>Aug</v>
      </c>
    </row>
    <row r="690" spans="4:17" x14ac:dyDescent="0.3">
      <c r="D690" s="1" t="s">
        <v>752</v>
      </c>
      <c r="E690" s="2">
        <v>45635</v>
      </c>
      <c r="F690" s="2">
        <v>45635</v>
      </c>
      <c r="G690" s="1" t="s">
        <v>11</v>
      </c>
      <c r="H690" s="1" t="s">
        <v>23</v>
      </c>
      <c r="I690" s="1" t="s">
        <v>65</v>
      </c>
      <c r="J690" s="1" t="s">
        <v>114</v>
      </c>
      <c r="K690" s="3">
        <v>3915.71</v>
      </c>
      <c r="L690" s="1">
        <v>12</v>
      </c>
      <c r="M690" s="1" t="s">
        <v>44</v>
      </c>
      <c r="N690" s="3">
        <v>1332.98</v>
      </c>
      <c r="O690" s="1" t="s">
        <v>2176</v>
      </c>
      <c r="P690" s="1" t="s">
        <v>2078</v>
      </c>
      <c r="Q690" s="1" t="str">
        <f>TEXT((Data[[#This Row],[Order_Date]]), "mmm")</f>
        <v>Dec</v>
      </c>
    </row>
    <row r="691" spans="4:17" x14ac:dyDescent="0.3">
      <c r="D691" s="1" t="s">
        <v>753</v>
      </c>
      <c r="E691" s="2">
        <v>45589</v>
      </c>
      <c r="F691" s="2">
        <v>45591</v>
      </c>
      <c r="G691" s="1" t="s">
        <v>36</v>
      </c>
      <c r="H691" s="1" t="s">
        <v>17</v>
      </c>
      <c r="I691" s="1" t="s">
        <v>32</v>
      </c>
      <c r="J691" s="1" t="s">
        <v>33</v>
      </c>
      <c r="K691" s="3">
        <v>3738.73</v>
      </c>
      <c r="L691" s="1">
        <v>15</v>
      </c>
      <c r="M691" s="1" t="s">
        <v>44</v>
      </c>
      <c r="N691" s="3">
        <v>287.49</v>
      </c>
      <c r="O691" s="1" t="s">
        <v>2227</v>
      </c>
      <c r="P691" s="1" t="s">
        <v>2078</v>
      </c>
      <c r="Q691" s="1" t="str">
        <f>TEXT((Data[[#This Row],[Order_Date]]), "mmm")</f>
        <v>Oct</v>
      </c>
    </row>
    <row r="692" spans="4:17" x14ac:dyDescent="0.3">
      <c r="D692" s="1" t="s">
        <v>754</v>
      </c>
      <c r="E692" s="2">
        <v>45513</v>
      </c>
      <c r="F692" s="2">
        <v>45515</v>
      </c>
      <c r="G692" s="1" t="s">
        <v>36</v>
      </c>
      <c r="H692" s="1" t="s">
        <v>17</v>
      </c>
      <c r="I692" s="1" t="s">
        <v>27</v>
      </c>
      <c r="J692" s="1" t="s">
        <v>28</v>
      </c>
      <c r="K692" s="3">
        <v>3919.44</v>
      </c>
      <c r="L692" s="1">
        <v>16</v>
      </c>
      <c r="M692" s="1" t="s">
        <v>34</v>
      </c>
      <c r="N692" s="3">
        <v>1075.29</v>
      </c>
      <c r="O692" s="1" t="s">
        <v>2246</v>
      </c>
      <c r="P692" s="1" t="s">
        <v>2078</v>
      </c>
      <c r="Q692" s="1" t="str">
        <f>TEXT((Data[[#This Row],[Order_Date]]), "mmm")</f>
        <v>Aug</v>
      </c>
    </row>
    <row r="693" spans="4:17" x14ac:dyDescent="0.3">
      <c r="D693" s="1" t="s">
        <v>755</v>
      </c>
      <c r="E693" s="2">
        <v>45436</v>
      </c>
      <c r="F693" s="2">
        <v>45440</v>
      </c>
      <c r="G693" s="1" t="s">
        <v>36</v>
      </c>
      <c r="H693" s="1" t="s">
        <v>12</v>
      </c>
      <c r="I693" s="1" t="s">
        <v>13</v>
      </c>
      <c r="J693" s="1" t="s">
        <v>96</v>
      </c>
      <c r="K693" s="3">
        <v>3597.52</v>
      </c>
      <c r="L693" s="1">
        <v>11</v>
      </c>
      <c r="M693" s="1" t="s">
        <v>15</v>
      </c>
      <c r="N693" s="3">
        <v>1253.27</v>
      </c>
      <c r="O693" s="1" t="s">
        <v>2235</v>
      </c>
      <c r="P693" s="1" t="s">
        <v>2076</v>
      </c>
      <c r="Q693" s="1" t="str">
        <f>TEXT((Data[[#This Row],[Order_Date]]), "mmm")</f>
        <v>May</v>
      </c>
    </row>
    <row r="694" spans="4:17" x14ac:dyDescent="0.3">
      <c r="D694" s="1" t="s">
        <v>756</v>
      </c>
      <c r="E694" s="2">
        <v>45369</v>
      </c>
      <c r="F694" s="2">
        <v>45376</v>
      </c>
      <c r="G694" s="1" t="s">
        <v>11</v>
      </c>
      <c r="H694" s="1" t="s">
        <v>17</v>
      </c>
      <c r="I694" s="1" t="s">
        <v>18</v>
      </c>
      <c r="J694" s="1" t="s">
        <v>19</v>
      </c>
      <c r="K694" s="3">
        <v>1111.98</v>
      </c>
      <c r="L694" s="1">
        <v>2</v>
      </c>
      <c r="M694" s="1" t="s">
        <v>49</v>
      </c>
      <c r="N694" s="3">
        <v>142.41</v>
      </c>
      <c r="O694" s="1" t="s">
        <v>2116</v>
      </c>
      <c r="P694" s="1" t="s">
        <v>2071</v>
      </c>
      <c r="Q694" s="1" t="str">
        <f>TEXT((Data[[#This Row],[Order_Date]]), "mmm")</f>
        <v>Mar</v>
      </c>
    </row>
    <row r="695" spans="4:17" x14ac:dyDescent="0.3">
      <c r="D695" s="1" t="s">
        <v>757</v>
      </c>
      <c r="E695" s="2">
        <v>45515</v>
      </c>
      <c r="F695" s="2">
        <v>45516</v>
      </c>
      <c r="G695" s="1" t="s">
        <v>31</v>
      </c>
      <c r="H695" s="1" t="s">
        <v>17</v>
      </c>
      <c r="I695" s="1" t="s">
        <v>27</v>
      </c>
      <c r="J695" s="1" t="s">
        <v>110</v>
      </c>
      <c r="K695" s="3">
        <v>3958.07</v>
      </c>
      <c r="L695" s="1">
        <v>18</v>
      </c>
      <c r="M695" s="1" t="s">
        <v>49</v>
      </c>
      <c r="N695" s="3">
        <v>-741.46</v>
      </c>
      <c r="O695" s="1" t="s">
        <v>2297</v>
      </c>
      <c r="P695" s="1" t="s">
        <v>2076</v>
      </c>
      <c r="Q695" s="1" t="str">
        <f>TEXT((Data[[#This Row],[Order_Date]]), "mmm")</f>
        <v>Aug</v>
      </c>
    </row>
    <row r="696" spans="4:17" x14ac:dyDescent="0.3">
      <c r="D696" s="1" t="s">
        <v>758</v>
      </c>
      <c r="E696" s="2">
        <v>45367</v>
      </c>
      <c r="F696" s="2">
        <v>45368</v>
      </c>
      <c r="G696" s="1" t="s">
        <v>36</v>
      </c>
      <c r="H696" s="1" t="s">
        <v>17</v>
      </c>
      <c r="I696" s="1" t="s">
        <v>18</v>
      </c>
      <c r="J696" s="1" t="s">
        <v>54</v>
      </c>
      <c r="K696" s="3">
        <v>927.46</v>
      </c>
      <c r="L696" s="1">
        <v>6</v>
      </c>
      <c r="M696" s="1" t="s">
        <v>15</v>
      </c>
      <c r="N696" s="3">
        <v>187.92</v>
      </c>
      <c r="O696" s="1" t="s">
        <v>2122</v>
      </c>
      <c r="P696" s="1" t="s">
        <v>2071</v>
      </c>
      <c r="Q696" s="1" t="str">
        <f>TEXT((Data[[#This Row],[Order_Date]]), "mmm")</f>
        <v>Mar</v>
      </c>
    </row>
    <row r="697" spans="4:17" x14ac:dyDescent="0.3">
      <c r="D697" s="1" t="s">
        <v>759</v>
      </c>
      <c r="E697" s="2">
        <v>45631</v>
      </c>
      <c r="F697" s="2">
        <v>45634</v>
      </c>
      <c r="G697" s="1" t="s">
        <v>11</v>
      </c>
      <c r="H697" s="1" t="s">
        <v>12</v>
      </c>
      <c r="I697" s="1" t="s">
        <v>58</v>
      </c>
      <c r="J697" s="1" t="s">
        <v>105</v>
      </c>
      <c r="K697" s="3">
        <v>3701.55</v>
      </c>
      <c r="L697" s="1">
        <v>8</v>
      </c>
      <c r="M697" s="1" t="s">
        <v>49</v>
      </c>
      <c r="N697" s="3">
        <v>936.76</v>
      </c>
      <c r="O697" s="1" t="s">
        <v>2276</v>
      </c>
      <c r="P697" s="1" t="s">
        <v>2076</v>
      </c>
      <c r="Q697" s="1" t="str">
        <f>TEXT((Data[[#This Row],[Order_Date]]), "mmm")</f>
        <v>Dec</v>
      </c>
    </row>
    <row r="698" spans="4:17" x14ac:dyDescent="0.3">
      <c r="D698" s="1" t="s">
        <v>760</v>
      </c>
      <c r="E698" s="2">
        <v>45305</v>
      </c>
      <c r="F698" s="2">
        <v>45309</v>
      </c>
      <c r="G698" s="1" t="s">
        <v>11</v>
      </c>
      <c r="H698" s="1" t="s">
        <v>23</v>
      </c>
      <c r="I698" s="1" t="s">
        <v>24</v>
      </c>
      <c r="J698" s="1" t="s">
        <v>150</v>
      </c>
      <c r="K698" s="3">
        <v>3734.31</v>
      </c>
      <c r="L698" s="1">
        <v>4</v>
      </c>
      <c r="M698" s="1" t="s">
        <v>34</v>
      </c>
      <c r="N698" s="3">
        <v>-358.99</v>
      </c>
      <c r="O698" s="1" t="s">
        <v>2245</v>
      </c>
      <c r="P698" s="1" t="s">
        <v>2078</v>
      </c>
      <c r="Q698" s="1" t="str">
        <f>TEXT((Data[[#This Row],[Order_Date]]), "mmm")</f>
        <v>Jan</v>
      </c>
    </row>
    <row r="699" spans="4:17" x14ac:dyDescent="0.3">
      <c r="D699" s="1" t="s">
        <v>761</v>
      </c>
      <c r="E699" s="2">
        <v>45654</v>
      </c>
      <c r="F699" s="2">
        <v>45661</v>
      </c>
      <c r="G699" s="1" t="s">
        <v>31</v>
      </c>
      <c r="H699" s="1" t="s">
        <v>12</v>
      </c>
      <c r="I699" s="1" t="s">
        <v>13</v>
      </c>
      <c r="J699" s="1" t="s">
        <v>51</v>
      </c>
      <c r="K699" s="3">
        <v>1485.35</v>
      </c>
      <c r="L699" s="1">
        <v>2</v>
      </c>
      <c r="M699" s="1" t="s">
        <v>15</v>
      </c>
      <c r="N699" s="3">
        <v>351.6</v>
      </c>
      <c r="O699" s="1" t="s">
        <v>2128</v>
      </c>
      <c r="P699" s="1" t="s">
        <v>2078</v>
      </c>
      <c r="Q699" s="1" t="str">
        <f>TEXT((Data[[#This Row],[Order_Date]]), "mmm")</f>
        <v>Dec</v>
      </c>
    </row>
    <row r="700" spans="4:17" x14ac:dyDescent="0.3">
      <c r="D700" s="1" t="s">
        <v>762</v>
      </c>
      <c r="E700" s="2">
        <v>45583</v>
      </c>
      <c r="F700" s="2">
        <v>45585</v>
      </c>
      <c r="G700" s="1" t="s">
        <v>22</v>
      </c>
      <c r="H700" s="1" t="s">
        <v>17</v>
      </c>
      <c r="I700" s="1" t="s">
        <v>32</v>
      </c>
      <c r="J700" s="1" t="s">
        <v>33</v>
      </c>
      <c r="K700" s="3">
        <v>1461.89</v>
      </c>
      <c r="L700" s="1">
        <v>2</v>
      </c>
      <c r="M700" s="1" t="s">
        <v>15</v>
      </c>
      <c r="N700" s="3">
        <v>104.11</v>
      </c>
      <c r="O700" s="1" t="s">
        <v>2213</v>
      </c>
      <c r="P700" s="1" t="s">
        <v>2078</v>
      </c>
      <c r="Q700" s="1" t="str">
        <f>TEXT((Data[[#This Row],[Order_Date]]), "mmm")</f>
        <v>Oct</v>
      </c>
    </row>
    <row r="701" spans="4:17" x14ac:dyDescent="0.3">
      <c r="D701" s="1" t="s">
        <v>763</v>
      </c>
      <c r="E701" s="2">
        <v>45487</v>
      </c>
      <c r="F701" s="2">
        <v>45488</v>
      </c>
      <c r="G701" s="1" t="s">
        <v>31</v>
      </c>
      <c r="H701" s="1" t="s">
        <v>23</v>
      </c>
      <c r="I701" s="1" t="s">
        <v>78</v>
      </c>
      <c r="J701" s="1" t="s">
        <v>118</v>
      </c>
      <c r="K701" s="3">
        <v>3868.93</v>
      </c>
      <c r="L701" s="1">
        <v>13</v>
      </c>
      <c r="M701" s="1" t="s">
        <v>20</v>
      </c>
      <c r="N701" s="3">
        <v>217.25</v>
      </c>
      <c r="O701" s="1" t="s">
        <v>2270</v>
      </c>
      <c r="P701" s="1" t="s">
        <v>2071</v>
      </c>
      <c r="Q701" s="1" t="str">
        <f>TEXT((Data[[#This Row],[Order_Date]]), "mmm")</f>
        <v>Jul</v>
      </c>
    </row>
    <row r="702" spans="4:17" x14ac:dyDescent="0.3">
      <c r="D702" s="1" t="s">
        <v>764</v>
      </c>
      <c r="E702" s="2">
        <v>45490</v>
      </c>
      <c r="F702" s="2">
        <v>45496</v>
      </c>
      <c r="G702" s="1" t="s">
        <v>36</v>
      </c>
      <c r="H702" s="1" t="s">
        <v>12</v>
      </c>
      <c r="I702" s="1" t="s">
        <v>58</v>
      </c>
      <c r="J702" s="1" t="s">
        <v>120</v>
      </c>
      <c r="K702" s="3">
        <v>1369.55</v>
      </c>
      <c r="L702" s="1">
        <v>14</v>
      </c>
      <c r="M702" s="1" t="s">
        <v>15</v>
      </c>
      <c r="N702" s="3">
        <v>399.78</v>
      </c>
      <c r="O702" s="1" t="s">
        <v>2176</v>
      </c>
      <c r="P702" s="1" t="s">
        <v>2076</v>
      </c>
      <c r="Q702" s="1" t="str">
        <f>TEXT((Data[[#This Row],[Order_Date]]), "mmm")</f>
        <v>Jul</v>
      </c>
    </row>
    <row r="703" spans="4:17" x14ac:dyDescent="0.3">
      <c r="D703" s="1" t="s">
        <v>765</v>
      </c>
      <c r="E703" s="2">
        <v>45642</v>
      </c>
      <c r="F703" s="2">
        <v>45644</v>
      </c>
      <c r="G703" s="1" t="s">
        <v>36</v>
      </c>
      <c r="H703" s="1" t="s">
        <v>12</v>
      </c>
      <c r="I703" s="1" t="s">
        <v>38</v>
      </c>
      <c r="J703" s="1" t="s">
        <v>85</v>
      </c>
      <c r="K703" s="3">
        <v>2172.4499999999998</v>
      </c>
      <c r="L703" s="1">
        <v>16</v>
      </c>
      <c r="M703" s="1" t="s">
        <v>49</v>
      </c>
      <c r="N703" s="3">
        <v>685.68</v>
      </c>
      <c r="O703" s="1" t="s">
        <v>2302</v>
      </c>
      <c r="P703" s="1" t="s">
        <v>2071</v>
      </c>
      <c r="Q703" s="1" t="str">
        <f>TEXT((Data[[#This Row],[Order_Date]]), "mmm")</f>
        <v>Dec</v>
      </c>
    </row>
    <row r="704" spans="4:17" x14ac:dyDescent="0.3">
      <c r="D704" s="1" t="s">
        <v>766</v>
      </c>
      <c r="E704" s="2">
        <v>45580</v>
      </c>
      <c r="F704" s="2">
        <v>45586</v>
      </c>
      <c r="G704" s="1" t="s">
        <v>11</v>
      </c>
      <c r="H704" s="1" t="s">
        <v>23</v>
      </c>
      <c r="I704" s="1" t="s">
        <v>24</v>
      </c>
      <c r="J704" s="1" t="s">
        <v>150</v>
      </c>
      <c r="K704" s="3">
        <v>948.83</v>
      </c>
      <c r="L704" s="1">
        <v>14</v>
      </c>
      <c r="M704" s="1" t="s">
        <v>20</v>
      </c>
      <c r="N704" s="3">
        <v>58.95</v>
      </c>
      <c r="O704" s="1" t="s">
        <v>2215</v>
      </c>
      <c r="P704" s="1" t="s">
        <v>2076</v>
      </c>
      <c r="Q704" s="1" t="str">
        <f>TEXT((Data[[#This Row],[Order_Date]]), "mmm")</f>
        <v>Oct</v>
      </c>
    </row>
    <row r="705" spans="4:17" x14ac:dyDescent="0.3">
      <c r="D705" s="1" t="s">
        <v>767</v>
      </c>
      <c r="E705" s="2">
        <v>45529</v>
      </c>
      <c r="F705" s="2">
        <v>45532</v>
      </c>
      <c r="G705" s="1" t="s">
        <v>22</v>
      </c>
      <c r="H705" s="1" t="s">
        <v>23</v>
      </c>
      <c r="I705" s="1" t="s">
        <v>61</v>
      </c>
      <c r="J705" s="1" t="s">
        <v>98</v>
      </c>
      <c r="K705" s="3">
        <v>2005.82</v>
      </c>
      <c r="L705" s="1">
        <v>3</v>
      </c>
      <c r="M705" s="1" t="s">
        <v>49</v>
      </c>
      <c r="N705" s="3">
        <v>281.05</v>
      </c>
      <c r="O705" s="1" t="s">
        <v>2083</v>
      </c>
      <c r="P705" s="1" t="s">
        <v>2071</v>
      </c>
      <c r="Q705" s="1" t="str">
        <f>TEXT((Data[[#This Row],[Order_Date]]), "mmm")</f>
        <v>Aug</v>
      </c>
    </row>
    <row r="706" spans="4:17" x14ac:dyDescent="0.3">
      <c r="D706" s="1" t="s">
        <v>768</v>
      </c>
      <c r="E706" s="2">
        <v>45642</v>
      </c>
      <c r="F706" s="2">
        <v>45646</v>
      </c>
      <c r="G706" s="1" t="s">
        <v>22</v>
      </c>
      <c r="H706" s="1" t="s">
        <v>12</v>
      </c>
      <c r="I706" s="1" t="s">
        <v>42</v>
      </c>
      <c r="J706" s="1" t="s">
        <v>46</v>
      </c>
      <c r="K706" s="3">
        <v>2382.0100000000002</v>
      </c>
      <c r="L706" s="1">
        <v>18</v>
      </c>
      <c r="M706" s="1" t="s">
        <v>20</v>
      </c>
      <c r="N706" s="3">
        <v>774.61</v>
      </c>
      <c r="O706" s="1" t="s">
        <v>2161</v>
      </c>
      <c r="P706" s="1" t="s">
        <v>2071</v>
      </c>
      <c r="Q706" s="1" t="str">
        <f>TEXT((Data[[#This Row],[Order_Date]]), "mmm")</f>
        <v>Dec</v>
      </c>
    </row>
    <row r="707" spans="4:17" x14ac:dyDescent="0.3">
      <c r="D707" s="1" t="s">
        <v>769</v>
      </c>
      <c r="E707" s="2">
        <v>45553</v>
      </c>
      <c r="F707" s="2">
        <v>45559</v>
      </c>
      <c r="G707" s="1" t="s">
        <v>31</v>
      </c>
      <c r="H707" s="1" t="s">
        <v>17</v>
      </c>
      <c r="I707" s="1" t="s">
        <v>27</v>
      </c>
      <c r="J707" s="1" t="s">
        <v>110</v>
      </c>
      <c r="K707" s="3">
        <v>1582.97</v>
      </c>
      <c r="L707" s="1">
        <v>19</v>
      </c>
      <c r="M707" s="1" t="s">
        <v>20</v>
      </c>
      <c r="N707" s="3">
        <v>-444.17</v>
      </c>
      <c r="O707" s="1" t="s">
        <v>2192</v>
      </c>
      <c r="P707" s="1" t="s">
        <v>2071</v>
      </c>
      <c r="Q707" s="1" t="str">
        <f>TEXT((Data[[#This Row],[Order_Date]]), "mmm")</f>
        <v>Sep</v>
      </c>
    </row>
    <row r="708" spans="4:17" x14ac:dyDescent="0.3">
      <c r="D708" s="1" t="s">
        <v>770</v>
      </c>
      <c r="E708" s="2">
        <v>45630</v>
      </c>
      <c r="F708" s="2">
        <v>45637</v>
      </c>
      <c r="G708" s="1" t="s">
        <v>22</v>
      </c>
      <c r="H708" s="1" t="s">
        <v>17</v>
      </c>
      <c r="I708" s="1" t="s">
        <v>27</v>
      </c>
      <c r="J708" s="1" t="s">
        <v>28</v>
      </c>
      <c r="K708" s="3">
        <v>562.34</v>
      </c>
      <c r="L708" s="1">
        <v>10</v>
      </c>
      <c r="M708" s="1" t="s">
        <v>34</v>
      </c>
      <c r="N708" s="3">
        <v>127.18</v>
      </c>
      <c r="O708" s="1" t="s">
        <v>2209</v>
      </c>
      <c r="P708" s="1" t="s">
        <v>2076</v>
      </c>
      <c r="Q708" s="1" t="str">
        <f>TEXT((Data[[#This Row],[Order_Date]]), "mmm")</f>
        <v>Dec</v>
      </c>
    </row>
    <row r="709" spans="4:17" x14ac:dyDescent="0.3">
      <c r="D709" s="1" t="s">
        <v>771</v>
      </c>
      <c r="E709" s="2">
        <v>45635</v>
      </c>
      <c r="F709" s="2">
        <v>45642</v>
      </c>
      <c r="G709" s="1" t="s">
        <v>36</v>
      </c>
      <c r="H709" s="1" t="s">
        <v>23</v>
      </c>
      <c r="I709" s="1" t="s">
        <v>78</v>
      </c>
      <c r="J709" s="1" t="s">
        <v>118</v>
      </c>
      <c r="K709" s="3">
        <v>944.08</v>
      </c>
      <c r="L709" s="1">
        <v>20</v>
      </c>
      <c r="M709" s="1" t="s">
        <v>34</v>
      </c>
      <c r="N709" s="3">
        <v>-294.07</v>
      </c>
      <c r="O709" s="1" t="s">
        <v>2170</v>
      </c>
      <c r="P709" s="1" t="s">
        <v>2078</v>
      </c>
      <c r="Q709" s="1" t="str">
        <f>TEXT((Data[[#This Row],[Order_Date]]), "mmm")</f>
        <v>Dec</v>
      </c>
    </row>
    <row r="710" spans="4:17" x14ac:dyDescent="0.3">
      <c r="D710" s="1" t="s">
        <v>772</v>
      </c>
      <c r="E710" s="2">
        <v>45565</v>
      </c>
      <c r="F710" s="2">
        <v>45565</v>
      </c>
      <c r="G710" s="1" t="s">
        <v>11</v>
      </c>
      <c r="H710" s="1" t="s">
        <v>23</v>
      </c>
      <c r="I710" s="1" t="s">
        <v>61</v>
      </c>
      <c r="J710" s="1" t="s">
        <v>76</v>
      </c>
      <c r="K710" s="3">
        <v>894.01</v>
      </c>
      <c r="L710" s="1">
        <v>16</v>
      </c>
      <c r="M710" s="1" t="s">
        <v>49</v>
      </c>
      <c r="N710" s="3">
        <v>230.25</v>
      </c>
      <c r="O710" s="1" t="s">
        <v>2130</v>
      </c>
      <c r="P710" s="1" t="s">
        <v>2076</v>
      </c>
      <c r="Q710" s="1" t="str">
        <f>TEXT((Data[[#This Row],[Order_Date]]), "mmm")</f>
        <v>Sep</v>
      </c>
    </row>
    <row r="711" spans="4:17" x14ac:dyDescent="0.3">
      <c r="D711" s="1" t="s">
        <v>773</v>
      </c>
      <c r="E711" s="2">
        <v>45600</v>
      </c>
      <c r="F711" s="2">
        <v>45607</v>
      </c>
      <c r="G711" s="1" t="s">
        <v>36</v>
      </c>
      <c r="H711" s="1" t="s">
        <v>12</v>
      </c>
      <c r="I711" s="1" t="s">
        <v>13</v>
      </c>
      <c r="J711" s="1" t="s">
        <v>96</v>
      </c>
      <c r="K711" s="3">
        <v>3267.4</v>
      </c>
      <c r="L711" s="1">
        <v>3</v>
      </c>
      <c r="M711" s="1" t="s">
        <v>44</v>
      </c>
      <c r="N711" s="3">
        <v>295.81</v>
      </c>
      <c r="O711" s="1" t="s">
        <v>2157</v>
      </c>
      <c r="P711" s="1" t="s">
        <v>2071</v>
      </c>
      <c r="Q711" s="1" t="str">
        <f>TEXT((Data[[#This Row],[Order_Date]]), "mmm")</f>
        <v>Nov</v>
      </c>
    </row>
    <row r="712" spans="4:17" x14ac:dyDescent="0.3">
      <c r="D712" s="1" t="s">
        <v>774</v>
      </c>
      <c r="E712" s="2">
        <v>45300</v>
      </c>
      <c r="F712" s="2">
        <v>45303</v>
      </c>
      <c r="G712" s="1" t="s">
        <v>11</v>
      </c>
      <c r="H712" s="1" t="s">
        <v>17</v>
      </c>
      <c r="I712" s="1" t="s">
        <v>27</v>
      </c>
      <c r="J712" s="1" t="s">
        <v>132</v>
      </c>
      <c r="K712" s="3">
        <v>2686.52</v>
      </c>
      <c r="L712" s="1">
        <v>14</v>
      </c>
      <c r="M712" s="1" t="s">
        <v>15</v>
      </c>
      <c r="N712" s="3">
        <v>825.99</v>
      </c>
      <c r="O712" s="1" t="s">
        <v>2243</v>
      </c>
      <c r="P712" s="1" t="s">
        <v>2076</v>
      </c>
      <c r="Q712" s="1" t="str">
        <f>TEXT((Data[[#This Row],[Order_Date]]), "mmm")</f>
        <v>Jan</v>
      </c>
    </row>
    <row r="713" spans="4:17" x14ac:dyDescent="0.3">
      <c r="D713" s="1" t="s">
        <v>775</v>
      </c>
      <c r="E713" s="2">
        <v>45336</v>
      </c>
      <c r="F713" s="2">
        <v>45340</v>
      </c>
      <c r="G713" s="1" t="s">
        <v>31</v>
      </c>
      <c r="H713" s="1" t="s">
        <v>17</v>
      </c>
      <c r="I713" s="1" t="s">
        <v>27</v>
      </c>
      <c r="J713" s="1" t="s">
        <v>108</v>
      </c>
      <c r="K713" s="3">
        <v>331.81</v>
      </c>
      <c r="L713" s="1">
        <v>6</v>
      </c>
      <c r="M713" s="1" t="s">
        <v>44</v>
      </c>
      <c r="N713" s="3">
        <v>90.13</v>
      </c>
      <c r="O713" s="1" t="s">
        <v>2139</v>
      </c>
      <c r="P713" s="1" t="s">
        <v>2078</v>
      </c>
      <c r="Q713" s="1" t="str">
        <f>TEXT((Data[[#This Row],[Order_Date]]), "mmm")</f>
        <v>Feb</v>
      </c>
    </row>
    <row r="714" spans="4:17" x14ac:dyDescent="0.3">
      <c r="D714" s="1" t="s">
        <v>776</v>
      </c>
      <c r="E714" s="2">
        <v>45540</v>
      </c>
      <c r="F714" s="2">
        <v>45547</v>
      </c>
      <c r="G714" s="1" t="s">
        <v>11</v>
      </c>
      <c r="H714" s="1" t="s">
        <v>23</v>
      </c>
      <c r="I714" s="1" t="s">
        <v>78</v>
      </c>
      <c r="J714" s="1" t="s">
        <v>118</v>
      </c>
      <c r="K714" s="3">
        <v>1355.62</v>
      </c>
      <c r="L714" s="1">
        <v>13</v>
      </c>
      <c r="M714" s="1" t="s">
        <v>20</v>
      </c>
      <c r="N714" s="3">
        <v>-203.55</v>
      </c>
      <c r="O714" s="1" t="s">
        <v>2135</v>
      </c>
      <c r="P714" s="1" t="s">
        <v>2071</v>
      </c>
      <c r="Q714" s="1" t="str">
        <f>TEXT((Data[[#This Row],[Order_Date]]), "mmm")</f>
        <v>Sep</v>
      </c>
    </row>
    <row r="715" spans="4:17" x14ac:dyDescent="0.3">
      <c r="D715" s="1" t="s">
        <v>777</v>
      </c>
      <c r="E715" s="2">
        <v>45657</v>
      </c>
      <c r="F715" s="2">
        <v>45663</v>
      </c>
      <c r="G715" s="1" t="s">
        <v>31</v>
      </c>
      <c r="H715" s="1" t="s">
        <v>23</v>
      </c>
      <c r="I715" s="1" t="s">
        <v>24</v>
      </c>
      <c r="J715" s="1" t="s">
        <v>25</v>
      </c>
      <c r="K715" s="3">
        <v>2078.11</v>
      </c>
      <c r="L715" s="1">
        <v>16</v>
      </c>
      <c r="M715" s="1" t="s">
        <v>29</v>
      </c>
      <c r="N715" s="3">
        <v>472.38</v>
      </c>
      <c r="O715" s="1" t="s">
        <v>2246</v>
      </c>
      <c r="P715" s="1" t="s">
        <v>2076</v>
      </c>
      <c r="Q715" s="1" t="str">
        <f>TEXT((Data[[#This Row],[Order_Date]]), "mmm")</f>
        <v>Dec</v>
      </c>
    </row>
    <row r="716" spans="4:17" x14ac:dyDescent="0.3">
      <c r="D716" s="1" t="s">
        <v>778</v>
      </c>
      <c r="E716" s="2">
        <v>45639</v>
      </c>
      <c r="F716" s="2">
        <v>45646</v>
      </c>
      <c r="G716" s="1" t="s">
        <v>22</v>
      </c>
      <c r="H716" s="1" t="s">
        <v>12</v>
      </c>
      <c r="I716" s="1" t="s">
        <v>38</v>
      </c>
      <c r="J716" s="1" t="s">
        <v>39</v>
      </c>
      <c r="K716" s="3">
        <v>321.32</v>
      </c>
      <c r="L716" s="1">
        <v>19</v>
      </c>
      <c r="M716" s="1" t="s">
        <v>34</v>
      </c>
      <c r="N716" s="3">
        <v>69.400000000000006</v>
      </c>
      <c r="O716" s="1" t="s">
        <v>2219</v>
      </c>
      <c r="P716" s="1" t="s">
        <v>2076</v>
      </c>
      <c r="Q716" s="1" t="str">
        <f>TEXT((Data[[#This Row],[Order_Date]]), "mmm")</f>
        <v>Dec</v>
      </c>
    </row>
    <row r="717" spans="4:17" x14ac:dyDescent="0.3">
      <c r="D717" s="1" t="s">
        <v>779</v>
      </c>
      <c r="E717" s="2">
        <v>45623</v>
      </c>
      <c r="F717" s="2">
        <v>45629</v>
      </c>
      <c r="G717" s="1" t="s">
        <v>31</v>
      </c>
      <c r="H717" s="1" t="s">
        <v>17</v>
      </c>
      <c r="I717" s="1" t="s">
        <v>27</v>
      </c>
      <c r="J717" s="1" t="s">
        <v>110</v>
      </c>
      <c r="K717" s="3">
        <v>1931.22</v>
      </c>
      <c r="L717" s="1">
        <v>14</v>
      </c>
      <c r="M717" s="1" t="s">
        <v>20</v>
      </c>
      <c r="N717" s="3">
        <v>190.03</v>
      </c>
      <c r="O717" s="1" t="s">
        <v>2208</v>
      </c>
      <c r="P717" s="1" t="s">
        <v>2071</v>
      </c>
      <c r="Q717" s="1" t="str">
        <f>TEXT((Data[[#This Row],[Order_Date]]), "mmm")</f>
        <v>Nov</v>
      </c>
    </row>
    <row r="718" spans="4:17" x14ac:dyDescent="0.3">
      <c r="D718" s="1" t="s">
        <v>780</v>
      </c>
      <c r="E718" s="2">
        <v>45532</v>
      </c>
      <c r="F718" s="2">
        <v>45537</v>
      </c>
      <c r="G718" s="1" t="s">
        <v>31</v>
      </c>
      <c r="H718" s="1" t="s">
        <v>17</v>
      </c>
      <c r="I718" s="1" t="s">
        <v>32</v>
      </c>
      <c r="J718" s="1" t="s">
        <v>56</v>
      </c>
      <c r="K718" s="3">
        <v>2453.7199999999998</v>
      </c>
      <c r="L718" s="1">
        <v>11</v>
      </c>
      <c r="M718" s="1" t="s">
        <v>29</v>
      </c>
      <c r="N718" s="3">
        <v>750.93</v>
      </c>
      <c r="O718" s="1" t="s">
        <v>2135</v>
      </c>
      <c r="P718" s="1" t="s">
        <v>2071</v>
      </c>
      <c r="Q718" s="1" t="str">
        <f>TEXT((Data[[#This Row],[Order_Date]]), "mmm")</f>
        <v>Aug</v>
      </c>
    </row>
    <row r="719" spans="4:17" x14ac:dyDescent="0.3">
      <c r="D719" s="1" t="s">
        <v>781</v>
      </c>
      <c r="E719" s="2">
        <v>45531</v>
      </c>
      <c r="F719" s="2">
        <v>45533</v>
      </c>
      <c r="G719" s="1" t="s">
        <v>36</v>
      </c>
      <c r="H719" s="1" t="s">
        <v>12</v>
      </c>
      <c r="I719" s="1" t="s">
        <v>42</v>
      </c>
      <c r="J719" s="1" t="s">
        <v>43</v>
      </c>
      <c r="K719" s="3">
        <v>3374.05</v>
      </c>
      <c r="L719" s="1">
        <v>12</v>
      </c>
      <c r="M719" s="1" t="s">
        <v>49</v>
      </c>
      <c r="N719" s="3">
        <v>978.23</v>
      </c>
      <c r="O719" s="1" t="s">
        <v>2195</v>
      </c>
      <c r="P719" s="1" t="s">
        <v>2078</v>
      </c>
      <c r="Q719" s="1" t="str">
        <f>TEXT((Data[[#This Row],[Order_Date]]), "mmm")</f>
        <v>Aug</v>
      </c>
    </row>
    <row r="720" spans="4:17" x14ac:dyDescent="0.3">
      <c r="D720" s="1" t="s">
        <v>782</v>
      </c>
      <c r="E720" s="2">
        <v>45610</v>
      </c>
      <c r="F720" s="2">
        <v>45613</v>
      </c>
      <c r="G720" s="1" t="s">
        <v>36</v>
      </c>
      <c r="H720" s="1" t="s">
        <v>12</v>
      </c>
      <c r="I720" s="1" t="s">
        <v>38</v>
      </c>
      <c r="J720" s="1" t="s">
        <v>39</v>
      </c>
      <c r="K720" s="3">
        <v>2060.84</v>
      </c>
      <c r="L720" s="1">
        <v>6</v>
      </c>
      <c r="M720" s="1" t="s">
        <v>44</v>
      </c>
      <c r="N720" s="3">
        <v>199.68</v>
      </c>
      <c r="O720" s="1" t="s">
        <v>2264</v>
      </c>
      <c r="P720" s="1" t="s">
        <v>2076</v>
      </c>
      <c r="Q720" s="1" t="str">
        <f>TEXT((Data[[#This Row],[Order_Date]]), "mmm")</f>
        <v>Nov</v>
      </c>
    </row>
    <row r="721" spans="4:17" x14ac:dyDescent="0.3">
      <c r="D721" s="1" t="s">
        <v>783</v>
      </c>
      <c r="E721" s="2">
        <v>45504</v>
      </c>
      <c r="F721" s="2">
        <v>45511</v>
      </c>
      <c r="G721" s="1" t="s">
        <v>36</v>
      </c>
      <c r="H721" s="1" t="s">
        <v>17</v>
      </c>
      <c r="I721" s="1" t="s">
        <v>18</v>
      </c>
      <c r="J721" s="1" t="s">
        <v>90</v>
      </c>
      <c r="K721" s="3">
        <v>426.44</v>
      </c>
      <c r="L721" s="1">
        <v>1</v>
      </c>
      <c r="M721" s="1" t="s">
        <v>34</v>
      </c>
      <c r="N721" s="3">
        <v>134.02000000000001</v>
      </c>
      <c r="O721" s="1" t="s">
        <v>2259</v>
      </c>
      <c r="P721" s="1" t="s">
        <v>2076</v>
      </c>
      <c r="Q721" s="1" t="str">
        <f>TEXT((Data[[#This Row],[Order_Date]]), "mmm")</f>
        <v>Jul</v>
      </c>
    </row>
    <row r="722" spans="4:17" x14ac:dyDescent="0.3">
      <c r="D722" s="1" t="s">
        <v>784</v>
      </c>
      <c r="E722" s="2">
        <v>45373</v>
      </c>
      <c r="F722" s="2">
        <v>45375</v>
      </c>
      <c r="G722" s="1" t="s">
        <v>11</v>
      </c>
      <c r="H722" s="1" t="s">
        <v>17</v>
      </c>
      <c r="I722" s="1" t="s">
        <v>27</v>
      </c>
      <c r="J722" s="1" t="s">
        <v>108</v>
      </c>
      <c r="K722" s="3">
        <v>677.38</v>
      </c>
      <c r="L722" s="1">
        <v>8</v>
      </c>
      <c r="M722" s="1" t="s">
        <v>20</v>
      </c>
      <c r="N722" s="3">
        <v>148.07</v>
      </c>
      <c r="O722" s="1" t="s">
        <v>2207</v>
      </c>
      <c r="P722" s="1" t="s">
        <v>2076</v>
      </c>
      <c r="Q722" s="1" t="str">
        <f>TEXT((Data[[#This Row],[Order_Date]]), "mmm")</f>
        <v>Mar</v>
      </c>
    </row>
    <row r="723" spans="4:17" x14ac:dyDescent="0.3">
      <c r="D723" s="1" t="s">
        <v>785</v>
      </c>
      <c r="E723" s="2">
        <v>45466</v>
      </c>
      <c r="F723" s="2">
        <v>45471</v>
      </c>
      <c r="G723" s="1" t="s">
        <v>11</v>
      </c>
      <c r="H723" s="1" t="s">
        <v>12</v>
      </c>
      <c r="I723" s="1" t="s">
        <v>13</v>
      </c>
      <c r="J723" s="1" t="s">
        <v>14</v>
      </c>
      <c r="K723" s="3">
        <v>3450.28</v>
      </c>
      <c r="L723" s="1">
        <v>17</v>
      </c>
      <c r="M723" s="1" t="s">
        <v>29</v>
      </c>
      <c r="N723" s="3">
        <v>865.49</v>
      </c>
      <c r="O723" s="1" t="s">
        <v>2119</v>
      </c>
      <c r="P723" s="1" t="s">
        <v>2071</v>
      </c>
      <c r="Q723" s="1" t="str">
        <f>TEXT((Data[[#This Row],[Order_Date]]), "mmm")</f>
        <v>Jun</v>
      </c>
    </row>
    <row r="724" spans="4:17" x14ac:dyDescent="0.3">
      <c r="D724" s="1" t="s">
        <v>786</v>
      </c>
      <c r="E724" s="2">
        <v>45516</v>
      </c>
      <c r="F724" s="2">
        <v>45523</v>
      </c>
      <c r="G724" s="1" t="s">
        <v>11</v>
      </c>
      <c r="H724" s="1" t="s">
        <v>17</v>
      </c>
      <c r="I724" s="1" t="s">
        <v>32</v>
      </c>
      <c r="J724" s="1" t="s">
        <v>56</v>
      </c>
      <c r="K724" s="3">
        <v>3338.54</v>
      </c>
      <c r="L724" s="1">
        <v>2</v>
      </c>
      <c r="M724" s="1" t="s">
        <v>29</v>
      </c>
      <c r="N724" s="3">
        <v>272.5</v>
      </c>
      <c r="O724" s="1" t="s">
        <v>2303</v>
      </c>
      <c r="P724" s="1" t="s">
        <v>2078</v>
      </c>
      <c r="Q724" s="1" t="str">
        <f>TEXT((Data[[#This Row],[Order_Date]]), "mmm")</f>
        <v>Aug</v>
      </c>
    </row>
    <row r="725" spans="4:17" x14ac:dyDescent="0.3">
      <c r="D725" s="1" t="s">
        <v>787</v>
      </c>
      <c r="E725" s="2">
        <v>45397</v>
      </c>
      <c r="F725" s="2">
        <v>45402</v>
      </c>
      <c r="G725" s="1" t="s">
        <v>22</v>
      </c>
      <c r="H725" s="1" t="s">
        <v>12</v>
      </c>
      <c r="I725" s="1" t="s">
        <v>13</v>
      </c>
      <c r="J725" s="1" t="s">
        <v>96</v>
      </c>
      <c r="K725" s="3">
        <v>3107.37</v>
      </c>
      <c r="L725" s="1">
        <v>16</v>
      </c>
      <c r="M725" s="1" t="s">
        <v>15</v>
      </c>
      <c r="N725" s="3">
        <v>966.85</v>
      </c>
      <c r="O725" s="1" t="s">
        <v>2262</v>
      </c>
      <c r="P725" s="1" t="s">
        <v>2071</v>
      </c>
      <c r="Q725" s="1" t="str">
        <f>TEXT((Data[[#This Row],[Order_Date]]), "mmm")</f>
        <v>Apr</v>
      </c>
    </row>
    <row r="726" spans="4:17" x14ac:dyDescent="0.3">
      <c r="D726" s="1" t="s">
        <v>788</v>
      </c>
      <c r="E726" s="2">
        <v>45478</v>
      </c>
      <c r="F726" s="2">
        <v>45483</v>
      </c>
      <c r="G726" s="1" t="s">
        <v>22</v>
      </c>
      <c r="H726" s="1" t="s">
        <v>17</v>
      </c>
      <c r="I726" s="1" t="s">
        <v>18</v>
      </c>
      <c r="J726" s="1" t="s">
        <v>54</v>
      </c>
      <c r="K726" s="3">
        <v>3886.14</v>
      </c>
      <c r="L726" s="1">
        <v>1</v>
      </c>
      <c r="M726" s="1" t="s">
        <v>44</v>
      </c>
      <c r="N726" s="3">
        <v>1167.57</v>
      </c>
      <c r="O726" s="1" t="s">
        <v>2147</v>
      </c>
      <c r="P726" s="1" t="s">
        <v>2071</v>
      </c>
      <c r="Q726" s="1" t="str">
        <f>TEXT((Data[[#This Row],[Order_Date]]), "mmm")</f>
        <v>Jul</v>
      </c>
    </row>
    <row r="727" spans="4:17" x14ac:dyDescent="0.3">
      <c r="D727" s="1" t="s">
        <v>789</v>
      </c>
      <c r="E727" s="2">
        <v>45438</v>
      </c>
      <c r="F727" s="2">
        <v>45440</v>
      </c>
      <c r="G727" s="1" t="s">
        <v>11</v>
      </c>
      <c r="H727" s="1" t="s">
        <v>23</v>
      </c>
      <c r="I727" s="1" t="s">
        <v>24</v>
      </c>
      <c r="J727" s="1" t="s">
        <v>150</v>
      </c>
      <c r="K727" s="3">
        <v>3080.67</v>
      </c>
      <c r="L727" s="1">
        <v>12</v>
      </c>
      <c r="M727" s="1" t="s">
        <v>15</v>
      </c>
      <c r="N727" s="3">
        <v>768.62</v>
      </c>
      <c r="O727" s="1" t="s">
        <v>2212</v>
      </c>
      <c r="P727" s="1" t="s">
        <v>2076</v>
      </c>
      <c r="Q727" s="1" t="str">
        <f>TEXT((Data[[#This Row],[Order_Date]]), "mmm")</f>
        <v>May</v>
      </c>
    </row>
    <row r="728" spans="4:17" x14ac:dyDescent="0.3">
      <c r="D728" s="1" t="s">
        <v>790</v>
      </c>
      <c r="E728" s="2">
        <v>45563</v>
      </c>
      <c r="F728" s="2">
        <v>45569</v>
      </c>
      <c r="G728" s="1" t="s">
        <v>22</v>
      </c>
      <c r="H728" s="1" t="s">
        <v>17</v>
      </c>
      <c r="I728" s="1" t="s">
        <v>27</v>
      </c>
      <c r="J728" s="1" t="s">
        <v>108</v>
      </c>
      <c r="K728" s="3">
        <v>3692.58</v>
      </c>
      <c r="L728" s="1">
        <v>15</v>
      </c>
      <c r="M728" s="1" t="s">
        <v>29</v>
      </c>
      <c r="N728" s="3">
        <v>1064.8699999999999</v>
      </c>
      <c r="O728" s="1" t="s">
        <v>2304</v>
      </c>
      <c r="P728" s="1" t="s">
        <v>2071</v>
      </c>
      <c r="Q728" s="1" t="str">
        <f>TEXT((Data[[#This Row],[Order_Date]]), "mmm")</f>
        <v>Sep</v>
      </c>
    </row>
    <row r="729" spans="4:17" x14ac:dyDescent="0.3">
      <c r="D729" s="1" t="s">
        <v>791</v>
      </c>
      <c r="E729" s="2">
        <v>45307</v>
      </c>
      <c r="F729" s="2">
        <v>45314</v>
      </c>
      <c r="G729" s="1" t="s">
        <v>22</v>
      </c>
      <c r="H729" s="1" t="s">
        <v>17</v>
      </c>
      <c r="I729" s="1" t="s">
        <v>32</v>
      </c>
      <c r="J729" s="1" t="s">
        <v>56</v>
      </c>
      <c r="K729" s="3">
        <v>567.91999999999996</v>
      </c>
      <c r="L729" s="1">
        <v>11</v>
      </c>
      <c r="M729" s="1" t="s">
        <v>49</v>
      </c>
      <c r="N729" s="3">
        <v>195.7</v>
      </c>
      <c r="O729" s="1" t="s">
        <v>2198</v>
      </c>
      <c r="P729" s="1" t="s">
        <v>2076</v>
      </c>
      <c r="Q729" s="1" t="str">
        <f>TEXT((Data[[#This Row],[Order_Date]]), "mmm")</f>
        <v>Jan</v>
      </c>
    </row>
    <row r="730" spans="4:17" x14ac:dyDescent="0.3">
      <c r="D730" s="1" t="s">
        <v>792</v>
      </c>
      <c r="E730" s="2">
        <v>45323</v>
      </c>
      <c r="F730" s="2">
        <v>45329</v>
      </c>
      <c r="G730" s="1" t="s">
        <v>11</v>
      </c>
      <c r="H730" s="1" t="s">
        <v>12</v>
      </c>
      <c r="I730" s="1" t="s">
        <v>58</v>
      </c>
      <c r="J730" s="1" t="s">
        <v>59</v>
      </c>
      <c r="K730" s="3">
        <v>466.79</v>
      </c>
      <c r="L730" s="1">
        <v>17</v>
      </c>
      <c r="M730" s="1" t="s">
        <v>34</v>
      </c>
      <c r="N730" s="3">
        <v>82.06</v>
      </c>
      <c r="O730" s="1" t="s">
        <v>2204</v>
      </c>
      <c r="P730" s="1" t="s">
        <v>2071</v>
      </c>
      <c r="Q730" s="1" t="str">
        <f>TEXT((Data[[#This Row],[Order_Date]]), "mmm")</f>
        <v>Feb</v>
      </c>
    </row>
    <row r="731" spans="4:17" x14ac:dyDescent="0.3">
      <c r="D731" s="1" t="s">
        <v>793</v>
      </c>
      <c r="E731" s="2">
        <v>45650</v>
      </c>
      <c r="F731" s="2">
        <v>45654</v>
      </c>
      <c r="G731" s="1" t="s">
        <v>36</v>
      </c>
      <c r="H731" s="1" t="s">
        <v>23</v>
      </c>
      <c r="I731" s="1" t="s">
        <v>61</v>
      </c>
      <c r="J731" s="1" t="s">
        <v>98</v>
      </c>
      <c r="K731" s="3">
        <v>3625.78</v>
      </c>
      <c r="L731" s="1">
        <v>20</v>
      </c>
      <c r="M731" s="1" t="s">
        <v>44</v>
      </c>
      <c r="N731" s="3">
        <v>943.02</v>
      </c>
      <c r="O731" s="1" t="s">
        <v>2286</v>
      </c>
      <c r="P731" s="1" t="s">
        <v>2078</v>
      </c>
      <c r="Q731" s="1" t="str">
        <f>TEXT((Data[[#This Row],[Order_Date]]), "mmm")</f>
        <v>Dec</v>
      </c>
    </row>
    <row r="732" spans="4:17" x14ac:dyDescent="0.3">
      <c r="D732" s="1" t="s">
        <v>794</v>
      </c>
      <c r="E732" s="2">
        <v>45397</v>
      </c>
      <c r="F732" s="2">
        <v>45404</v>
      </c>
      <c r="G732" s="1" t="s">
        <v>36</v>
      </c>
      <c r="H732" s="1" t="s">
        <v>12</v>
      </c>
      <c r="I732" s="1" t="s">
        <v>42</v>
      </c>
      <c r="J732" s="1" t="s">
        <v>72</v>
      </c>
      <c r="K732" s="3">
        <v>3553.66</v>
      </c>
      <c r="L732" s="1">
        <v>3</v>
      </c>
      <c r="M732" s="1" t="s">
        <v>20</v>
      </c>
      <c r="N732" s="3">
        <v>750.64</v>
      </c>
      <c r="O732" s="1" t="s">
        <v>2146</v>
      </c>
      <c r="P732" s="1" t="s">
        <v>2071</v>
      </c>
      <c r="Q732" s="1" t="str">
        <f>TEXT((Data[[#This Row],[Order_Date]]), "mmm")</f>
        <v>Apr</v>
      </c>
    </row>
    <row r="733" spans="4:17" x14ac:dyDescent="0.3">
      <c r="D733" s="1" t="s">
        <v>795</v>
      </c>
      <c r="E733" s="2">
        <v>45356</v>
      </c>
      <c r="F733" s="2">
        <v>45360</v>
      </c>
      <c r="G733" s="1" t="s">
        <v>22</v>
      </c>
      <c r="H733" s="1" t="s">
        <v>17</v>
      </c>
      <c r="I733" s="1" t="s">
        <v>32</v>
      </c>
      <c r="J733" s="1" t="s">
        <v>33</v>
      </c>
      <c r="K733" s="3">
        <v>2205.0100000000002</v>
      </c>
      <c r="L733" s="1">
        <v>6</v>
      </c>
      <c r="M733" s="1" t="s">
        <v>20</v>
      </c>
      <c r="N733" s="3">
        <v>128.69999999999999</v>
      </c>
      <c r="O733" s="1" t="s">
        <v>2268</v>
      </c>
      <c r="P733" s="1" t="s">
        <v>2071</v>
      </c>
      <c r="Q733" s="1" t="str">
        <f>TEXT((Data[[#This Row],[Order_Date]]), "mmm")</f>
        <v>Mar</v>
      </c>
    </row>
    <row r="734" spans="4:17" x14ac:dyDescent="0.3">
      <c r="D734" s="1" t="s">
        <v>796</v>
      </c>
      <c r="E734" s="2">
        <v>45595</v>
      </c>
      <c r="F734" s="2">
        <v>45599</v>
      </c>
      <c r="G734" s="1" t="s">
        <v>22</v>
      </c>
      <c r="H734" s="1" t="s">
        <v>23</v>
      </c>
      <c r="I734" s="1" t="s">
        <v>65</v>
      </c>
      <c r="J734" s="1" t="s">
        <v>122</v>
      </c>
      <c r="K734" s="3">
        <v>664.16</v>
      </c>
      <c r="L734" s="1">
        <v>2</v>
      </c>
      <c r="M734" s="1" t="s">
        <v>34</v>
      </c>
      <c r="N734" s="3">
        <v>84.96</v>
      </c>
      <c r="O734" s="1" t="s">
        <v>2070</v>
      </c>
      <c r="P734" s="1" t="s">
        <v>2071</v>
      </c>
      <c r="Q734" s="1" t="str">
        <f>TEXT((Data[[#This Row],[Order_Date]]), "mmm")</f>
        <v>Oct</v>
      </c>
    </row>
    <row r="735" spans="4:17" x14ac:dyDescent="0.3">
      <c r="D735" s="1" t="s">
        <v>797</v>
      </c>
      <c r="E735" s="2">
        <v>45355</v>
      </c>
      <c r="F735" s="2">
        <v>45355</v>
      </c>
      <c r="G735" s="1" t="s">
        <v>11</v>
      </c>
      <c r="H735" s="1" t="s">
        <v>23</v>
      </c>
      <c r="I735" s="1" t="s">
        <v>24</v>
      </c>
      <c r="J735" s="1" t="s">
        <v>150</v>
      </c>
      <c r="K735" s="3">
        <v>3013.22</v>
      </c>
      <c r="L735" s="1">
        <v>15</v>
      </c>
      <c r="M735" s="1" t="s">
        <v>34</v>
      </c>
      <c r="N735" s="3">
        <v>1039.21</v>
      </c>
      <c r="O735" s="1" t="s">
        <v>2279</v>
      </c>
      <c r="P735" s="1" t="s">
        <v>2078</v>
      </c>
      <c r="Q735" s="1" t="str">
        <f>TEXT((Data[[#This Row],[Order_Date]]), "mmm")</f>
        <v>Mar</v>
      </c>
    </row>
    <row r="736" spans="4:17" x14ac:dyDescent="0.3">
      <c r="D736" s="1" t="s">
        <v>798</v>
      </c>
      <c r="E736" s="2">
        <v>45589</v>
      </c>
      <c r="F736" s="2">
        <v>45592</v>
      </c>
      <c r="G736" s="1" t="s">
        <v>36</v>
      </c>
      <c r="H736" s="1" t="s">
        <v>23</v>
      </c>
      <c r="I736" s="1" t="s">
        <v>24</v>
      </c>
      <c r="J736" s="1" t="s">
        <v>150</v>
      </c>
      <c r="K736" s="3">
        <v>3192.96</v>
      </c>
      <c r="L736" s="1">
        <v>19</v>
      </c>
      <c r="M736" s="1" t="s">
        <v>15</v>
      </c>
      <c r="N736" s="3">
        <v>293.73</v>
      </c>
      <c r="O736" s="1" t="s">
        <v>2159</v>
      </c>
      <c r="P736" s="1" t="s">
        <v>2078</v>
      </c>
      <c r="Q736" s="1" t="str">
        <f>TEXT((Data[[#This Row],[Order_Date]]), "mmm")</f>
        <v>Oct</v>
      </c>
    </row>
    <row r="737" spans="4:17" x14ac:dyDescent="0.3">
      <c r="D737" s="1" t="s">
        <v>799</v>
      </c>
      <c r="E737" s="2">
        <v>45418</v>
      </c>
      <c r="F737" s="2">
        <v>45419</v>
      </c>
      <c r="G737" s="1" t="s">
        <v>36</v>
      </c>
      <c r="H737" s="1" t="s">
        <v>12</v>
      </c>
      <c r="I737" s="1" t="s">
        <v>58</v>
      </c>
      <c r="J737" s="1" t="s">
        <v>105</v>
      </c>
      <c r="K737" s="3">
        <v>1953.66</v>
      </c>
      <c r="L737" s="1">
        <v>5</v>
      </c>
      <c r="M737" s="1" t="s">
        <v>15</v>
      </c>
      <c r="N737" s="3">
        <v>347.18</v>
      </c>
      <c r="O737" s="1" t="s">
        <v>2072</v>
      </c>
      <c r="P737" s="1" t="s">
        <v>2071</v>
      </c>
      <c r="Q737" s="1" t="str">
        <f>TEXT((Data[[#This Row],[Order_Date]]), "mmm")</f>
        <v>May</v>
      </c>
    </row>
    <row r="738" spans="4:17" x14ac:dyDescent="0.3">
      <c r="D738" s="1" t="s">
        <v>800</v>
      </c>
      <c r="E738" s="2">
        <v>45339</v>
      </c>
      <c r="F738" s="2">
        <v>45339</v>
      </c>
      <c r="G738" s="1" t="s">
        <v>31</v>
      </c>
      <c r="H738" s="1" t="s">
        <v>17</v>
      </c>
      <c r="I738" s="1" t="s">
        <v>27</v>
      </c>
      <c r="J738" s="1" t="s">
        <v>132</v>
      </c>
      <c r="K738" s="3">
        <v>1923.12</v>
      </c>
      <c r="L738" s="1">
        <v>12</v>
      </c>
      <c r="M738" s="1" t="s">
        <v>15</v>
      </c>
      <c r="N738" s="3">
        <v>399.77</v>
      </c>
      <c r="O738" s="1" t="s">
        <v>2213</v>
      </c>
      <c r="P738" s="1" t="s">
        <v>2078</v>
      </c>
      <c r="Q738" s="1" t="str">
        <f>TEXT((Data[[#This Row],[Order_Date]]), "mmm")</f>
        <v>Feb</v>
      </c>
    </row>
    <row r="739" spans="4:17" x14ac:dyDescent="0.3">
      <c r="D739" s="1" t="s">
        <v>801</v>
      </c>
      <c r="E739" s="2">
        <v>45557</v>
      </c>
      <c r="F739" s="2">
        <v>45563</v>
      </c>
      <c r="G739" s="1" t="s">
        <v>36</v>
      </c>
      <c r="H739" s="1" t="s">
        <v>12</v>
      </c>
      <c r="I739" s="1" t="s">
        <v>42</v>
      </c>
      <c r="J739" s="1" t="s">
        <v>43</v>
      </c>
      <c r="K739" s="3">
        <v>3986.92</v>
      </c>
      <c r="L739" s="1">
        <v>16</v>
      </c>
      <c r="M739" s="1" t="s">
        <v>15</v>
      </c>
      <c r="N739" s="3">
        <v>1363.45</v>
      </c>
      <c r="O739" s="1" t="s">
        <v>2262</v>
      </c>
      <c r="P739" s="1" t="s">
        <v>2076</v>
      </c>
      <c r="Q739" s="1" t="str">
        <f>TEXT((Data[[#This Row],[Order_Date]]), "mmm")</f>
        <v>Sep</v>
      </c>
    </row>
    <row r="740" spans="4:17" x14ac:dyDescent="0.3">
      <c r="D740" s="1" t="s">
        <v>802</v>
      </c>
      <c r="E740" s="2">
        <v>45365</v>
      </c>
      <c r="F740" s="2">
        <v>45367</v>
      </c>
      <c r="G740" s="1" t="s">
        <v>31</v>
      </c>
      <c r="H740" s="1" t="s">
        <v>12</v>
      </c>
      <c r="I740" s="1" t="s">
        <v>42</v>
      </c>
      <c r="J740" s="1" t="s">
        <v>72</v>
      </c>
      <c r="K740" s="3">
        <v>3880.12</v>
      </c>
      <c r="L740" s="1">
        <v>17</v>
      </c>
      <c r="M740" s="1" t="s">
        <v>29</v>
      </c>
      <c r="N740" s="3">
        <v>331.43</v>
      </c>
      <c r="O740" s="1" t="s">
        <v>2259</v>
      </c>
      <c r="P740" s="1" t="s">
        <v>2078</v>
      </c>
      <c r="Q740" s="1" t="str">
        <f>TEXT((Data[[#This Row],[Order_Date]]), "mmm")</f>
        <v>Mar</v>
      </c>
    </row>
    <row r="741" spans="4:17" x14ac:dyDescent="0.3">
      <c r="D741" s="1" t="s">
        <v>803</v>
      </c>
      <c r="E741" s="2">
        <v>45534</v>
      </c>
      <c r="F741" s="2">
        <v>45534</v>
      </c>
      <c r="G741" s="1" t="s">
        <v>22</v>
      </c>
      <c r="H741" s="1" t="s">
        <v>12</v>
      </c>
      <c r="I741" s="1" t="s">
        <v>13</v>
      </c>
      <c r="J741" s="1" t="s">
        <v>51</v>
      </c>
      <c r="K741" s="3">
        <v>2506</v>
      </c>
      <c r="L741" s="1">
        <v>14</v>
      </c>
      <c r="M741" s="1" t="s">
        <v>20</v>
      </c>
      <c r="N741" s="3">
        <v>216.17</v>
      </c>
      <c r="O741" s="1" t="s">
        <v>2277</v>
      </c>
      <c r="P741" s="1" t="s">
        <v>2076</v>
      </c>
      <c r="Q741" s="1" t="str">
        <f>TEXT((Data[[#This Row],[Order_Date]]), "mmm")</f>
        <v>Aug</v>
      </c>
    </row>
    <row r="742" spans="4:17" x14ac:dyDescent="0.3">
      <c r="D742" s="1" t="s">
        <v>804</v>
      </c>
      <c r="E742" s="2">
        <v>45312</v>
      </c>
      <c r="F742" s="2">
        <v>45314</v>
      </c>
      <c r="G742" s="1" t="s">
        <v>11</v>
      </c>
      <c r="H742" s="1" t="s">
        <v>23</v>
      </c>
      <c r="I742" s="1" t="s">
        <v>24</v>
      </c>
      <c r="J742" s="1" t="s">
        <v>93</v>
      </c>
      <c r="K742" s="3">
        <v>1387.23</v>
      </c>
      <c r="L742" s="1">
        <v>16</v>
      </c>
      <c r="M742" s="1" t="s">
        <v>20</v>
      </c>
      <c r="N742" s="3">
        <v>-398.64</v>
      </c>
      <c r="O742" s="1" t="s">
        <v>2110</v>
      </c>
      <c r="P742" s="1" t="s">
        <v>2076</v>
      </c>
      <c r="Q742" s="1" t="str">
        <f>TEXT((Data[[#This Row],[Order_Date]]), "mmm")</f>
        <v>Jan</v>
      </c>
    </row>
    <row r="743" spans="4:17" x14ac:dyDescent="0.3">
      <c r="D743" s="1" t="s">
        <v>805</v>
      </c>
      <c r="E743" s="2">
        <v>45593</v>
      </c>
      <c r="F743" s="2">
        <v>45599</v>
      </c>
      <c r="G743" s="1" t="s">
        <v>11</v>
      </c>
      <c r="H743" s="1" t="s">
        <v>23</v>
      </c>
      <c r="I743" s="1" t="s">
        <v>24</v>
      </c>
      <c r="J743" s="1" t="s">
        <v>25</v>
      </c>
      <c r="K743" s="3">
        <v>936.54</v>
      </c>
      <c r="L743" s="1">
        <v>16</v>
      </c>
      <c r="M743" s="1" t="s">
        <v>20</v>
      </c>
      <c r="N743" s="3">
        <v>81.2</v>
      </c>
      <c r="O743" s="1" t="s">
        <v>2256</v>
      </c>
      <c r="P743" s="1" t="s">
        <v>2071</v>
      </c>
      <c r="Q743" s="1" t="str">
        <f>TEXT((Data[[#This Row],[Order_Date]]), "mmm")</f>
        <v>Oct</v>
      </c>
    </row>
    <row r="744" spans="4:17" x14ac:dyDescent="0.3">
      <c r="D744" s="1" t="s">
        <v>806</v>
      </c>
      <c r="E744" s="2">
        <v>45314</v>
      </c>
      <c r="F744" s="2">
        <v>45320</v>
      </c>
      <c r="G744" s="1" t="s">
        <v>31</v>
      </c>
      <c r="H744" s="1" t="s">
        <v>12</v>
      </c>
      <c r="I744" s="1" t="s">
        <v>13</v>
      </c>
      <c r="J744" s="1" t="s">
        <v>96</v>
      </c>
      <c r="K744" s="3">
        <v>3626.08</v>
      </c>
      <c r="L744" s="1">
        <v>13</v>
      </c>
      <c r="M744" s="1" t="s">
        <v>49</v>
      </c>
      <c r="N744" s="3">
        <v>1089.05</v>
      </c>
      <c r="O744" s="1" t="s">
        <v>2278</v>
      </c>
      <c r="P744" s="1" t="s">
        <v>2078</v>
      </c>
      <c r="Q744" s="1" t="str">
        <f>TEXT((Data[[#This Row],[Order_Date]]), "mmm")</f>
        <v>Jan</v>
      </c>
    </row>
    <row r="745" spans="4:17" x14ac:dyDescent="0.3">
      <c r="D745" s="1" t="s">
        <v>807</v>
      </c>
      <c r="E745" s="2">
        <v>45359</v>
      </c>
      <c r="F745" s="2">
        <v>45361</v>
      </c>
      <c r="G745" s="1" t="s">
        <v>31</v>
      </c>
      <c r="H745" s="1" t="s">
        <v>23</v>
      </c>
      <c r="I745" s="1" t="s">
        <v>65</v>
      </c>
      <c r="J745" s="1" t="s">
        <v>66</v>
      </c>
      <c r="K745" s="3">
        <v>3498.8</v>
      </c>
      <c r="L745" s="1">
        <v>11</v>
      </c>
      <c r="M745" s="1" t="s">
        <v>20</v>
      </c>
      <c r="N745" s="3">
        <v>1014.45</v>
      </c>
      <c r="O745" s="1" t="s">
        <v>2257</v>
      </c>
      <c r="P745" s="1" t="s">
        <v>2078</v>
      </c>
      <c r="Q745" s="1" t="str">
        <f>TEXT((Data[[#This Row],[Order_Date]]), "mmm")</f>
        <v>Mar</v>
      </c>
    </row>
    <row r="746" spans="4:17" x14ac:dyDescent="0.3">
      <c r="D746" s="1" t="s">
        <v>808</v>
      </c>
      <c r="E746" s="2">
        <v>45501</v>
      </c>
      <c r="F746" s="2">
        <v>45507</v>
      </c>
      <c r="G746" s="1" t="s">
        <v>22</v>
      </c>
      <c r="H746" s="1" t="s">
        <v>23</v>
      </c>
      <c r="I746" s="1" t="s">
        <v>24</v>
      </c>
      <c r="J746" s="1" t="s">
        <v>150</v>
      </c>
      <c r="K746" s="3">
        <v>421.82</v>
      </c>
      <c r="L746" s="1">
        <v>15</v>
      </c>
      <c r="M746" s="1" t="s">
        <v>15</v>
      </c>
      <c r="N746" s="3">
        <v>-56.19</v>
      </c>
      <c r="O746" s="1" t="s">
        <v>2274</v>
      </c>
      <c r="P746" s="1" t="s">
        <v>2076</v>
      </c>
      <c r="Q746" s="1" t="str">
        <f>TEXT((Data[[#This Row],[Order_Date]]), "mmm")</f>
        <v>Jul</v>
      </c>
    </row>
    <row r="747" spans="4:17" x14ac:dyDescent="0.3">
      <c r="D747" s="1" t="s">
        <v>809</v>
      </c>
      <c r="E747" s="2">
        <v>45376</v>
      </c>
      <c r="F747" s="2">
        <v>45376</v>
      </c>
      <c r="G747" s="1" t="s">
        <v>36</v>
      </c>
      <c r="H747" s="1" t="s">
        <v>12</v>
      </c>
      <c r="I747" s="1" t="s">
        <v>38</v>
      </c>
      <c r="J747" s="1" t="s">
        <v>39</v>
      </c>
      <c r="K747" s="3">
        <v>2347.5700000000002</v>
      </c>
      <c r="L747" s="1">
        <v>7</v>
      </c>
      <c r="M747" s="1" t="s">
        <v>29</v>
      </c>
      <c r="N747" s="3">
        <v>498.98</v>
      </c>
      <c r="O747" s="1" t="s">
        <v>2304</v>
      </c>
      <c r="P747" s="1" t="s">
        <v>2071</v>
      </c>
      <c r="Q747" s="1" t="str">
        <f>TEXT((Data[[#This Row],[Order_Date]]), "mmm")</f>
        <v>Mar</v>
      </c>
    </row>
    <row r="748" spans="4:17" x14ac:dyDescent="0.3">
      <c r="D748" s="1" t="s">
        <v>810</v>
      </c>
      <c r="E748" s="2">
        <v>45583</v>
      </c>
      <c r="F748" s="2">
        <v>45586</v>
      </c>
      <c r="G748" s="1" t="s">
        <v>31</v>
      </c>
      <c r="H748" s="1" t="s">
        <v>12</v>
      </c>
      <c r="I748" s="1" t="s">
        <v>38</v>
      </c>
      <c r="J748" s="1" t="s">
        <v>81</v>
      </c>
      <c r="K748" s="3">
        <v>2718.45</v>
      </c>
      <c r="L748" s="1">
        <v>18</v>
      </c>
      <c r="M748" s="1" t="s">
        <v>44</v>
      </c>
      <c r="N748" s="3">
        <v>920.77</v>
      </c>
      <c r="O748" s="1" t="s">
        <v>2260</v>
      </c>
      <c r="P748" s="1" t="s">
        <v>2076</v>
      </c>
      <c r="Q748" s="1" t="str">
        <f>TEXT((Data[[#This Row],[Order_Date]]), "mmm")</f>
        <v>Oct</v>
      </c>
    </row>
    <row r="749" spans="4:17" x14ac:dyDescent="0.3">
      <c r="D749" s="1" t="s">
        <v>811</v>
      </c>
      <c r="E749" s="2">
        <v>45397</v>
      </c>
      <c r="F749" s="2">
        <v>45400</v>
      </c>
      <c r="G749" s="1" t="s">
        <v>31</v>
      </c>
      <c r="H749" s="1" t="s">
        <v>17</v>
      </c>
      <c r="I749" s="1" t="s">
        <v>32</v>
      </c>
      <c r="J749" s="1" t="s">
        <v>33</v>
      </c>
      <c r="K749" s="3">
        <v>1756.74</v>
      </c>
      <c r="L749" s="1">
        <v>2</v>
      </c>
      <c r="M749" s="1" t="s">
        <v>49</v>
      </c>
      <c r="N749" s="3">
        <v>-542.12</v>
      </c>
      <c r="O749" s="1" t="s">
        <v>2230</v>
      </c>
      <c r="P749" s="1" t="s">
        <v>2078</v>
      </c>
      <c r="Q749" s="1" t="str">
        <f>TEXT((Data[[#This Row],[Order_Date]]), "mmm")</f>
        <v>Apr</v>
      </c>
    </row>
    <row r="750" spans="4:17" x14ac:dyDescent="0.3">
      <c r="D750" s="1" t="s">
        <v>812</v>
      </c>
      <c r="E750" s="2">
        <v>45515</v>
      </c>
      <c r="F750" s="2">
        <v>45517</v>
      </c>
      <c r="G750" s="1" t="s">
        <v>31</v>
      </c>
      <c r="H750" s="1" t="s">
        <v>17</v>
      </c>
      <c r="I750" s="1" t="s">
        <v>32</v>
      </c>
      <c r="J750" s="1" t="s">
        <v>33</v>
      </c>
      <c r="K750" s="3">
        <v>1682.54</v>
      </c>
      <c r="L750" s="1">
        <v>3</v>
      </c>
      <c r="M750" s="1" t="s">
        <v>20</v>
      </c>
      <c r="N750" s="3">
        <v>578.69000000000005</v>
      </c>
      <c r="O750" s="1" t="s">
        <v>2152</v>
      </c>
      <c r="P750" s="1" t="s">
        <v>2078</v>
      </c>
      <c r="Q750" s="1" t="str">
        <f>TEXT((Data[[#This Row],[Order_Date]]), "mmm")</f>
        <v>Aug</v>
      </c>
    </row>
    <row r="751" spans="4:17" x14ac:dyDescent="0.3">
      <c r="D751" s="1" t="s">
        <v>813</v>
      </c>
      <c r="E751" s="2">
        <v>45438</v>
      </c>
      <c r="F751" s="2">
        <v>45440</v>
      </c>
      <c r="G751" s="1" t="s">
        <v>22</v>
      </c>
      <c r="H751" s="1" t="s">
        <v>23</v>
      </c>
      <c r="I751" s="1" t="s">
        <v>61</v>
      </c>
      <c r="J751" s="1" t="s">
        <v>76</v>
      </c>
      <c r="K751" s="3">
        <v>1400.48</v>
      </c>
      <c r="L751" s="1">
        <v>14</v>
      </c>
      <c r="M751" s="1" t="s">
        <v>15</v>
      </c>
      <c r="N751" s="3">
        <v>141.11000000000001</v>
      </c>
      <c r="O751" s="1" t="s">
        <v>2262</v>
      </c>
      <c r="P751" s="1" t="s">
        <v>2076</v>
      </c>
      <c r="Q751" s="1" t="str">
        <f>TEXT((Data[[#This Row],[Order_Date]]), "mmm")</f>
        <v>May</v>
      </c>
    </row>
    <row r="752" spans="4:17" x14ac:dyDescent="0.3">
      <c r="D752" s="1" t="s">
        <v>814</v>
      </c>
      <c r="E752" s="2">
        <v>45458</v>
      </c>
      <c r="F752" s="2">
        <v>45460</v>
      </c>
      <c r="G752" s="1" t="s">
        <v>11</v>
      </c>
      <c r="H752" s="1" t="s">
        <v>12</v>
      </c>
      <c r="I752" s="1" t="s">
        <v>38</v>
      </c>
      <c r="J752" s="1" t="s">
        <v>85</v>
      </c>
      <c r="K752" s="3">
        <v>1712.27</v>
      </c>
      <c r="L752" s="1">
        <v>11</v>
      </c>
      <c r="M752" s="1" t="s">
        <v>44</v>
      </c>
      <c r="N752" s="3">
        <v>297.67</v>
      </c>
      <c r="O752" s="1" t="s">
        <v>2206</v>
      </c>
      <c r="P752" s="1" t="s">
        <v>2076</v>
      </c>
      <c r="Q752" s="1" t="str">
        <f>TEXT((Data[[#This Row],[Order_Date]]), "mmm")</f>
        <v>Jun</v>
      </c>
    </row>
    <row r="753" spans="4:17" x14ac:dyDescent="0.3">
      <c r="D753" s="1" t="s">
        <v>815</v>
      </c>
      <c r="E753" s="2">
        <v>45484</v>
      </c>
      <c r="F753" s="2">
        <v>45485</v>
      </c>
      <c r="G753" s="1" t="s">
        <v>11</v>
      </c>
      <c r="H753" s="1" t="s">
        <v>17</v>
      </c>
      <c r="I753" s="1" t="s">
        <v>18</v>
      </c>
      <c r="J753" s="1" t="s">
        <v>90</v>
      </c>
      <c r="K753" s="3">
        <v>2447.61</v>
      </c>
      <c r="L753" s="1">
        <v>16</v>
      </c>
      <c r="M753" s="1" t="s">
        <v>29</v>
      </c>
      <c r="N753" s="3">
        <v>674.85</v>
      </c>
      <c r="O753" s="1" t="s">
        <v>2287</v>
      </c>
      <c r="P753" s="1" t="s">
        <v>2078</v>
      </c>
      <c r="Q753" s="1" t="str">
        <f>TEXT((Data[[#This Row],[Order_Date]]), "mmm")</f>
        <v>Jul</v>
      </c>
    </row>
    <row r="754" spans="4:17" x14ac:dyDescent="0.3">
      <c r="D754" s="1" t="s">
        <v>816</v>
      </c>
      <c r="E754" s="2">
        <v>45350</v>
      </c>
      <c r="F754" s="2">
        <v>45354</v>
      </c>
      <c r="G754" s="1" t="s">
        <v>11</v>
      </c>
      <c r="H754" s="1" t="s">
        <v>23</v>
      </c>
      <c r="I754" s="1" t="s">
        <v>65</v>
      </c>
      <c r="J754" s="1" t="s">
        <v>122</v>
      </c>
      <c r="K754" s="3">
        <v>1776.54</v>
      </c>
      <c r="L754" s="1">
        <v>16</v>
      </c>
      <c r="M754" s="1" t="s">
        <v>20</v>
      </c>
      <c r="N754" s="3">
        <v>306.01</v>
      </c>
      <c r="O754" s="1" t="s">
        <v>2233</v>
      </c>
      <c r="P754" s="1" t="s">
        <v>2078</v>
      </c>
      <c r="Q754" s="1" t="str">
        <f>TEXT((Data[[#This Row],[Order_Date]]), "mmm")</f>
        <v>Feb</v>
      </c>
    </row>
    <row r="755" spans="4:17" x14ac:dyDescent="0.3">
      <c r="D755" s="1" t="s">
        <v>817</v>
      </c>
      <c r="E755" s="2">
        <v>45301</v>
      </c>
      <c r="F755" s="2">
        <v>45305</v>
      </c>
      <c r="G755" s="1" t="s">
        <v>11</v>
      </c>
      <c r="H755" s="1" t="s">
        <v>17</v>
      </c>
      <c r="I755" s="1" t="s">
        <v>32</v>
      </c>
      <c r="J755" s="1" t="s">
        <v>56</v>
      </c>
      <c r="K755" s="3">
        <v>1392.3</v>
      </c>
      <c r="L755" s="1">
        <v>14</v>
      </c>
      <c r="M755" s="1" t="s">
        <v>49</v>
      </c>
      <c r="N755" s="3">
        <v>104.66</v>
      </c>
      <c r="O755" s="1" t="s">
        <v>2144</v>
      </c>
      <c r="P755" s="1" t="s">
        <v>2076</v>
      </c>
      <c r="Q755" s="1" t="str">
        <f>TEXT((Data[[#This Row],[Order_Date]]), "mmm")</f>
        <v>Jan</v>
      </c>
    </row>
    <row r="756" spans="4:17" x14ac:dyDescent="0.3">
      <c r="D756" s="1" t="s">
        <v>818</v>
      </c>
      <c r="E756" s="2">
        <v>45396</v>
      </c>
      <c r="F756" s="2">
        <v>45398</v>
      </c>
      <c r="G756" s="1" t="s">
        <v>36</v>
      </c>
      <c r="H756" s="1" t="s">
        <v>12</v>
      </c>
      <c r="I756" s="1" t="s">
        <v>58</v>
      </c>
      <c r="J756" s="1" t="s">
        <v>120</v>
      </c>
      <c r="K756" s="3">
        <v>2265.7600000000002</v>
      </c>
      <c r="L756" s="1">
        <v>14</v>
      </c>
      <c r="M756" s="1" t="s">
        <v>29</v>
      </c>
      <c r="N756" s="3">
        <v>-420.35</v>
      </c>
      <c r="O756" s="1" t="s">
        <v>2219</v>
      </c>
      <c r="P756" s="1" t="s">
        <v>2071</v>
      </c>
      <c r="Q756" s="1" t="str">
        <f>TEXT((Data[[#This Row],[Order_Date]]), "mmm")</f>
        <v>Apr</v>
      </c>
    </row>
    <row r="757" spans="4:17" x14ac:dyDescent="0.3">
      <c r="D757" s="1" t="s">
        <v>819</v>
      </c>
      <c r="E757" s="2">
        <v>45529</v>
      </c>
      <c r="F757" s="2">
        <v>45533</v>
      </c>
      <c r="G757" s="1" t="s">
        <v>22</v>
      </c>
      <c r="H757" s="1" t="s">
        <v>17</v>
      </c>
      <c r="I757" s="1" t="s">
        <v>18</v>
      </c>
      <c r="J757" s="1" t="s">
        <v>54</v>
      </c>
      <c r="K757" s="3">
        <v>1274.8900000000001</v>
      </c>
      <c r="L757" s="1">
        <v>9</v>
      </c>
      <c r="M757" s="1" t="s">
        <v>15</v>
      </c>
      <c r="N757" s="3">
        <v>209.14</v>
      </c>
      <c r="O757" s="1" t="s">
        <v>2088</v>
      </c>
      <c r="P757" s="1" t="s">
        <v>2071</v>
      </c>
      <c r="Q757" s="1" t="str">
        <f>TEXT((Data[[#This Row],[Order_Date]]), "mmm")</f>
        <v>Aug</v>
      </c>
    </row>
    <row r="758" spans="4:17" x14ac:dyDescent="0.3">
      <c r="D758" s="1" t="s">
        <v>820</v>
      </c>
      <c r="E758" s="2">
        <v>45615</v>
      </c>
      <c r="F758" s="2">
        <v>45618</v>
      </c>
      <c r="G758" s="1" t="s">
        <v>36</v>
      </c>
      <c r="H758" s="1" t="s">
        <v>17</v>
      </c>
      <c r="I758" s="1" t="s">
        <v>18</v>
      </c>
      <c r="J758" s="1" t="s">
        <v>90</v>
      </c>
      <c r="K758" s="3">
        <v>2252.83</v>
      </c>
      <c r="L758" s="1">
        <v>3</v>
      </c>
      <c r="M758" s="1" t="s">
        <v>34</v>
      </c>
      <c r="N758" s="3">
        <v>173.28</v>
      </c>
      <c r="O758" s="1" t="s">
        <v>2223</v>
      </c>
      <c r="P758" s="1" t="s">
        <v>2076</v>
      </c>
      <c r="Q758" s="1" t="str">
        <f>TEXT((Data[[#This Row],[Order_Date]]), "mmm")</f>
        <v>Nov</v>
      </c>
    </row>
    <row r="759" spans="4:17" x14ac:dyDescent="0.3">
      <c r="D759" s="1" t="s">
        <v>821</v>
      </c>
      <c r="E759" s="2">
        <v>45363</v>
      </c>
      <c r="F759" s="2">
        <v>45367</v>
      </c>
      <c r="G759" s="1" t="s">
        <v>31</v>
      </c>
      <c r="H759" s="1" t="s">
        <v>17</v>
      </c>
      <c r="I759" s="1" t="s">
        <v>32</v>
      </c>
      <c r="J759" s="1" t="s">
        <v>33</v>
      </c>
      <c r="K759" s="3">
        <v>3564.74</v>
      </c>
      <c r="L759" s="1">
        <v>11</v>
      </c>
      <c r="M759" s="1" t="s">
        <v>15</v>
      </c>
      <c r="N759" s="3">
        <v>457.74</v>
      </c>
      <c r="O759" s="1" t="s">
        <v>2291</v>
      </c>
      <c r="P759" s="1" t="s">
        <v>2071</v>
      </c>
      <c r="Q759" s="1" t="str">
        <f>TEXT((Data[[#This Row],[Order_Date]]), "mmm")</f>
        <v>Mar</v>
      </c>
    </row>
    <row r="760" spans="4:17" x14ac:dyDescent="0.3">
      <c r="D760" s="1" t="s">
        <v>822</v>
      </c>
      <c r="E760" s="2">
        <v>45523</v>
      </c>
      <c r="F760" s="2">
        <v>45527</v>
      </c>
      <c r="G760" s="1" t="s">
        <v>22</v>
      </c>
      <c r="H760" s="1" t="s">
        <v>12</v>
      </c>
      <c r="I760" s="1" t="s">
        <v>13</v>
      </c>
      <c r="J760" s="1" t="s">
        <v>129</v>
      </c>
      <c r="K760" s="3">
        <v>1039.8399999999999</v>
      </c>
      <c r="L760" s="1">
        <v>20</v>
      </c>
      <c r="M760" s="1" t="s">
        <v>34</v>
      </c>
      <c r="N760" s="3">
        <v>56.94</v>
      </c>
      <c r="O760" s="1" t="s">
        <v>2115</v>
      </c>
      <c r="P760" s="1" t="s">
        <v>2076</v>
      </c>
      <c r="Q760" s="1" t="str">
        <f>TEXT((Data[[#This Row],[Order_Date]]), "mmm")</f>
        <v>Aug</v>
      </c>
    </row>
    <row r="761" spans="4:17" x14ac:dyDescent="0.3">
      <c r="D761" s="1" t="s">
        <v>823</v>
      </c>
      <c r="E761" s="2">
        <v>45622</v>
      </c>
      <c r="F761" s="2">
        <v>45622</v>
      </c>
      <c r="G761" s="1" t="s">
        <v>31</v>
      </c>
      <c r="H761" s="1" t="s">
        <v>17</v>
      </c>
      <c r="I761" s="1" t="s">
        <v>18</v>
      </c>
      <c r="J761" s="1" t="s">
        <v>90</v>
      </c>
      <c r="K761" s="3">
        <v>900.76</v>
      </c>
      <c r="L761" s="1">
        <v>18</v>
      </c>
      <c r="M761" s="1" t="s">
        <v>15</v>
      </c>
      <c r="N761" s="3">
        <v>235.09</v>
      </c>
      <c r="O761" s="1" t="s">
        <v>2070</v>
      </c>
      <c r="P761" s="1" t="s">
        <v>2076</v>
      </c>
      <c r="Q761" s="1" t="str">
        <f>TEXT((Data[[#This Row],[Order_Date]]), "mmm")</f>
        <v>Nov</v>
      </c>
    </row>
    <row r="762" spans="4:17" x14ac:dyDescent="0.3">
      <c r="D762" s="1" t="s">
        <v>824</v>
      </c>
      <c r="E762" s="2">
        <v>45567</v>
      </c>
      <c r="F762" s="2">
        <v>45568</v>
      </c>
      <c r="G762" s="1" t="s">
        <v>11</v>
      </c>
      <c r="H762" s="1" t="s">
        <v>12</v>
      </c>
      <c r="I762" s="1" t="s">
        <v>38</v>
      </c>
      <c r="J762" s="1" t="s">
        <v>39</v>
      </c>
      <c r="K762" s="3">
        <v>1919.41</v>
      </c>
      <c r="L762" s="1">
        <v>4</v>
      </c>
      <c r="M762" s="1" t="s">
        <v>34</v>
      </c>
      <c r="N762" s="3">
        <v>655.69</v>
      </c>
      <c r="O762" s="1" t="s">
        <v>2188</v>
      </c>
      <c r="P762" s="1" t="s">
        <v>2071</v>
      </c>
      <c r="Q762" s="1" t="str">
        <f>TEXT((Data[[#This Row],[Order_Date]]), "mmm")</f>
        <v>Oct</v>
      </c>
    </row>
    <row r="763" spans="4:17" x14ac:dyDescent="0.3">
      <c r="D763" s="1" t="s">
        <v>825</v>
      </c>
      <c r="E763" s="2">
        <v>45599</v>
      </c>
      <c r="F763" s="2">
        <v>45604</v>
      </c>
      <c r="G763" s="1" t="s">
        <v>31</v>
      </c>
      <c r="H763" s="1" t="s">
        <v>17</v>
      </c>
      <c r="I763" s="1" t="s">
        <v>32</v>
      </c>
      <c r="J763" s="1" t="s">
        <v>56</v>
      </c>
      <c r="K763" s="3">
        <v>717.86</v>
      </c>
      <c r="L763" s="1">
        <v>12</v>
      </c>
      <c r="M763" s="1" t="s">
        <v>44</v>
      </c>
      <c r="N763" s="3">
        <v>131.63999999999999</v>
      </c>
      <c r="O763" s="1" t="s">
        <v>2151</v>
      </c>
      <c r="P763" s="1" t="s">
        <v>2071</v>
      </c>
      <c r="Q763" s="1" t="str">
        <f>TEXT((Data[[#This Row],[Order_Date]]), "mmm")</f>
        <v>Nov</v>
      </c>
    </row>
    <row r="764" spans="4:17" x14ac:dyDescent="0.3">
      <c r="D764" s="1" t="s">
        <v>826</v>
      </c>
      <c r="E764" s="2">
        <v>45302</v>
      </c>
      <c r="F764" s="2">
        <v>45306</v>
      </c>
      <c r="G764" s="1" t="s">
        <v>36</v>
      </c>
      <c r="H764" s="1" t="s">
        <v>17</v>
      </c>
      <c r="I764" s="1" t="s">
        <v>18</v>
      </c>
      <c r="J764" s="1" t="s">
        <v>90</v>
      </c>
      <c r="K764" s="3">
        <v>2594.64</v>
      </c>
      <c r="L764" s="1">
        <v>8</v>
      </c>
      <c r="M764" s="1" t="s">
        <v>44</v>
      </c>
      <c r="N764" s="3">
        <v>892.65</v>
      </c>
      <c r="O764" s="1" t="s">
        <v>2111</v>
      </c>
      <c r="P764" s="1" t="s">
        <v>2078</v>
      </c>
      <c r="Q764" s="1" t="str">
        <f>TEXT((Data[[#This Row],[Order_Date]]), "mmm")</f>
        <v>Jan</v>
      </c>
    </row>
    <row r="765" spans="4:17" x14ac:dyDescent="0.3">
      <c r="D765" s="1" t="s">
        <v>827</v>
      </c>
      <c r="E765" s="2">
        <v>45310</v>
      </c>
      <c r="F765" s="2">
        <v>45314</v>
      </c>
      <c r="G765" s="1" t="s">
        <v>31</v>
      </c>
      <c r="H765" s="1" t="s">
        <v>12</v>
      </c>
      <c r="I765" s="1" t="s">
        <v>58</v>
      </c>
      <c r="J765" s="1" t="s">
        <v>120</v>
      </c>
      <c r="K765" s="3">
        <v>985.33</v>
      </c>
      <c r="L765" s="1">
        <v>13</v>
      </c>
      <c r="M765" s="1" t="s">
        <v>20</v>
      </c>
      <c r="N765" s="3">
        <v>306.41000000000003</v>
      </c>
      <c r="O765" s="1" t="s">
        <v>2132</v>
      </c>
      <c r="P765" s="1" t="s">
        <v>2076</v>
      </c>
      <c r="Q765" s="1" t="str">
        <f>TEXT((Data[[#This Row],[Order_Date]]), "mmm")</f>
        <v>Jan</v>
      </c>
    </row>
    <row r="766" spans="4:17" x14ac:dyDescent="0.3">
      <c r="D766" s="1" t="s">
        <v>828</v>
      </c>
      <c r="E766" s="2">
        <v>45544</v>
      </c>
      <c r="F766" s="2">
        <v>45546</v>
      </c>
      <c r="G766" s="1" t="s">
        <v>22</v>
      </c>
      <c r="H766" s="1" t="s">
        <v>12</v>
      </c>
      <c r="I766" s="1" t="s">
        <v>58</v>
      </c>
      <c r="J766" s="1" t="s">
        <v>120</v>
      </c>
      <c r="K766" s="3">
        <v>2455.62</v>
      </c>
      <c r="L766" s="1">
        <v>3</v>
      </c>
      <c r="M766" s="1" t="s">
        <v>44</v>
      </c>
      <c r="N766" s="3">
        <v>314.04000000000002</v>
      </c>
      <c r="O766" s="1" t="s">
        <v>2214</v>
      </c>
      <c r="P766" s="1" t="s">
        <v>2078</v>
      </c>
      <c r="Q766" s="1" t="str">
        <f>TEXT((Data[[#This Row],[Order_Date]]), "mmm")</f>
        <v>Sep</v>
      </c>
    </row>
    <row r="767" spans="4:17" x14ac:dyDescent="0.3">
      <c r="D767" s="1" t="s">
        <v>829</v>
      </c>
      <c r="E767" s="2">
        <v>45408</v>
      </c>
      <c r="F767" s="2">
        <v>45412</v>
      </c>
      <c r="G767" s="1" t="s">
        <v>22</v>
      </c>
      <c r="H767" s="1" t="s">
        <v>12</v>
      </c>
      <c r="I767" s="1" t="s">
        <v>38</v>
      </c>
      <c r="J767" s="1" t="s">
        <v>39</v>
      </c>
      <c r="K767" s="3">
        <v>2791.5</v>
      </c>
      <c r="L767" s="1">
        <v>20</v>
      </c>
      <c r="M767" s="1" t="s">
        <v>34</v>
      </c>
      <c r="N767" s="3">
        <v>709.61</v>
      </c>
      <c r="O767" s="1" t="s">
        <v>2118</v>
      </c>
      <c r="P767" s="1" t="s">
        <v>2078</v>
      </c>
      <c r="Q767" s="1" t="str">
        <f>TEXT((Data[[#This Row],[Order_Date]]), "mmm")</f>
        <v>Apr</v>
      </c>
    </row>
    <row r="768" spans="4:17" x14ac:dyDescent="0.3">
      <c r="D768" s="1" t="s">
        <v>830</v>
      </c>
      <c r="E768" s="2">
        <v>45293</v>
      </c>
      <c r="F768" s="2">
        <v>45299</v>
      </c>
      <c r="G768" s="1" t="s">
        <v>11</v>
      </c>
      <c r="H768" s="1" t="s">
        <v>23</v>
      </c>
      <c r="I768" s="1" t="s">
        <v>65</v>
      </c>
      <c r="J768" s="1" t="s">
        <v>114</v>
      </c>
      <c r="K768" s="3">
        <v>1277.6300000000001</v>
      </c>
      <c r="L768" s="1">
        <v>17</v>
      </c>
      <c r="M768" s="1" t="s">
        <v>49</v>
      </c>
      <c r="N768" s="3">
        <v>253.83</v>
      </c>
      <c r="O768" s="1" t="s">
        <v>2184</v>
      </c>
      <c r="P768" s="1" t="s">
        <v>2076</v>
      </c>
      <c r="Q768" s="1" t="str">
        <f>TEXT((Data[[#This Row],[Order_Date]]), "mmm")</f>
        <v>Jan</v>
      </c>
    </row>
    <row r="769" spans="4:17" x14ac:dyDescent="0.3">
      <c r="D769" s="1" t="s">
        <v>831</v>
      </c>
      <c r="E769" s="2">
        <v>45314</v>
      </c>
      <c r="F769" s="2">
        <v>45317</v>
      </c>
      <c r="G769" s="1" t="s">
        <v>11</v>
      </c>
      <c r="H769" s="1" t="s">
        <v>23</v>
      </c>
      <c r="I769" s="1" t="s">
        <v>65</v>
      </c>
      <c r="J769" s="1" t="s">
        <v>122</v>
      </c>
      <c r="K769" s="3">
        <v>1933.23</v>
      </c>
      <c r="L769" s="1">
        <v>1</v>
      </c>
      <c r="M769" s="1" t="s">
        <v>49</v>
      </c>
      <c r="N769" s="3">
        <v>-209.53</v>
      </c>
      <c r="O769" s="1" t="s">
        <v>2193</v>
      </c>
      <c r="P769" s="1" t="s">
        <v>2076</v>
      </c>
      <c r="Q769" s="1" t="str">
        <f>TEXT((Data[[#This Row],[Order_Date]]), "mmm")</f>
        <v>Jan</v>
      </c>
    </row>
    <row r="770" spans="4:17" x14ac:dyDescent="0.3">
      <c r="D770" s="1" t="s">
        <v>832</v>
      </c>
      <c r="E770" s="2">
        <v>45584</v>
      </c>
      <c r="F770" s="2">
        <v>45584</v>
      </c>
      <c r="G770" s="1" t="s">
        <v>22</v>
      </c>
      <c r="H770" s="1" t="s">
        <v>12</v>
      </c>
      <c r="I770" s="1" t="s">
        <v>42</v>
      </c>
      <c r="J770" s="1" t="s">
        <v>48</v>
      </c>
      <c r="K770" s="3">
        <v>3688.73</v>
      </c>
      <c r="L770" s="1">
        <v>7</v>
      </c>
      <c r="M770" s="1" t="s">
        <v>44</v>
      </c>
      <c r="N770" s="3">
        <v>-548.76</v>
      </c>
      <c r="O770" s="1" t="s">
        <v>2238</v>
      </c>
      <c r="P770" s="1" t="s">
        <v>2076</v>
      </c>
      <c r="Q770" s="1" t="str">
        <f>TEXT((Data[[#This Row],[Order_Date]]), "mmm")</f>
        <v>Oct</v>
      </c>
    </row>
    <row r="771" spans="4:17" x14ac:dyDescent="0.3">
      <c r="D771" s="1" t="s">
        <v>833</v>
      </c>
      <c r="E771" s="2">
        <v>45612</v>
      </c>
      <c r="F771" s="2">
        <v>45613</v>
      </c>
      <c r="G771" s="1" t="s">
        <v>11</v>
      </c>
      <c r="H771" s="1" t="s">
        <v>23</v>
      </c>
      <c r="I771" s="1" t="s">
        <v>65</v>
      </c>
      <c r="J771" s="1" t="s">
        <v>66</v>
      </c>
      <c r="K771" s="3">
        <v>2471.9899999999998</v>
      </c>
      <c r="L771" s="1">
        <v>11</v>
      </c>
      <c r="M771" s="1" t="s">
        <v>34</v>
      </c>
      <c r="N771" s="3">
        <v>306.89</v>
      </c>
      <c r="O771" s="1" t="s">
        <v>2280</v>
      </c>
      <c r="P771" s="1" t="s">
        <v>2076</v>
      </c>
      <c r="Q771" s="1" t="str">
        <f>TEXT((Data[[#This Row],[Order_Date]]), "mmm")</f>
        <v>Nov</v>
      </c>
    </row>
    <row r="772" spans="4:17" x14ac:dyDescent="0.3">
      <c r="D772" s="1" t="s">
        <v>834</v>
      </c>
      <c r="E772" s="2">
        <v>45466</v>
      </c>
      <c r="F772" s="2">
        <v>45466</v>
      </c>
      <c r="G772" s="1" t="s">
        <v>36</v>
      </c>
      <c r="H772" s="1" t="s">
        <v>12</v>
      </c>
      <c r="I772" s="1" t="s">
        <v>58</v>
      </c>
      <c r="J772" s="1" t="s">
        <v>120</v>
      </c>
      <c r="K772" s="3">
        <v>3159.06</v>
      </c>
      <c r="L772" s="1">
        <v>20</v>
      </c>
      <c r="M772" s="1" t="s">
        <v>49</v>
      </c>
      <c r="N772" s="3">
        <v>882.1</v>
      </c>
      <c r="O772" s="1" t="s">
        <v>2167</v>
      </c>
      <c r="P772" s="1" t="s">
        <v>2076</v>
      </c>
      <c r="Q772" s="1" t="str">
        <f>TEXT((Data[[#This Row],[Order_Date]]), "mmm")</f>
        <v>Jun</v>
      </c>
    </row>
    <row r="773" spans="4:17" x14ac:dyDescent="0.3">
      <c r="D773" s="1" t="s">
        <v>835</v>
      </c>
      <c r="E773" s="2">
        <v>45588</v>
      </c>
      <c r="F773" s="2">
        <v>45589</v>
      </c>
      <c r="G773" s="1" t="s">
        <v>11</v>
      </c>
      <c r="H773" s="1" t="s">
        <v>17</v>
      </c>
      <c r="I773" s="1" t="s">
        <v>18</v>
      </c>
      <c r="J773" s="1" t="s">
        <v>54</v>
      </c>
      <c r="K773" s="3">
        <v>1424.8</v>
      </c>
      <c r="L773" s="1">
        <v>3</v>
      </c>
      <c r="M773" s="1" t="s">
        <v>44</v>
      </c>
      <c r="N773" s="3">
        <v>97.74</v>
      </c>
      <c r="O773" s="1" t="s">
        <v>2274</v>
      </c>
      <c r="P773" s="1" t="s">
        <v>2071</v>
      </c>
      <c r="Q773" s="1" t="str">
        <f>TEXT((Data[[#This Row],[Order_Date]]), "mmm")</f>
        <v>Oct</v>
      </c>
    </row>
    <row r="774" spans="4:17" x14ac:dyDescent="0.3">
      <c r="D774" s="1" t="s">
        <v>836</v>
      </c>
      <c r="E774" s="2">
        <v>45320</v>
      </c>
      <c r="F774" s="2">
        <v>45324</v>
      </c>
      <c r="G774" s="1" t="s">
        <v>31</v>
      </c>
      <c r="H774" s="1" t="s">
        <v>17</v>
      </c>
      <c r="I774" s="1" t="s">
        <v>18</v>
      </c>
      <c r="J774" s="1" t="s">
        <v>90</v>
      </c>
      <c r="K774" s="3">
        <v>459.21</v>
      </c>
      <c r="L774" s="1">
        <v>2</v>
      </c>
      <c r="M774" s="1" t="s">
        <v>34</v>
      </c>
      <c r="N774" s="3">
        <v>140.05000000000001</v>
      </c>
      <c r="O774" s="1" t="s">
        <v>2101</v>
      </c>
      <c r="P774" s="1" t="s">
        <v>2076</v>
      </c>
      <c r="Q774" s="1" t="str">
        <f>TEXT((Data[[#This Row],[Order_Date]]), "mmm")</f>
        <v>Jan</v>
      </c>
    </row>
    <row r="775" spans="4:17" x14ac:dyDescent="0.3">
      <c r="D775" s="1" t="s">
        <v>837</v>
      </c>
      <c r="E775" s="2">
        <v>45608</v>
      </c>
      <c r="F775" s="2">
        <v>45614</v>
      </c>
      <c r="G775" s="1" t="s">
        <v>22</v>
      </c>
      <c r="H775" s="1" t="s">
        <v>12</v>
      </c>
      <c r="I775" s="1" t="s">
        <v>38</v>
      </c>
      <c r="J775" s="1" t="s">
        <v>85</v>
      </c>
      <c r="K775" s="3">
        <v>1689.7</v>
      </c>
      <c r="L775" s="1">
        <v>14</v>
      </c>
      <c r="M775" s="1" t="s">
        <v>29</v>
      </c>
      <c r="N775" s="3">
        <v>398.38</v>
      </c>
      <c r="O775" s="1" t="s">
        <v>2258</v>
      </c>
      <c r="P775" s="1" t="s">
        <v>2071</v>
      </c>
      <c r="Q775" s="1" t="str">
        <f>TEXT((Data[[#This Row],[Order_Date]]), "mmm")</f>
        <v>Nov</v>
      </c>
    </row>
    <row r="776" spans="4:17" x14ac:dyDescent="0.3">
      <c r="D776" s="1" t="s">
        <v>838</v>
      </c>
      <c r="E776" s="2">
        <v>45637</v>
      </c>
      <c r="F776" s="2">
        <v>45637</v>
      </c>
      <c r="G776" s="1" t="s">
        <v>31</v>
      </c>
      <c r="H776" s="1" t="s">
        <v>12</v>
      </c>
      <c r="I776" s="1" t="s">
        <v>13</v>
      </c>
      <c r="J776" s="1" t="s">
        <v>14</v>
      </c>
      <c r="K776" s="3">
        <v>655.02</v>
      </c>
      <c r="L776" s="1">
        <v>1</v>
      </c>
      <c r="M776" s="1" t="s">
        <v>29</v>
      </c>
      <c r="N776" s="3">
        <v>172.92</v>
      </c>
      <c r="O776" s="1" t="s">
        <v>2082</v>
      </c>
      <c r="P776" s="1" t="s">
        <v>2071</v>
      </c>
      <c r="Q776" s="1" t="str">
        <f>TEXT((Data[[#This Row],[Order_Date]]), "mmm")</f>
        <v>Dec</v>
      </c>
    </row>
    <row r="777" spans="4:17" x14ac:dyDescent="0.3">
      <c r="D777" s="1" t="s">
        <v>839</v>
      </c>
      <c r="E777" s="2">
        <v>45391</v>
      </c>
      <c r="F777" s="2">
        <v>45393</v>
      </c>
      <c r="G777" s="1" t="s">
        <v>36</v>
      </c>
      <c r="H777" s="1" t="s">
        <v>23</v>
      </c>
      <c r="I777" s="1" t="s">
        <v>65</v>
      </c>
      <c r="J777" s="1" t="s">
        <v>114</v>
      </c>
      <c r="K777" s="3">
        <v>2967.34</v>
      </c>
      <c r="L777" s="1">
        <v>15</v>
      </c>
      <c r="M777" s="1" t="s">
        <v>44</v>
      </c>
      <c r="N777" s="3">
        <v>364.82</v>
      </c>
      <c r="O777" s="1" t="s">
        <v>2106</v>
      </c>
      <c r="P777" s="1" t="s">
        <v>2076</v>
      </c>
      <c r="Q777" s="1" t="str">
        <f>TEXT((Data[[#This Row],[Order_Date]]), "mmm")</f>
        <v>Apr</v>
      </c>
    </row>
    <row r="778" spans="4:17" x14ac:dyDescent="0.3">
      <c r="D778" s="1" t="s">
        <v>840</v>
      </c>
      <c r="E778" s="2">
        <v>45322</v>
      </c>
      <c r="F778" s="2">
        <v>45324</v>
      </c>
      <c r="G778" s="1" t="s">
        <v>36</v>
      </c>
      <c r="H778" s="1" t="s">
        <v>12</v>
      </c>
      <c r="I778" s="1" t="s">
        <v>42</v>
      </c>
      <c r="J778" s="1" t="s">
        <v>46</v>
      </c>
      <c r="K778" s="3">
        <v>1416.96</v>
      </c>
      <c r="L778" s="1">
        <v>18</v>
      </c>
      <c r="M778" s="1" t="s">
        <v>44</v>
      </c>
      <c r="N778" s="3">
        <v>133.51</v>
      </c>
      <c r="O778" s="1" t="s">
        <v>2227</v>
      </c>
      <c r="P778" s="1" t="s">
        <v>2071</v>
      </c>
      <c r="Q778" s="1" t="str">
        <f>TEXT((Data[[#This Row],[Order_Date]]), "mmm")</f>
        <v>Jan</v>
      </c>
    </row>
    <row r="779" spans="4:17" x14ac:dyDescent="0.3">
      <c r="D779" s="1" t="s">
        <v>841</v>
      </c>
      <c r="E779" s="2">
        <v>45467</v>
      </c>
      <c r="F779" s="2">
        <v>45471</v>
      </c>
      <c r="G779" s="1" t="s">
        <v>36</v>
      </c>
      <c r="H779" s="1" t="s">
        <v>17</v>
      </c>
      <c r="I779" s="1" t="s">
        <v>32</v>
      </c>
      <c r="J779" s="1" t="s">
        <v>56</v>
      </c>
      <c r="K779" s="3">
        <v>464.94</v>
      </c>
      <c r="L779" s="1">
        <v>17</v>
      </c>
      <c r="M779" s="1" t="s">
        <v>29</v>
      </c>
      <c r="N779" s="3">
        <v>143.02000000000001</v>
      </c>
      <c r="O779" s="1" t="s">
        <v>2164</v>
      </c>
      <c r="P779" s="1" t="s">
        <v>2078</v>
      </c>
      <c r="Q779" s="1" t="str">
        <f>TEXT((Data[[#This Row],[Order_Date]]), "mmm")</f>
        <v>Jun</v>
      </c>
    </row>
    <row r="780" spans="4:17" x14ac:dyDescent="0.3">
      <c r="D780" s="1" t="s">
        <v>842</v>
      </c>
      <c r="E780" s="2">
        <v>45392</v>
      </c>
      <c r="F780" s="2">
        <v>45395</v>
      </c>
      <c r="G780" s="1" t="s">
        <v>22</v>
      </c>
      <c r="H780" s="1" t="s">
        <v>17</v>
      </c>
      <c r="I780" s="1" t="s">
        <v>27</v>
      </c>
      <c r="J780" s="1" t="s">
        <v>132</v>
      </c>
      <c r="K780" s="3">
        <v>2754.48</v>
      </c>
      <c r="L780" s="1">
        <v>15</v>
      </c>
      <c r="M780" s="1" t="s">
        <v>29</v>
      </c>
      <c r="N780" s="3">
        <v>709.9</v>
      </c>
      <c r="O780" s="1" t="s">
        <v>2132</v>
      </c>
      <c r="P780" s="1" t="s">
        <v>2076</v>
      </c>
      <c r="Q780" s="1" t="str">
        <f>TEXT((Data[[#This Row],[Order_Date]]), "mmm")</f>
        <v>Apr</v>
      </c>
    </row>
    <row r="781" spans="4:17" x14ac:dyDescent="0.3">
      <c r="D781" s="1" t="s">
        <v>843</v>
      </c>
      <c r="E781" s="2">
        <v>45581</v>
      </c>
      <c r="F781" s="2">
        <v>45586</v>
      </c>
      <c r="G781" s="1" t="s">
        <v>36</v>
      </c>
      <c r="H781" s="1" t="s">
        <v>23</v>
      </c>
      <c r="I781" s="1" t="s">
        <v>24</v>
      </c>
      <c r="J781" s="1" t="s">
        <v>25</v>
      </c>
      <c r="K781" s="3">
        <v>643.17999999999995</v>
      </c>
      <c r="L781" s="1">
        <v>2</v>
      </c>
      <c r="M781" s="1" t="s">
        <v>49</v>
      </c>
      <c r="N781" s="3">
        <v>-74.489999999999995</v>
      </c>
      <c r="O781" s="1" t="s">
        <v>2128</v>
      </c>
      <c r="P781" s="1" t="s">
        <v>2076</v>
      </c>
      <c r="Q781" s="1" t="str">
        <f>TEXT((Data[[#This Row],[Order_Date]]), "mmm")</f>
        <v>Oct</v>
      </c>
    </row>
    <row r="782" spans="4:17" x14ac:dyDescent="0.3">
      <c r="D782" s="1" t="s">
        <v>844</v>
      </c>
      <c r="E782" s="2">
        <v>45406</v>
      </c>
      <c r="F782" s="2">
        <v>45409</v>
      </c>
      <c r="G782" s="1" t="s">
        <v>31</v>
      </c>
      <c r="H782" s="1" t="s">
        <v>12</v>
      </c>
      <c r="I782" s="1" t="s">
        <v>58</v>
      </c>
      <c r="J782" s="1" t="s">
        <v>120</v>
      </c>
      <c r="K782" s="3">
        <v>2052.8000000000002</v>
      </c>
      <c r="L782" s="1">
        <v>11</v>
      </c>
      <c r="M782" s="1" t="s">
        <v>15</v>
      </c>
      <c r="N782" s="3">
        <v>334.14</v>
      </c>
      <c r="O782" s="1" t="s">
        <v>2303</v>
      </c>
      <c r="P782" s="1" t="s">
        <v>2071</v>
      </c>
      <c r="Q782" s="1" t="str">
        <f>TEXT((Data[[#This Row],[Order_Date]]), "mmm")</f>
        <v>Apr</v>
      </c>
    </row>
    <row r="783" spans="4:17" x14ac:dyDescent="0.3">
      <c r="D783" s="1" t="s">
        <v>845</v>
      </c>
      <c r="E783" s="2">
        <v>45295</v>
      </c>
      <c r="F783" s="2">
        <v>45300</v>
      </c>
      <c r="G783" s="1" t="s">
        <v>11</v>
      </c>
      <c r="H783" s="1" t="s">
        <v>17</v>
      </c>
      <c r="I783" s="1" t="s">
        <v>27</v>
      </c>
      <c r="J783" s="1" t="s">
        <v>28</v>
      </c>
      <c r="K783" s="3">
        <v>2330.09</v>
      </c>
      <c r="L783" s="1">
        <v>5</v>
      </c>
      <c r="M783" s="1" t="s">
        <v>34</v>
      </c>
      <c r="N783" s="3">
        <v>424.36</v>
      </c>
      <c r="O783" s="1" t="s">
        <v>2171</v>
      </c>
      <c r="P783" s="1" t="s">
        <v>2078</v>
      </c>
      <c r="Q783" s="1" t="str">
        <f>TEXT((Data[[#This Row],[Order_Date]]), "mmm")</f>
        <v>Jan</v>
      </c>
    </row>
    <row r="784" spans="4:17" x14ac:dyDescent="0.3">
      <c r="D784" s="1" t="s">
        <v>846</v>
      </c>
      <c r="E784" s="2">
        <v>45476</v>
      </c>
      <c r="F784" s="2">
        <v>45476</v>
      </c>
      <c r="G784" s="1" t="s">
        <v>11</v>
      </c>
      <c r="H784" s="1" t="s">
        <v>17</v>
      </c>
      <c r="I784" s="1" t="s">
        <v>18</v>
      </c>
      <c r="J784" s="1" t="s">
        <v>54</v>
      </c>
      <c r="K784" s="3">
        <v>903.05</v>
      </c>
      <c r="L784" s="1">
        <v>9</v>
      </c>
      <c r="M784" s="1" t="s">
        <v>15</v>
      </c>
      <c r="N784" s="3">
        <v>92.37</v>
      </c>
      <c r="O784" s="1" t="s">
        <v>2259</v>
      </c>
      <c r="P784" s="1" t="s">
        <v>2076</v>
      </c>
      <c r="Q784" s="1" t="str">
        <f>TEXT((Data[[#This Row],[Order_Date]]), "mmm")</f>
        <v>Jul</v>
      </c>
    </row>
    <row r="785" spans="4:17" x14ac:dyDescent="0.3">
      <c r="D785" s="1" t="s">
        <v>847</v>
      </c>
      <c r="E785" s="2">
        <v>45417</v>
      </c>
      <c r="F785" s="2">
        <v>45419</v>
      </c>
      <c r="G785" s="1" t="s">
        <v>22</v>
      </c>
      <c r="H785" s="1" t="s">
        <v>17</v>
      </c>
      <c r="I785" s="1" t="s">
        <v>18</v>
      </c>
      <c r="J785" s="1" t="s">
        <v>54</v>
      </c>
      <c r="K785" s="3">
        <v>3664.93</v>
      </c>
      <c r="L785" s="1">
        <v>1</v>
      </c>
      <c r="M785" s="1" t="s">
        <v>15</v>
      </c>
      <c r="N785" s="3">
        <v>334.14</v>
      </c>
      <c r="O785" s="1" t="s">
        <v>2262</v>
      </c>
      <c r="P785" s="1" t="s">
        <v>2076</v>
      </c>
      <c r="Q785" s="1" t="str">
        <f>TEXT((Data[[#This Row],[Order_Date]]), "mmm")</f>
        <v>May</v>
      </c>
    </row>
    <row r="786" spans="4:17" x14ac:dyDescent="0.3">
      <c r="D786" s="1" t="s">
        <v>848</v>
      </c>
      <c r="E786" s="2">
        <v>45348</v>
      </c>
      <c r="F786" s="2">
        <v>45353</v>
      </c>
      <c r="G786" s="1" t="s">
        <v>22</v>
      </c>
      <c r="H786" s="1" t="s">
        <v>23</v>
      </c>
      <c r="I786" s="1" t="s">
        <v>65</v>
      </c>
      <c r="J786" s="1" t="s">
        <v>66</v>
      </c>
      <c r="K786" s="3">
        <v>1636.15</v>
      </c>
      <c r="L786" s="1">
        <v>12</v>
      </c>
      <c r="M786" s="1" t="s">
        <v>15</v>
      </c>
      <c r="N786" s="3">
        <v>165.92</v>
      </c>
      <c r="O786" s="1" t="s">
        <v>2107</v>
      </c>
      <c r="P786" s="1" t="s">
        <v>2078</v>
      </c>
      <c r="Q786" s="1" t="str">
        <f>TEXT((Data[[#This Row],[Order_Date]]), "mmm")</f>
        <v>Feb</v>
      </c>
    </row>
    <row r="787" spans="4:17" x14ac:dyDescent="0.3">
      <c r="D787" s="1" t="s">
        <v>849</v>
      </c>
      <c r="E787" s="2">
        <v>45611</v>
      </c>
      <c r="F787" s="2">
        <v>45617</v>
      </c>
      <c r="G787" s="1" t="s">
        <v>11</v>
      </c>
      <c r="H787" s="1" t="s">
        <v>17</v>
      </c>
      <c r="I787" s="1" t="s">
        <v>18</v>
      </c>
      <c r="J787" s="1" t="s">
        <v>19</v>
      </c>
      <c r="K787" s="3">
        <v>3230.87</v>
      </c>
      <c r="L787" s="1">
        <v>7</v>
      </c>
      <c r="M787" s="1" t="s">
        <v>29</v>
      </c>
      <c r="N787" s="3">
        <v>528.11</v>
      </c>
      <c r="O787" s="1" t="s">
        <v>2140</v>
      </c>
      <c r="P787" s="1" t="s">
        <v>2071</v>
      </c>
      <c r="Q787" s="1" t="str">
        <f>TEXT((Data[[#This Row],[Order_Date]]), "mmm")</f>
        <v>Nov</v>
      </c>
    </row>
    <row r="788" spans="4:17" x14ac:dyDescent="0.3">
      <c r="D788" s="1" t="s">
        <v>850</v>
      </c>
      <c r="E788" s="2">
        <v>45598</v>
      </c>
      <c r="F788" s="2">
        <v>45604</v>
      </c>
      <c r="G788" s="1" t="s">
        <v>22</v>
      </c>
      <c r="H788" s="1" t="s">
        <v>17</v>
      </c>
      <c r="I788" s="1" t="s">
        <v>32</v>
      </c>
      <c r="J788" s="1" t="s">
        <v>56</v>
      </c>
      <c r="K788" s="3">
        <v>3454.13</v>
      </c>
      <c r="L788" s="1">
        <v>10</v>
      </c>
      <c r="M788" s="1" t="s">
        <v>44</v>
      </c>
      <c r="N788" s="3">
        <v>-512.26</v>
      </c>
      <c r="O788" s="1" t="s">
        <v>2188</v>
      </c>
      <c r="P788" s="1" t="s">
        <v>2078</v>
      </c>
      <c r="Q788" s="1" t="str">
        <f>TEXT((Data[[#This Row],[Order_Date]]), "mmm")</f>
        <v>Nov</v>
      </c>
    </row>
    <row r="789" spans="4:17" x14ac:dyDescent="0.3">
      <c r="D789" s="1" t="s">
        <v>851</v>
      </c>
      <c r="E789" s="2">
        <v>45435</v>
      </c>
      <c r="F789" s="2">
        <v>45437</v>
      </c>
      <c r="G789" s="1" t="s">
        <v>31</v>
      </c>
      <c r="H789" s="1" t="s">
        <v>17</v>
      </c>
      <c r="I789" s="1" t="s">
        <v>32</v>
      </c>
      <c r="J789" s="1" t="s">
        <v>56</v>
      </c>
      <c r="K789" s="3">
        <v>3192.49</v>
      </c>
      <c r="L789" s="1">
        <v>20</v>
      </c>
      <c r="M789" s="1" t="s">
        <v>20</v>
      </c>
      <c r="N789" s="3">
        <v>319.98</v>
      </c>
      <c r="O789" s="1" t="s">
        <v>2177</v>
      </c>
      <c r="P789" s="1" t="s">
        <v>2071</v>
      </c>
      <c r="Q789" s="1" t="str">
        <f>TEXT((Data[[#This Row],[Order_Date]]), "mmm")</f>
        <v>May</v>
      </c>
    </row>
    <row r="790" spans="4:17" x14ac:dyDescent="0.3">
      <c r="D790" s="1" t="s">
        <v>852</v>
      </c>
      <c r="E790" s="2">
        <v>45622</v>
      </c>
      <c r="F790" s="2">
        <v>45627</v>
      </c>
      <c r="G790" s="1" t="s">
        <v>31</v>
      </c>
      <c r="H790" s="1" t="s">
        <v>12</v>
      </c>
      <c r="I790" s="1" t="s">
        <v>42</v>
      </c>
      <c r="J790" s="1" t="s">
        <v>72</v>
      </c>
      <c r="K790" s="3">
        <v>1456.84</v>
      </c>
      <c r="L790" s="1">
        <v>12</v>
      </c>
      <c r="M790" s="1" t="s">
        <v>29</v>
      </c>
      <c r="N790" s="3">
        <v>376.38</v>
      </c>
      <c r="O790" s="1" t="s">
        <v>2192</v>
      </c>
      <c r="P790" s="1" t="s">
        <v>2078</v>
      </c>
      <c r="Q790" s="1" t="str">
        <f>TEXT((Data[[#This Row],[Order_Date]]), "mmm")</f>
        <v>Nov</v>
      </c>
    </row>
    <row r="791" spans="4:17" x14ac:dyDescent="0.3">
      <c r="D791" s="1" t="s">
        <v>853</v>
      </c>
      <c r="E791" s="2">
        <v>45545</v>
      </c>
      <c r="F791" s="2">
        <v>45552</v>
      </c>
      <c r="G791" s="1" t="s">
        <v>36</v>
      </c>
      <c r="H791" s="1" t="s">
        <v>12</v>
      </c>
      <c r="I791" s="1" t="s">
        <v>42</v>
      </c>
      <c r="J791" s="1" t="s">
        <v>48</v>
      </c>
      <c r="K791" s="3">
        <v>1027</v>
      </c>
      <c r="L791" s="1">
        <v>7</v>
      </c>
      <c r="M791" s="1" t="s">
        <v>49</v>
      </c>
      <c r="N791" s="3">
        <v>317.29000000000002</v>
      </c>
      <c r="O791" s="1" t="s">
        <v>2301</v>
      </c>
      <c r="P791" s="1" t="s">
        <v>2071</v>
      </c>
      <c r="Q791" s="1" t="str">
        <f>TEXT((Data[[#This Row],[Order_Date]]), "mmm")</f>
        <v>Sep</v>
      </c>
    </row>
    <row r="792" spans="4:17" x14ac:dyDescent="0.3">
      <c r="D792" s="1" t="s">
        <v>854</v>
      </c>
      <c r="E792" s="2">
        <v>45448</v>
      </c>
      <c r="F792" s="2">
        <v>45454</v>
      </c>
      <c r="G792" s="1" t="s">
        <v>31</v>
      </c>
      <c r="H792" s="1" t="s">
        <v>12</v>
      </c>
      <c r="I792" s="1" t="s">
        <v>58</v>
      </c>
      <c r="J792" s="1" t="s">
        <v>105</v>
      </c>
      <c r="K792" s="3">
        <v>1204.48</v>
      </c>
      <c r="L792" s="1">
        <v>3</v>
      </c>
      <c r="M792" s="1" t="s">
        <v>44</v>
      </c>
      <c r="N792" s="3">
        <v>331.82</v>
      </c>
      <c r="O792" s="1" t="s">
        <v>2253</v>
      </c>
      <c r="P792" s="1" t="s">
        <v>2076</v>
      </c>
      <c r="Q792" s="1" t="str">
        <f>TEXT((Data[[#This Row],[Order_Date]]), "mmm")</f>
        <v>Jun</v>
      </c>
    </row>
    <row r="793" spans="4:17" x14ac:dyDescent="0.3">
      <c r="D793" s="1" t="s">
        <v>855</v>
      </c>
      <c r="E793" s="2">
        <v>45557</v>
      </c>
      <c r="F793" s="2">
        <v>45562</v>
      </c>
      <c r="G793" s="1" t="s">
        <v>22</v>
      </c>
      <c r="H793" s="1" t="s">
        <v>12</v>
      </c>
      <c r="I793" s="1" t="s">
        <v>38</v>
      </c>
      <c r="J793" s="1" t="s">
        <v>85</v>
      </c>
      <c r="K793" s="3">
        <v>2170.98</v>
      </c>
      <c r="L793" s="1">
        <v>11</v>
      </c>
      <c r="M793" s="1" t="s">
        <v>49</v>
      </c>
      <c r="N793" s="3">
        <v>402.38</v>
      </c>
      <c r="O793" s="1" t="s">
        <v>2253</v>
      </c>
      <c r="P793" s="1" t="s">
        <v>2076</v>
      </c>
      <c r="Q793" s="1" t="str">
        <f>TEXT((Data[[#This Row],[Order_Date]]), "mmm")</f>
        <v>Sep</v>
      </c>
    </row>
    <row r="794" spans="4:17" x14ac:dyDescent="0.3">
      <c r="D794" s="1" t="s">
        <v>856</v>
      </c>
      <c r="E794" s="2">
        <v>45480</v>
      </c>
      <c r="F794" s="2">
        <v>45487</v>
      </c>
      <c r="G794" s="1" t="s">
        <v>36</v>
      </c>
      <c r="H794" s="1" t="s">
        <v>23</v>
      </c>
      <c r="I794" s="1" t="s">
        <v>65</v>
      </c>
      <c r="J794" s="1" t="s">
        <v>66</v>
      </c>
      <c r="K794" s="3">
        <v>923.37</v>
      </c>
      <c r="L794" s="1">
        <v>8</v>
      </c>
      <c r="M794" s="1" t="s">
        <v>34</v>
      </c>
      <c r="N794" s="3">
        <v>224.94</v>
      </c>
      <c r="O794" s="1" t="s">
        <v>2108</v>
      </c>
      <c r="P794" s="1" t="s">
        <v>2078</v>
      </c>
      <c r="Q794" s="1" t="str">
        <f>TEXT((Data[[#This Row],[Order_Date]]), "mmm")</f>
        <v>Jul</v>
      </c>
    </row>
    <row r="795" spans="4:17" x14ac:dyDescent="0.3">
      <c r="D795" s="1" t="s">
        <v>857</v>
      </c>
      <c r="E795" s="2">
        <v>45334</v>
      </c>
      <c r="F795" s="2">
        <v>45338</v>
      </c>
      <c r="G795" s="1" t="s">
        <v>11</v>
      </c>
      <c r="H795" s="1" t="s">
        <v>23</v>
      </c>
      <c r="I795" s="1" t="s">
        <v>78</v>
      </c>
      <c r="J795" s="1" t="s">
        <v>118</v>
      </c>
      <c r="K795" s="3">
        <v>694.7</v>
      </c>
      <c r="L795" s="1">
        <v>12</v>
      </c>
      <c r="M795" s="1" t="s">
        <v>20</v>
      </c>
      <c r="N795" s="3">
        <v>148.53</v>
      </c>
      <c r="O795" s="1" t="s">
        <v>2262</v>
      </c>
      <c r="P795" s="1" t="s">
        <v>2078</v>
      </c>
      <c r="Q795" s="1" t="str">
        <f>TEXT((Data[[#This Row],[Order_Date]]), "mmm")</f>
        <v>Feb</v>
      </c>
    </row>
    <row r="796" spans="4:17" x14ac:dyDescent="0.3">
      <c r="D796" s="1" t="s">
        <v>858</v>
      </c>
      <c r="E796" s="2">
        <v>45637</v>
      </c>
      <c r="F796" s="2">
        <v>45642</v>
      </c>
      <c r="G796" s="1" t="s">
        <v>36</v>
      </c>
      <c r="H796" s="1" t="s">
        <v>23</v>
      </c>
      <c r="I796" s="1" t="s">
        <v>24</v>
      </c>
      <c r="J796" s="1" t="s">
        <v>25</v>
      </c>
      <c r="K796" s="3">
        <v>2896.16</v>
      </c>
      <c r="L796" s="1">
        <v>5</v>
      </c>
      <c r="M796" s="1" t="s">
        <v>15</v>
      </c>
      <c r="N796" s="3">
        <v>787.6</v>
      </c>
      <c r="O796" s="1" t="s">
        <v>2221</v>
      </c>
      <c r="P796" s="1" t="s">
        <v>2076</v>
      </c>
      <c r="Q796" s="1" t="str">
        <f>TEXT((Data[[#This Row],[Order_Date]]), "mmm")</f>
        <v>Dec</v>
      </c>
    </row>
    <row r="797" spans="4:17" x14ac:dyDescent="0.3">
      <c r="D797" s="1" t="s">
        <v>859</v>
      </c>
      <c r="E797" s="2">
        <v>45296</v>
      </c>
      <c r="F797" s="2">
        <v>45300</v>
      </c>
      <c r="G797" s="1" t="s">
        <v>36</v>
      </c>
      <c r="H797" s="1" t="s">
        <v>23</v>
      </c>
      <c r="I797" s="1" t="s">
        <v>65</v>
      </c>
      <c r="J797" s="1" t="s">
        <v>114</v>
      </c>
      <c r="K797" s="3">
        <v>3331.98</v>
      </c>
      <c r="L797" s="1">
        <v>1</v>
      </c>
      <c r="M797" s="1" t="s">
        <v>49</v>
      </c>
      <c r="N797" s="3">
        <v>820.42</v>
      </c>
      <c r="O797" s="1" t="s">
        <v>2172</v>
      </c>
      <c r="P797" s="1" t="s">
        <v>2078</v>
      </c>
      <c r="Q797" s="1" t="str">
        <f>TEXT((Data[[#This Row],[Order_Date]]), "mmm")</f>
        <v>Jan</v>
      </c>
    </row>
    <row r="798" spans="4:17" x14ac:dyDescent="0.3">
      <c r="D798" s="1" t="s">
        <v>860</v>
      </c>
      <c r="E798" s="2">
        <v>45368</v>
      </c>
      <c r="F798" s="2">
        <v>45374</v>
      </c>
      <c r="G798" s="1" t="s">
        <v>22</v>
      </c>
      <c r="H798" s="1" t="s">
        <v>17</v>
      </c>
      <c r="I798" s="1" t="s">
        <v>32</v>
      </c>
      <c r="J798" s="1" t="s">
        <v>56</v>
      </c>
      <c r="K798" s="3">
        <v>2029.14</v>
      </c>
      <c r="L798" s="1">
        <v>17</v>
      </c>
      <c r="M798" s="1" t="s">
        <v>29</v>
      </c>
      <c r="N798" s="3">
        <v>579.91</v>
      </c>
      <c r="O798" s="1" t="s">
        <v>2198</v>
      </c>
      <c r="P798" s="1" t="s">
        <v>2071</v>
      </c>
      <c r="Q798" s="1" t="str">
        <f>TEXT((Data[[#This Row],[Order_Date]]), "mmm")</f>
        <v>Mar</v>
      </c>
    </row>
    <row r="799" spans="4:17" x14ac:dyDescent="0.3">
      <c r="D799" s="1" t="s">
        <v>861</v>
      </c>
      <c r="E799" s="2">
        <v>45528</v>
      </c>
      <c r="F799" s="2">
        <v>45533</v>
      </c>
      <c r="G799" s="1" t="s">
        <v>11</v>
      </c>
      <c r="H799" s="1" t="s">
        <v>23</v>
      </c>
      <c r="I799" s="1" t="s">
        <v>78</v>
      </c>
      <c r="J799" s="1" t="s">
        <v>79</v>
      </c>
      <c r="K799" s="3">
        <v>3137.99</v>
      </c>
      <c r="L799" s="1">
        <v>14</v>
      </c>
      <c r="M799" s="1" t="s">
        <v>44</v>
      </c>
      <c r="N799" s="3">
        <v>569.87</v>
      </c>
      <c r="O799" s="1" t="s">
        <v>2072</v>
      </c>
      <c r="P799" s="1" t="s">
        <v>2071</v>
      </c>
      <c r="Q799" s="1" t="str">
        <f>TEXT((Data[[#This Row],[Order_Date]]), "mmm")</f>
        <v>Aug</v>
      </c>
    </row>
    <row r="800" spans="4:17" x14ac:dyDescent="0.3">
      <c r="D800" s="1" t="s">
        <v>862</v>
      </c>
      <c r="E800" s="2">
        <v>45307</v>
      </c>
      <c r="F800" s="2">
        <v>45312</v>
      </c>
      <c r="G800" s="1" t="s">
        <v>22</v>
      </c>
      <c r="H800" s="1" t="s">
        <v>12</v>
      </c>
      <c r="I800" s="1" t="s">
        <v>58</v>
      </c>
      <c r="J800" s="1" t="s">
        <v>105</v>
      </c>
      <c r="K800" s="3">
        <v>3787.58</v>
      </c>
      <c r="L800" s="1">
        <v>1</v>
      </c>
      <c r="M800" s="1" t="s">
        <v>49</v>
      </c>
      <c r="N800" s="3">
        <v>1110.22</v>
      </c>
      <c r="O800" s="1" t="s">
        <v>2154</v>
      </c>
      <c r="P800" s="1" t="s">
        <v>2076</v>
      </c>
      <c r="Q800" s="1" t="str">
        <f>TEXT((Data[[#This Row],[Order_Date]]), "mmm")</f>
        <v>Jan</v>
      </c>
    </row>
    <row r="801" spans="4:17" x14ac:dyDescent="0.3">
      <c r="D801" s="1" t="s">
        <v>863</v>
      </c>
      <c r="E801" s="2">
        <v>45465</v>
      </c>
      <c r="F801" s="2">
        <v>45468</v>
      </c>
      <c r="G801" s="1" t="s">
        <v>31</v>
      </c>
      <c r="H801" s="1" t="s">
        <v>23</v>
      </c>
      <c r="I801" s="1" t="s">
        <v>65</v>
      </c>
      <c r="J801" s="1" t="s">
        <v>122</v>
      </c>
      <c r="K801" s="3">
        <v>2266.02</v>
      </c>
      <c r="L801" s="1">
        <v>11</v>
      </c>
      <c r="M801" s="1" t="s">
        <v>29</v>
      </c>
      <c r="N801" s="3">
        <v>129.1</v>
      </c>
      <c r="O801" s="1" t="s">
        <v>2213</v>
      </c>
      <c r="P801" s="1" t="s">
        <v>2071</v>
      </c>
      <c r="Q801" s="1" t="str">
        <f>TEXT((Data[[#This Row],[Order_Date]]), "mmm")</f>
        <v>Jun</v>
      </c>
    </row>
    <row r="802" spans="4:17" x14ac:dyDescent="0.3">
      <c r="D802" s="1" t="s">
        <v>864</v>
      </c>
      <c r="E802" s="2">
        <v>45363</v>
      </c>
      <c r="F802" s="2">
        <v>45365</v>
      </c>
      <c r="G802" s="1" t="s">
        <v>36</v>
      </c>
      <c r="H802" s="1" t="s">
        <v>12</v>
      </c>
      <c r="I802" s="1" t="s">
        <v>42</v>
      </c>
      <c r="J802" s="1" t="s">
        <v>43</v>
      </c>
      <c r="K802" s="3">
        <v>1015.77</v>
      </c>
      <c r="L802" s="1">
        <v>13</v>
      </c>
      <c r="M802" s="1" t="s">
        <v>20</v>
      </c>
      <c r="N802" s="3">
        <v>213.66</v>
      </c>
      <c r="O802" s="1" t="s">
        <v>2177</v>
      </c>
      <c r="P802" s="1" t="s">
        <v>2071</v>
      </c>
      <c r="Q802" s="1" t="str">
        <f>TEXT((Data[[#This Row],[Order_Date]]), "mmm")</f>
        <v>Mar</v>
      </c>
    </row>
    <row r="803" spans="4:17" x14ac:dyDescent="0.3">
      <c r="D803" s="1" t="s">
        <v>865</v>
      </c>
      <c r="E803" s="2">
        <v>45347</v>
      </c>
      <c r="F803" s="2">
        <v>45352</v>
      </c>
      <c r="G803" s="1" t="s">
        <v>31</v>
      </c>
      <c r="H803" s="1" t="s">
        <v>12</v>
      </c>
      <c r="I803" s="1" t="s">
        <v>13</v>
      </c>
      <c r="J803" s="1" t="s">
        <v>51</v>
      </c>
      <c r="K803" s="3">
        <v>892.84</v>
      </c>
      <c r="L803" s="1">
        <v>18</v>
      </c>
      <c r="M803" s="1" t="s">
        <v>44</v>
      </c>
      <c r="N803" s="3">
        <v>53.23</v>
      </c>
      <c r="O803" s="1" t="s">
        <v>2252</v>
      </c>
      <c r="P803" s="1" t="s">
        <v>2071</v>
      </c>
      <c r="Q803" s="1" t="str">
        <f>TEXT((Data[[#This Row],[Order_Date]]), "mmm")</f>
        <v>Feb</v>
      </c>
    </row>
    <row r="804" spans="4:17" x14ac:dyDescent="0.3">
      <c r="D804" s="1" t="s">
        <v>866</v>
      </c>
      <c r="E804" s="2">
        <v>45542</v>
      </c>
      <c r="F804" s="2">
        <v>45542</v>
      </c>
      <c r="G804" s="1" t="s">
        <v>22</v>
      </c>
      <c r="H804" s="1" t="s">
        <v>17</v>
      </c>
      <c r="I804" s="1" t="s">
        <v>18</v>
      </c>
      <c r="J804" s="1" t="s">
        <v>54</v>
      </c>
      <c r="K804" s="3">
        <v>1314.32</v>
      </c>
      <c r="L804" s="1">
        <v>8</v>
      </c>
      <c r="M804" s="1" t="s">
        <v>34</v>
      </c>
      <c r="N804" s="3">
        <v>-325.77999999999997</v>
      </c>
      <c r="O804" s="1" t="s">
        <v>2303</v>
      </c>
      <c r="P804" s="1" t="s">
        <v>2076</v>
      </c>
      <c r="Q804" s="1" t="str">
        <f>TEXT((Data[[#This Row],[Order_Date]]), "mmm")</f>
        <v>Sep</v>
      </c>
    </row>
    <row r="805" spans="4:17" x14ac:dyDescent="0.3">
      <c r="D805" s="1" t="s">
        <v>867</v>
      </c>
      <c r="E805" s="2">
        <v>45321</v>
      </c>
      <c r="F805" s="2">
        <v>45326</v>
      </c>
      <c r="G805" s="1" t="s">
        <v>11</v>
      </c>
      <c r="H805" s="1" t="s">
        <v>17</v>
      </c>
      <c r="I805" s="1" t="s">
        <v>27</v>
      </c>
      <c r="J805" s="1" t="s">
        <v>108</v>
      </c>
      <c r="K805" s="3">
        <v>1716.64</v>
      </c>
      <c r="L805" s="1">
        <v>4</v>
      </c>
      <c r="M805" s="1" t="s">
        <v>44</v>
      </c>
      <c r="N805" s="3">
        <v>362.1</v>
      </c>
      <c r="O805" s="1" t="s">
        <v>2182</v>
      </c>
      <c r="P805" s="1" t="s">
        <v>2078</v>
      </c>
      <c r="Q805" s="1" t="str">
        <f>TEXT((Data[[#This Row],[Order_Date]]), "mmm")</f>
        <v>Jan</v>
      </c>
    </row>
    <row r="806" spans="4:17" x14ac:dyDescent="0.3">
      <c r="D806" s="1" t="s">
        <v>868</v>
      </c>
      <c r="E806" s="2">
        <v>45327</v>
      </c>
      <c r="F806" s="2">
        <v>45333</v>
      </c>
      <c r="G806" s="1" t="s">
        <v>22</v>
      </c>
      <c r="H806" s="1" t="s">
        <v>17</v>
      </c>
      <c r="I806" s="1" t="s">
        <v>18</v>
      </c>
      <c r="J806" s="1" t="s">
        <v>54</v>
      </c>
      <c r="K806" s="3">
        <v>1870.75</v>
      </c>
      <c r="L806" s="1">
        <v>16</v>
      </c>
      <c r="M806" s="1" t="s">
        <v>44</v>
      </c>
      <c r="N806" s="3">
        <v>432.35</v>
      </c>
      <c r="O806" s="1" t="s">
        <v>2153</v>
      </c>
      <c r="P806" s="1" t="s">
        <v>2071</v>
      </c>
      <c r="Q806" s="1" t="str">
        <f>TEXT((Data[[#This Row],[Order_Date]]), "mmm")</f>
        <v>Feb</v>
      </c>
    </row>
    <row r="807" spans="4:17" x14ac:dyDescent="0.3">
      <c r="D807" s="1" t="s">
        <v>869</v>
      </c>
      <c r="E807" s="2">
        <v>45592</v>
      </c>
      <c r="F807" s="2">
        <v>45595</v>
      </c>
      <c r="G807" s="1" t="s">
        <v>31</v>
      </c>
      <c r="H807" s="1" t="s">
        <v>23</v>
      </c>
      <c r="I807" s="1" t="s">
        <v>78</v>
      </c>
      <c r="J807" s="1" t="s">
        <v>118</v>
      </c>
      <c r="K807" s="3">
        <v>3966.57</v>
      </c>
      <c r="L807" s="1">
        <v>15</v>
      </c>
      <c r="M807" s="1" t="s">
        <v>20</v>
      </c>
      <c r="N807" s="3">
        <v>1179.56</v>
      </c>
      <c r="O807" s="1" t="s">
        <v>2119</v>
      </c>
      <c r="P807" s="1" t="s">
        <v>2071</v>
      </c>
      <c r="Q807" s="1" t="str">
        <f>TEXT((Data[[#This Row],[Order_Date]]), "mmm")</f>
        <v>Oct</v>
      </c>
    </row>
    <row r="808" spans="4:17" x14ac:dyDescent="0.3">
      <c r="D808" s="1" t="s">
        <v>870</v>
      </c>
      <c r="E808" s="2">
        <v>45418</v>
      </c>
      <c r="F808" s="2">
        <v>45423</v>
      </c>
      <c r="G808" s="1" t="s">
        <v>31</v>
      </c>
      <c r="H808" s="1" t="s">
        <v>23</v>
      </c>
      <c r="I808" s="1" t="s">
        <v>65</v>
      </c>
      <c r="J808" s="1" t="s">
        <v>122</v>
      </c>
      <c r="K808" s="3">
        <v>396.57</v>
      </c>
      <c r="L808" s="1">
        <v>3</v>
      </c>
      <c r="M808" s="1" t="s">
        <v>34</v>
      </c>
      <c r="N808" s="3">
        <v>96.72</v>
      </c>
      <c r="O808" s="1" t="s">
        <v>2191</v>
      </c>
      <c r="P808" s="1" t="s">
        <v>2076</v>
      </c>
      <c r="Q808" s="1" t="str">
        <f>TEXT((Data[[#This Row],[Order_Date]]), "mmm")</f>
        <v>May</v>
      </c>
    </row>
    <row r="809" spans="4:17" x14ac:dyDescent="0.3">
      <c r="D809" s="1" t="s">
        <v>871</v>
      </c>
      <c r="E809" s="2">
        <v>45469</v>
      </c>
      <c r="F809" s="2">
        <v>45473</v>
      </c>
      <c r="G809" s="1" t="s">
        <v>31</v>
      </c>
      <c r="H809" s="1" t="s">
        <v>12</v>
      </c>
      <c r="I809" s="1" t="s">
        <v>58</v>
      </c>
      <c r="J809" s="1" t="s">
        <v>105</v>
      </c>
      <c r="K809" s="3">
        <v>1184.26</v>
      </c>
      <c r="L809" s="1">
        <v>20</v>
      </c>
      <c r="M809" s="1" t="s">
        <v>15</v>
      </c>
      <c r="N809" s="3">
        <v>212.72</v>
      </c>
      <c r="O809" s="1" t="s">
        <v>2212</v>
      </c>
      <c r="P809" s="1" t="s">
        <v>2071</v>
      </c>
      <c r="Q809" s="1" t="str">
        <f>TEXT((Data[[#This Row],[Order_Date]]), "mmm")</f>
        <v>Jun</v>
      </c>
    </row>
    <row r="810" spans="4:17" x14ac:dyDescent="0.3">
      <c r="D810" s="1" t="s">
        <v>872</v>
      </c>
      <c r="E810" s="2">
        <v>45629</v>
      </c>
      <c r="F810" s="2">
        <v>45631</v>
      </c>
      <c r="G810" s="1" t="s">
        <v>11</v>
      </c>
      <c r="H810" s="1" t="s">
        <v>23</v>
      </c>
      <c r="I810" s="1" t="s">
        <v>61</v>
      </c>
      <c r="J810" s="1" t="s">
        <v>76</v>
      </c>
      <c r="K810" s="3">
        <v>3570.78</v>
      </c>
      <c r="L810" s="1">
        <v>6</v>
      </c>
      <c r="M810" s="1" t="s">
        <v>34</v>
      </c>
      <c r="N810" s="3">
        <v>1123.96</v>
      </c>
      <c r="O810" s="1" t="s">
        <v>2252</v>
      </c>
      <c r="P810" s="1" t="s">
        <v>2078</v>
      </c>
      <c r="Q810" s="1" t="str">
        <f>TEXT((Data[[#This Row],[Order_Date]]), "mmm")</f>
        <v>Dec</v>
      </c>
    </row>
    <row r="811" spans="4:17" x14ac:dyDescent="0.3">
      <c r="D811" s="1" t="s">
        <v>873</v>
      </c>
      <c r="E811" s="2">
        <v>45633</v>
      </c>
      <c r="F811" s="2">
        <v>45634</v>
      </c>
      <c r="G811" s="1" t="s">
        <v>22</v>
      </c>
      <c r="H811" s="1" t="s">
        <v>23</v>
      </c>
      <c r="I811" s="1" t="s">
        <v>65</v>
      </c>
      <c r="J811" s="1" t="s">
        <v>122</v>
      </c>
      <c r="K811" s="3">
        <v>704.61</v>
      </c>
      <c r="L811" s="1">
        <v>12</v>
      </c>
      <c r="M811" s="1" t="s">
        <v>20</v>
      </c>
      <c r="N811" s="3">
        <v>194.91</v>
      </c>
      <c r="O811" s="1" t="s">
        <v>2305</v>
      </c>
      <c r="P811" s="1" t="s">
        <v>2071</v>
      </c>
      <c r="Q811" s="1" t="str">
        <f>TEXT((Data[[#This Row],[Order_Date]]), "mmm")</f>
        <v>Dec</v>
      </c>
    </row>
    <row r="812" spans="4:17" x14ac:dyDescent="0.3">
      <c r="D812" s="1" t="s">
        <v>874</v>
      </c>
      <c r="E812" s="2">
        <v>45458</v>
      </c>
      <c r="F812" s="2">
        <v>45464</v>
      </c>
      <c r="G812" s="1" t="s">
        <v>31</v>
      </c>
      <c r="H812" s="1" t="s">
        <v>17</v>
      </c>
      <c r="I812" s="1" t="s">
        <v>27</v>
      </c>
      <c r="J812" s="1" t="s">
        <v>132</v>
      </c>
      <c r="K812" s="3">
        <v>2147.7399999999998</v>
      </c>
      <c r="L812" s="1">
        <v>15</v>
      </c>
      <c r="M812" s="1" t="s">
        <v>20</v>
      </c>
      <c r="N812" s="3">
        <v>154.55000000000001</v>
      </c>
      <c r="O812" s="1" t="s">
        <v>2080</v>
      </c>
      <c r="P812" s="1" t="s">
        <v>2076</v>
      </c>
      <c r="Q812" s="1" t="str">
        <f>TEXT((Data[[#This Row],[Order_Date]]), "mmm")</f>
        <v>Jun</v>
      </c>
    </row>
    <row r="813" spans="4:17" x14ac:dyDescent="0.3">
      <c r="D813" s="1" t="s">
        <v>875</v>
      </c>
      <c r="E813" s="2">
        <v>45528</v>
      </c>
      <c r="F813" s="2">
        <v>45534</v>
      </c>
      <c r="G813" s="1" t="s">
        <v>36</v>
      </c>
      <c r="H813" s="1" t="s">
        <v>12</v>
      </c>
      <c r="I813" s="1" t="s">
        <v>42</v>
      </c>
      <c r="J813" s="1" t="s">
        <v>72</v>
      </c>
      <c r="K813" s="3">
        <v>1737.53</v>
      </c>
      <c r="L813" s="1">
        <v>1</v>
      </c>
      <c r="M813" s="1" t="s">
        <v>34</v>
      </c>
      <c r="N813" s="3">
        <v>146.66</v>
      </c>
      <c r="O813" s="1" t="s">
        <v>2305</v>
      </c>
      <c r="P813" s="1" t="s">
        <v>2078</v>
      </c>
      <c r="Q813" s="1" t="str">
        <f>TEXT((Data[[#This Row],[Order_Date]]), "mmm")</f>
        <v>Aug</v>
      </c>
    </row>
    <row r="814" spans="4:17" x14ac:dyDescent="0.3">
      <c r="D814" s="1" t="s">
        <v>876</v>
      </c>
      <c r="E814" s="2">
        <v>45459</v>
      </c>
      <c r="F814" s="2">
        <v>45466</v>
      </c>
      <c r="G814" s="1" t="s">
        <v>31</v>
      </c>
      <c r="H814" s="1" t="s">
        <v>23</v>
      </c>
      <c r="I814" s="1" t="s">
        <v>61</v>
      </c>
      <c r="J814" s="1" t="s">
        <v>76</v>
      </c>
      <c r="K814" s="3">
        <v>2306.61</v>
      </c>
      <c r="L814" s="1">
        <v>8</v>
      </c>
      <c r="M814" s="1" t="s">
        <v>15</v>
      </c>
      <c r="N814" s="3">
        <v>-772.73</v>
      </c>
      <c r="O814" s="1" t="s">
        <v>2141</v>
      </c>
      <c r="P814" s="1" t="s">
        <v>2076</v>
      </c>
      <c r="Q814" s="1" t="str">
        <f>TEXT((Data[[#This Row],[Order_Date]]), "mmm")</f>
        <v>Jun</v>
      </c>
    </row>
    <row r="815" spans="4:17" x14ac:dyDescent="0.3">
      <c r="D815" s="1" t="s">
        <v>877</v>
      </c>
      <c r="E815" s="2">
        <v>45434</v>
      </c>
      <c r="F815" s="2">
        <v>45436</v>
      </c>
      <c r="G815" s="1" t="s">
        <v>22</v>
      </c>
      <c r="H815" s="1" t="s">
        <v>17</v>
      </c>
      <c r="I815" s="1" t="s">
        <v>32</v>
      </c>
      <c r="J815" s="1" t="s">
        <v>56</v>
      </c>
      <c r="K815" s="3">
        <v>914.64</v>
      </c>
      <c r="L815" s="1">
        <v>4</v>
      </c>
      <c r="M815" s="1" t="s">
        <v>29</v>
      </c>
      <c r="N815" s="3">
        <v>249.18</v>
      </c>
      <c r="O815" s="1" t="s">
        <v>2275</v>
      </c>
      <c r="P815" s="1" t="s">
        <v>2071</v>
      </c>
      <c r="Q815" s="1" t="str">
        <f>TEXT((Data[[#This Row],[Order_Date]]), "mmm")</f>
        <v>May</v>
      </c>
    </row>
    <row r="816" spans="4:17" x14ac:dyDescent="0.3">
      <c r="D816" s="1" t="s">
        <v>878</v>
      </c>
      <c r="E816" s="2">
        <v>45635</v>
      </c>
      <c r="F816" s="2">
        <v>45635</v>
      </c>
      <c r="G816" s="1" t="s">
        <v>36</v>
      </c>
      <c r="H816" s="1" t="s">
        <v>17</v>
      </c>
      <c r="I816" s="1" t="s">
        <v>27</v>
      </c>
      <c r="J816" s="1" t="s">
        <v>110</v>
      </c>
      <c r="K816" s="3">
        <v>917.28</v>
      </c>
      <c r="L816" s="1">
        <v>2</v>
      </c>
      <c r="M816" s="1" t="s">
        <v>15</v>
      </c>
      <c r="N816" s="3">
        <v>192.34</v>
      </c>
      <c r="O816" s="1" t="s">
        <v>2287</v>
      </c>
      <c r="P816" s="1" t="s">
        <v>2078</v>
      </c>
      <c r="Q816" s="1" t="str">
        <f>TEXT((Data[[#This Row],[Order_Date]]), "mmm")</f>
        <v>Dec</v>
      </c>
    </row>
    <row r="817" spans="4:17" x14ac:dyDescent="0.3">
      <c r="D817" s="1" t="s">
        <v>879</v>
      </c>
      <c r="E817" s="2">
        <v>45316</v>
      </c>
      <c r="F817" s="2">
        <v>45317</v>
      </c>
      <c r="G817" s="1" t="s">
        <v>31</v>
      </c>
      <c r="H817" s="1" t="s">
        <v>12</v>
      </c>
      <c r="I817" s="1" t="s">
        <v>13</v>
      </c>
      <c r="J817" s="1" t="s">
        <v>96</v>
      </c>
      <c r="K817" s="3">
        <v>446.56</v>
      </c>
      <c r="L817" s="1">
        <v>1</v>
      </c>
      <c r="M817" s="1" t="s">
        <v>20</v>
      </c>
      <c r="N817" s="3">
        <v>125.81</v>
      </c>
      <c r="O817" s="1" t="s">
        <v>2136</v>
      </c>
      <c r="P817" s="1" t="s">
        <v>2071</v>
      </c>
      <c r="Q817" s="1" t="str">
        <f>TEXT((Data[[#This Row],[Order_Date]]), "mmm")</f>
        <v>Jan</v>
      </c>
    </row>
    <row r="818" spans="4:17" x14ac:dyDescent="0.3">
      <c r="D818" s="1" t="s">
        <v>880</v>
      </c>
      <c r="E818" s="2">
        <v>45419</v>
      </c>
      <c r="F818" s="2">
        <v>45424</v>
      </c>
      <c r="G818" s="1" t="s">
        <v>22</v>
      </c>
      <c r="H818" s="1" t="s">
        <v>17</v>
      </c>
      <c r="I818" s="1" t="s">
        <v>18</v>
      </c>
      <c r="J818" s="1" t="s">
        <v>19</v>
      </c>
      <c r="K818" s="3">
        <v>1831.31</v>
      </c>
      <c r="L818" s="1">
        <v>1</v>
      </c>
      <c r="M818" s="1" t="s">
        <v>34</v>
      </c>
      <c r="N818" s="3">
        <v>542.36</v>
      </c>
      <c r="O818" s="1" t="s">
        <v>2140</v>
      </c>
      <c r="P818" s="1" t="s">
        <v>2071</v>
      </c>
      <c r="Q818" s="1" t="str">
        <f>TEXT((Data[[#This Row],[Order_Date]]), "mmm")</f>
        <v>May</v>
      </c>
    </row>
    <row r="819" spans="4:17" x14ac:dyDescent="0.3">
      <c r="D819" s="1" t="s">
        <v>881</v>
      </c>
      <c r="E819" s="2">
        <v>45324</v>
      </c>
      <c r="F819" s="2">
        <v>45327</v>
      </c>
      <c r="G819" s="1" t="s">
        <v>11</v>
      </c>
      <c r="H819" s="1" t="s">
        <v>12</v>
      </c>
      <c r="I819" s="1" t="s">
        <v>58</v>
      </c>
      <c r="J819" s="1" t="s">
        <v>59</v>
      </c>
      <c r="K819" s="3">
        <v>876.43</v>
      </c>
      <c r="L819" s="1">
        <v>14</v>
      </c>
      <c r="M819" s="1" t="s">
        <v>29</v>
      </c>
      <c r="N819" s="3">
        <v>72.13</v>
      </c>
      <c r="O819" s="1" t="s">
        <v>2267</v>
      </c>
      <c r="P819" s="1" t="s">
        <v>2071</v>
      </c>
      <c r="Q819" s="1" t="str">
        <f>TEXT((Data[[#This Row],[Order_Date]]), "mmm")</f>
        <v>Feb</v>
      </c>
    </row>
    <row r="820" spans="4:17" x14ac:dyDescent="0.3">
      <c r="D820" s="1" t="s">
        <v>882</v>
      </c>
      <c r="E820" s="2">
        <v>45579</v>
      </c>
      <c r="F820" s="2">
        <v>45582</v>
      </c>
      <c r="G820" s="1" t="s">
        <v>22</v>
      </c>
      <c r="H820" s="1" t="s">
        <v>12</v>
      </c>
      <c r="I820" s="1" t="s">
        <v>42</v>
      </c>
      <c r="J820" s="1" t="s">
        <v>43</v>
      </c>
      <c r="K820" s="3">
        <v>703.01</v>
      </c>
      <c r="L820" s="1">
        <v>7</v>
      </c>
      <c r="M820" s="1" t="s">
        <v>20</v>
      </c>
      <c r="N820" s="3">
        <v>110.35</v>
      </c>
      <c r="O820" s="1" t="s">
        <v>2261</v>
      </c>
      <c r="P820" s="1" t="s">
        <v>2076</v>
      </c>
      <c r="Q820" s="1" t="str">
        <f>TEXT((Data[[#This Row],[Order_Date]]), "mmm")</f>
        <v>Oct</v>
      </c>
    </row>
    <row r="821" spans="4:17" x14ac:dyDescent="0.3">
      <c r="D821" s="1" t="s">
        <v>883</v>
      </c>
      <c r="E821" s="2">
        <v>45497</v>
      </c>
      <c r="F821" s="2">
        <v>45502</v>
      </c>
      <c r="G821" s="1" t="s">
        <v>11</v>
      </c>
      <c r="H821" s="1" t="s">
        <v>23</v>
      </c>
      <c r="I821" s="1" t="s">
        <v>78</v>
      </c>
      <c r="J821" s="1" t="s">
        <v>79</v>
      </c>
      <c r="K821" s="3">
        <v>1075.3599999999999</v>
      </c>
      <c r="L821" s="1">
        <v>9</v>
      </c>
      <c r="M821" s="1" t="s">
        <v>15</v>
      </c>
      <c r="N821" s="3">
        <v>-255.05</v>
      </c>
      <c r="O821" s="1" t="s">
        <v>2200</v>
      </c>
      <c r="P821" s="1" t="s">
        <v>2078</v>
      </c>
      <c r="Q821" s="1" t="str">
        <f>TEXT((Data[[#This Row],[Order_Date]]), "mmm")</f>
        <v>Jul</v>
      </c>
    </row>
    <row r="822" spans="4:17" x14ac:dyDescent="0.3">
      <c r="D822" s="1" t="s">
        <v>884</v>
      </c>
      <c r="E822" s="2">
        <v>45403</v>
      </c>
      <c r="F822" s="2">
        <v>45409</v>
      </c>
      <c r="G822" s="1" t="s">
        <v>36</v>
      </c>
      <c r="H822" s="1" t="s">
        <v>12</v>
      </c>
      <c r="I822" s="1" t="s">
        <v>42</v>
      </c>
      <c r="J822" s="1" t="s">
        <v>48</v>
      </c>
      <c r="K822" s="3">
        <v>2921.99</v>
      </c>
      <c r="L822" s="1">
        <v>19</v>
      </c>
      <c r="M822" s="1" t="s">
        <v>44</v>
      </c>
      <c r="N822" s="3">
        <v>-366.95</v>
      </c>
      <c r="O822" s="1" t="s">
        <v>2194</v>
      </c>
      <c r="P822" s="1" t="s">
        <v>2078</v>
      </c>
      <c r="Q822" s="1" t="str">
        <f>TEXT((Data[[#This Row],[Order_Date]]), "mmm")</f>
        <v>Apr</v>
      </c>
    </row>
    <row r="823" spans="4:17" x14ac:dyDescent="0.3">
      <c r="D823" s="1" t="s">
        <v>885</v>
      </c>
      <c r="E823" s="2">
        <v>45458</v>
      </c>
      <c r="F823" s="2">
        <v>45464</v>
      </c>
      <c r="G823" s="1" t="s">
        <v>22</v>
      </c>
      <c r="H823" s="1" t="s">
        <v>23</v>
      </c>
      <c r="I823" s="1" t="s">
        <v>78</v>
      </c>
      <c r="J823" s="1" t="s">
        <v>79</v>
      </c>
      <c r="K823" s="3">
        <v>3917.58</v>
      </c>
      <c r="L823" s="1">
        <v>16</v>
      </c>
      <c r="M823" s="1" t="s">
        <v>20</v>
      </c>
      <c r="N823" s="3">
        <v>589.72</v>
      </c>
      <c r="O823" s="1" t="s">
        <v>2086</v>
      </c>
      <c r="P823" s="1" t="s">
        <v>2076</v>
      </c>
      <c r="Q823" s="1" t="str">
        <f>TEXT((Data[[#This Row],[Order_Date]]), "mmm")</f>
        <v>Jun</v>
      </c>
    </row>
    <row r="824" spans="4:17" x14ac:dyDescent="0.3">
      <c r="D824" s="1" t="s">
        <v>886</v>
      </c>
      <c r="E824" s="2">
        <v>45591</v>
      </c>
      <c r="F824" s="2">
        <v>45598</v>
      </c>
      <c r="G824" s="1" t="s">
        <v>31</v>
      </c>
      <c r="H824" s="1" t="s">
        <v>12</v>
      </c>
      <c r="I824" s="1" t="s">
        <v>58</v>
      </c>
      <c r="J824" s="1" t="s">
        <v>59</v>
      </c>
      <c r="K824" s="3">
        <v>2453.0100000000002</v>
      </c>
      <c r="L824" s="1">
        <v>1</v>
      </c>
      <c r="M824" s="1" t="s">
        <v>44</v>
      </c>
      <c r="N824" s="3">
        <v>138.26</v>
      </c>
      <c r="O824" s="1" t="s">
        <v>2295</v>
      </c>
      <c r="P824" s="1" t="s">
        <v>2071</v>
      </c>
      <c r="Q824" s="1" t="str">
        <f>TEXT((Data[[#This Row],[Order_Date]]), "mmm")</f>
        <v>Oct</v>
      </c>
    </row>
    <row r="825" spans="4:17" x14ac:dyDescent="0.3">
      <c r="D825" s="1" t="s">
        <v>887</v>
      </c>
      <c r="E825" s="2">
        <v>45355</v>
      </c>
      <c r="F825" s="2">
        <v>45359</v>
      </c>
      <c r="G825" s="1" t="s">
        <v>22</v>
      </c>
      <c r="H825" s="1" t="s">
        <v>12</v>
      </c>
      <c r="I825" s="1" t="s">
        <v>42</v>
      </c>
      <c r="J825" s="1" t="s">
        <v>72</v>
      </c>
      <c r="K825" s="3">
        <v>2574.12</v>
      </c>
      <c r="L825" s="1">
        <v>2</v>
      </c>
      <c r="M825" s="1" t="s">
        <v>44</v>
      </c>
      <c r="N825" s="3">
        <v>417.93</v>
      </c>
      <c r="O825" s="1" t="s">
        <v>2145</v>
      </c>
      <c r="P825" s="1" t="s">
        <v>2071</v>
      </c>
      <c r="Q825" s="1" t="str">
        <f>TEXT((Data[[#This Row],[Order_Date]]), "mmm")</f>
        <v>Mar</v>
      </c>
    </row>
    <row r="826" spans="4:17" x14ac:dyDescent="0.3">
      <c r="D826" s="1" t="s">
        <v>888</v>
      </c>
      <c r="E826" s="2">
        <v>45369</v>
      </c>
      <c r="F826" s="2">
        <v>45375</v>
      </c>
      <c r="G826" s="1" t="s">
        <v>22</v>
      </c>
      <c r="H826" s="1" t="s">
        <v>12</v>
      </c>
      <c r="I826" s="1" t="s">
        <v>38</v>
      </c>
      <c r="J826" s="1" t="s">
        <v>81</v>
      </c>
      <c r="K826" s="3">
        <v>3712.78</v>
      </c>
      <c r="L826" s="1">
        <v>20</v>
      </c>
      <c r="M826" s="1" t="s">
        <v>49</v>
      </c>
      <c r="N826" s="3">
        <v>1009.05</v>
      </c>
      <c r="O826" s="1" t="s">
        <v>2152</v>
      </c>
      <c r="P826" s="1" t="s">
        <v>2078</v>
      </c>
      <c r="Q826" s="1" t="str">
        <f>TEXT((Data[[#This Row],[Order_Date]]), "mmm")</f>
        <v>Mar</v>
      </c>
    </row>
    <row r="827" spans="4:17" x14ac:dyDescent="0.3">
      <c r="D827" s="1" t="s">
        <v>889</v>
      </c>
      <c r="E827" s="2">
        <v>45434</v>
      </c>
      <c r="F827" s="2">
        <v>45439</v>
      </c>
      <c r="G827" s="1" t="s">
        <v>11</v>
      </c>
      <c r="H827" s="1" t="s">
        <v>12</v>
      </c>
      <c r="I827" s="1" t="s">
        <v>42</v>
      </c>
      <c r="J827" s="1" t="s">
        <v>46</v>
      </c>
      <c r="K827" s="3">
        <v>3064.57</v>
      </c>
      <c r="L827" s="1">
        <v>8</v>
      </c>
      <c r="M827" s="1" t="s">
        <v>15</v>
      </c>
      <c r="N827" s="3">
        <v>457.79</v>
      </c>
      <c r="O827" s="1" t="s">
        <v>2070</v>
      </c>
      <c r="P827" s="1" t="s">
        <v>2078</v>
      </c>
      <c r="Q827" s="1" t="str">
        <f>TEXT((Data[[#This Row],[Order_Date]]), "mmm")</f>
        <v>May</v>
      </c>
    </row>
    <row r="828" spans="4:17" x14ac:dyDescent="0.3">
      <c r="D828" s="1" t="s">
        <v>890</v>
      </c>
      <c r="E828" s="2">
        <v>45568</v>
      </c>
      <c r="F828" s="2">
        <v>45568</v>
      </c>
      <c r="G828" s="1" t="s">
        <v>22</v>
      </c>
      <c r="H828" s="1" t="s">
        <v>12</v>
      </c>
      <c r="I828" s="1" t="s">
        <v>58</v>
      </c>
      <c r="J828" s="1" t="s">
        <v>59</v>
      </c>
      <c r="K828" s="3">
        <v>3522.65</v>
      </c>
      <c r="L828" s="1">
        <v>17</v>
      </c>
      <c r="M828" s="1" t="s">
        <v>34</v>
      </c>
      <c r="N828" s="3">
        <v>370.1</v>
      </c>
      <c r="O828" s="1" t="s">
        <v>2163</v>
      </c>
      <c r="P828" s="1" t="s">
        <v>2078</v>
      </c>
      <c r="Q828" s="1" t="str">
        <f>TEXT((Data[[#This Row],[Order_Date]]), "mmm")</f>
        <v>Oct</v>
      </c>
    </row>
    <row r="829" spans="4:17" x14ac:dyDescent="0.3">
      <c r="D829" s="1" t="s">
        <v>891</v>
      </c>
      <c r="E829" s="2">
        <v>45325</v>
      </c>
      <c r="F829" s="2">
        <v>45332</v>
      </c>
      <c r="G829" s="1" t="s">
        <v>11</v>
      </c>
      <c r="H829" s="1" t="s">
        <v>17</v>
      </c>
      <c r="I829" s="1" t="s">
        <v>18</v>
      </c>
      <c r="J829" s="1" t="s">
        <v>90</v>
      </c>
      <c r="K829" s="3">
        <v>3970.05</v>
      </c>
      <c r="L829" s="1">
        <v>7</v>
      </c>
      <c r="M829" s="1" t="s">
        <v>44</v>
      </c>
      <c r="N829" s="3">
        <v>307.79000000000002</v>
      </c>
      <c r="O829" s="1" t="s">
        <v>2268</v>
      </c>
      <c r="P829" s="1" t="s">
        <v>2071</v>
      </c>
      <c r="Q829" s="1" t="str">
        <f>TEXT((Data[[#This Row],[Order_Date]]), "mmm")</f>
        <v>Feb</v>
      </c>
    </row>
    <row r="830" spans="4:17" x14ac:dyDescent="0.3">
      <c r="D830" s="1" t="s">
        <v>892</v>
      </c>
      <c r="E830" s="2">
        <v>45396</v>
      </c>
      <c r="F830" s="2">
        <v>45399</v>
      </c>
      <c r="G830" s="1" t="s">
        <v>11</v>
      </c>
      <c r="H830" s="1" t="s">
        <v>23</v>
      </c>
      <c r="I830" s="1" t="s">
        <v>65</v>
      </c>
      <c r="J830" s="1" t="s">
        <v>114</v>
      </c>
      <c r="K830" s="3">
        <v>865.6</v>
      </c>
      <c r="L830" s="1">
        <v>7</v>
      </c>
      <c r="M830" s="1" t="s">
        <v>44</v>
      </c>
      <c r="N830" s="3">
        <v>153.38999999999999</v>
      </c>
      <c r="O830" s="1" t="s">
        <v>2299</v>
      </c>
      <c r="P830" s="1" t="s">
        <v>2078</v>
      </c>
      <c r="Q830" s="1" t="str">
        <f>TEXT((Data[[#This Row],[Order_Date]]), "mmm")</f>
        <v>Apr</v>
      </c>
    </row>
    <row r="831" spans="4:17" x14ac:dyDescent="0.3">
      <c r="D831" s="1" t="s">
        <v>893</v>
      </c>
      <c r="E831" s="2">
        <v>45447</v>
      </c>
      <c r="F831" s="2">
        <v>45451</v>
      </c>
      <c r="G831" s="1" t="s">
        <v>31</v>
      </c>
      <c r="H831" s="1" t="s">
        <v>12</v>
      </c>
      <c r="I831" s="1" t="s">
        <v>58</v>
      </c>
      <c r="J831" s="1" t="s">
        <v>105</v>
      </c>
      <c r="K831" s="3">
        <v>3484.1</v>
      </c>
      <c r="L831" s="1">
        <v>16</v>
      </c>
      <c r="M831" s="1" t="s">
        <v>20</v>
      </c>
      <c r="N831" s="3">
        <v>1168.23</v>
      </c>
      <c r="O831" s="1" t="s">
        <v>2289</v>
      </c>
      <c r="P831" s="1" t="s">
        <v>2078</v>
      </c>
      <c r="Q831" s="1" t="str">
        <f>TEXT((Data[[#This Row],[Order_Date]]), "mmm")</f>
        <v>Jun</v>
      </c>
    </row>
    <row r="832" spans="4:17" x14ac:dyDescent="0.3">
      <c r="D832" s="1" t="s">
        <v>894</v>
      </c>
      <c r="E832" s="2">
        <v>45485</v>
      </c>
      <c r="F832" s="2">
        <v>45487</v>
      </c>
      <c r="G832" s="1" t="s">
        <v>31</v>
      </c>
      <c r="H832" s="1" t="s">
        <v>23</v>
      </c>
      <c r="I832" s="1" t="s">
        <v>65</v>
      </c>
      <c r="J832" s="1" t="s">
        <v>122</v>
      </c>
      <c r="K832" s="3">
        <v>2535.23</v>
      </c>
      <c r="L832" s="1">
        <v>14</v>
      </c>
      <c r="M832" s="1" t="s">
        <v>44</v>
      </c>
      <c r="N832" s="3">
        <v>750.13</v>
      </c>
      <c r="O832" s="1" t="s">
        <v>2191</v>
      </c>
      <c r="P832" s="1" t="s">
        <v>2071</v>
      </c>
      <c r="Q832" s="1" t="str">
        <f>TEXT((Data[[#This Row],[Order_Date]]), "mmm")</f>
        <v>Jul</v>
      </c>
    </row>
    <row r="833" spans="4:17" x14ac:dyDescent="0.3">
      <c r="D833" s="1" t="s">
        <v>895</v>
      </c>
      <c r="E833" s="2">
        <v>45302</v>
      </c>
      <c r="F833" s="2">
        <v>45308</v>
      </c>
      <c r="G833" s="1" t="s">
        <v>31</v>
      </c>
      <c r="H833" s="1" t="s">
        <v>17</v>
      </c>
      <c r="I833" s="1" t="s">
        <v>27</v>
      </c>
      <c r="J833" s="1" t="s">
        <v>132</v>
      </c>
      <c r="K833" s="3">
        <v>2323.1999999999998</v>
      </c>
      <c r="L833" s="1">
        <v>6</v>
      </c>
      <c r="M833" s="1" t="s">
        <v>34</v>
      </c>
      <c r="N833" s="3">
        <v>381.32</v>
      </c>
      <c r="O833" s="1" t="s">
        <v>2174</v>
      </c>
      <c r="P833" s="1" t="s">
        <v>2078</v>
      </c>
      <c r="Q833" s="1" t="str">
        <f>TEXT((Data[[#This Row],[Order_Date]]), "mmm")</f>
        <v>Jan</v>
      </c>
    </row>
    <row r="834" spans="4:17" x14ac:dyDescent="0.3">
      <c r="D834" s="1" t="s">
        <v>896</v>
      </c>
      <c r="E834" s="2">
        <v>45437</v>
      </c>
      <c r="F834" s="2">
        <v>45443</v>
      </c>
      <c r="G834" s="1" t="s">
        <v>31</v>
      </c>
      <c r="H834" s="1" t="s">
        <v>17</v>
      </c>
      <c r="I834" s="1" t="s">
        <v>27</v>
      </c>
      <c r="J834" s="1" t="s">
        <v>132</v>
      </c>
      <c r="K834" s="3">
        <v>2930.74</v>
      </c>
      <c r="L834" s="1">
        <v>7</v>
      </c>
      <c r="M834" s="1" t="s">
        <v>44</v>
      </c>
      <c r="N834" s="3">
        <v>-952.02</v>
      </c>
      <c r="O834" s="1" t="s">
        <v>2295</v>
      </c>
      <c r="P834" s="1" t="s">
        <v>2078</v>
      </c>
      <c r="Q834" s="1" t="str">
        <f>TEXT((Data[[#This Row],[Order_Date]]), "mmm")</f>
        <v>May</v>
      </c>
    </row>
    <row r="835" spans="4:17" x14ac:dyDescent="0.3">
      <c r="D835" s="1" t="s">
        <v>897</v>
      </c>
      <c r="E835" s="2">
        <v>45548</v>
      </c>
      <c r="F835" s="2">
        <v>45553</v>
      </c>
      <c r="G835" s="1" t="s">
        <v>31</v>
      </c>
      <c r="H835" s="1" t="s">
        <v>23</v>
      </c>
      <c r="I835" s="1" t="s">
        <v>65</v>
      </c>
      <c r="J835" s="1" t="s">
        <v>114</v>
      </c>
      <c r="K835" s="3">
        <v>3889.35</v>
      </c>
      <c r="L835" s="1">
        <v>12</v>
      </c>
      <c r="M835" s="1" t="s">
        <v>49</v>
      </c>
      <c r="N835" s="3">
        <v>765.68</v>
      </c>
      <c r="O835" s="1" t="s">
        <v>2094</v>
      </c>
      <c r="P835" s="1" t="s">
        <v>2076</v>
      </c>
      <c r="Q835" s="1" t="str">
        <f>TEXT((Data[[#This Row],[Order_Date]]), "mmm")</f>
        <v>Sep</v>
      </c>
    </row>
    <row r="836" spans="4:17" x14ac:dyDescent="0.3">
      <c r="D836" s="1" t="s">
        <v>898</v>
      </c>
      <c r="E836" s="2">
        <v>45593</v>
      </c>
      <c r="F836" s="2">
        <v>45594</v>
      </c>
      <c r="G836" s="1" t="s">
        <v>31</v>
      </c>
      <c r="H836" s="1" t="s">
        <v>17</v>
      </c>
      <c r="I836" s="1" t="s">
        <v>18</v>
      </c>
      <c r="J836" s="1" t="s">
        <v>54</v>
      </c>
      <c r="K836" s="3">
        <v>3745.49</v>
      </c>
      <c r="L836" s="1">
        <v>6</v>
      </c>
      <c r="M836" s="1" t="s">
        <v>44</v>
      </c>
      <c r="N836" s="3">
        <v>1044.56</v>
      </c>
      <c r="O836" s="1" t="s">
        <v>2096</v>
      </c>
      <c r="P836" s="1" t="s">
        <v>2076</v>
      </c>
      <c r="Q836" s="1" t="str">
        <f>TEXT((Data[[#This Row],[Order_Date]]), "mmm")</f>
        <v>Oct</v>
      </c>
    </row>
    <row r="837" spans="4:17" x14ac:dyDescent="0.3">
      <c r="D837" s="1" t="s">
        <v>899</v>
      </c>
      <c r="E837" s="2">
        <v>45470</v>
      </c>
      <c r="F837" s="2">
        <v>45477</v>
      </c>
      <c r="G837" s="1" t="s">
        <v>36</v>
      </c>
      <c r="H837" s="1" t="s">
        <v>12</v>
      </c>
      <c r="I837" s="1" t="s">
        <v>38</v>
      </c>
      <c r="J837" s="1" t="s">
        <v>39</v>
      </c>
      <c r="K837" s="3">
        <v>1695</v>
      </c>
      <c r="L837" s="1">
        <v>14</v>
      </c>
      <c r="M837" s="1" t="s">
        <v>15</v>
      </c>
      <c r="N837" s="3">
        <v>210.24</v>
      </c>
      <c r="O837" s="1" t="s">
        <v>2186</v>
      </c>
      <c r="P837" s="1" t="s">
        <v>2078</v>
      </c>
      <c r="Q837" s="1" t="str">
        <f>TEXT((Data[[#This Row],[Order_Date]]), "mmm")</f>
        <v>Jun</v>
      </c>
    </row>
    <row r="838" spans="4:17" x14ac:dyDescent="0.3">
      <c r="D838" s="1" t="s">
        <v>900</v>
      </c>
      <c r="E838" s="2">
        <v>45477</v>
      </c>
      <c r="F838" s="2">
        <v>45477</v>
      </c>
      <c r="G838" s="1" t="s">
        <v>22</v>
      </c>
      <c r="H838" s="1" t="s">
        <v>23</v>
      </c>
      <c r="I838" s="1" t="s">
        <v>65</v>
      </c>
      <c r="J838" s="1" t="s">
        <v>122</v>
      </c>
      <c r="K838" s="3">
        <v>802.63</v>
      </c>
      <c r="L838" s="1">
        <v>8</v>
      </c>
      <c r="M838" s="1" t="s">
        <v>29</v>
      </c>
      <c r="N838" s="3">
        <v>179.39</v>
      </c>
      <c r="O838" s="1" t="s">
        <v>2241</v>
      </c>
      <c r="P838" s="1" t="s">
        <v>2078</v>
      </c>
      <c r="Q838" s="1" t="str">
        <f>TEXT((Data[[#This Row],[Order_Date]]), "mmm")</f>
        <v>Jul</v>
      </c>
    </row>
    <row r="839" spans="4:17" x14ac:dyDescent="0.3">
      <c r="D839" s="1" t="s">
        <v>901</v>
      </c>
      <c r="E839" s="2">
        <v>45374</v>
      </c>
      <c r="F839" s="2">
        <v>45374</v>
      </c>
      <c r="G839" s="1" t="s">
        <v>11</v>
      </c>
      <c r="H839" s="1" t="s">
        <v>17</v>
      </c>
      <c r="I839" s="1" t="s">
        <v>32</v>
      </c>
      <c r="J839" s="1" t="s">
        <v>33</v>
      </c>
      <c r="K839" s="3">
        <v>1741.25</v>
      </c>
      <c r="L839" s="1">
        <v>19</v>
      </c>
      <c r="M839" s="1" t="s">
        <v>20</v>
      </c>
      <c r="N839" s="3">
        <v>357.93</v>
      </c>
      <c r="O839" s="1" t="s">
        <v>2240</v>
      </c>
      <c r="P839" s="1" t="s">
        <v>2076</v>
      </c>
      <c r="Q839" s="1" t="str">
        <f>TEXT((Data[[#This Row],[Order_Date]]), "mmm")</f>
        <v>Mar</v>
      </c>
    </row>
    <row r="840" spans="4:17" x14ac:dyDescent="0.3">
      <c r="D840" s="1" t="s">
        <v>902</v>
      </c>
      <c r="E840" s="2">
        <v>45508</v>
      </c>
      <c r="F840" s="2">
        <v>45510</v>
      </c>
      <c r="G840" s="1" t="s">
        <v>31</v>
      </c>
      <c r="H840" s="1" t="s">
        <v>23</v>
      </c>
      <c r="I840" s="1" t="s">
        <v>24</v>
      </c>
      <c r="J840" s="1" t="s">
        <v>150</v>
      </c>
      <c r="K840" s="3">
        <v>3878.81</v>
      </c>
      <c r="L840" s="1">
        <v>13</v>
      </c>
      <c r="M840" s="1" t="s">
        <v>29</v>
      </c>
      <c r="N840" s="3">
        <v>552.32000000000005</v>
      </c>
      <c r="O840" s="1" t="s">
        <v>2296</v>
      </c>
      <c r="P840" s="1" t="s">
        <v>2071</v>
      </c>
      <c r="Q840" s="1" t="str">
        <f>TEXT((Data[[#This Row],[Order_Date]]), "mmm")</f>
        <v>Aug</v>
      </c>
    </row>
    <row r="841" spans="4:17" x14ac:dyDescent="0.3">
      <c r="D841" s="1" t="s">
        <v>903</v>
      </c>
      <c r="E841" s="2">
        <v>45337</v>
      </c>
      <c r="F841" s="2">
        <v>45338</v>
      </c>
      <c r="G841" s="1" t="s">
        <v>36</v>
      </c>
      <c r="H841" s="1" t="s">
        <v>17</v>
      </c>
      <c r="I841" s="1" t="s">
        <v>27</v>
      </c>
      <c r="J841" s="1" t="s">
        <v>132</v>
      </c>
      <c r="K841" s="3">
        <v>3737.56</v>
      </c>
      <c r="L841" s="1">
        <v>13</v>
      </c>
      <c r="M841" s="1" t="s">
        <v>15</v>
      </c>
      <c r="N841" s="3">
        <v>532.34</v>
      </c>
      <c r="O841" s="1" t="s">
        <v>2085</v>
      </c>
      <c r="P841" s="1" t="s">
        <v>2078</v>
      </c>
      <c r="Q841" s="1" t="str">
        <f>TEXT((Data[[#This Row],[Order_Date]]), "mmm")</f>
        <v>Feb</v>
      </c>
    </row>
    <row r="842" spans="4:17" x14ac:dyDescent="0.3">
      <c r="D842" s="1" t="s">
        <v>904</v>
      </c>
      <c r="E842" s="2">
        <v>45543</v>
      </c>
      <c r="F842" s="2">
        <v>45543</v>
      </c>
      <c r="G842" s="1" t="s">
        <v>11</v>
      </c>
      <c r="H842" s="1" t="s">
        <v>17</v>
      </c>
      <c r="I842" s="1" t="s">
        <v>32</v>
      </c>
      <c r="J842" s="1" t="s">
        <v>33</v>
      </c>
      <c r="K842" s="3">
        <v>2218.61</v>
      </c>
      <c r="L842" s="1">
        <v>10</v>
      </c>
      <c r="M842" s="1" t="s">
        <v>15</v>
      </c>
      <c r="N842" s="3">
        <v>397.76</v>
      </c>
      <c r="O842" s="1" t="s">
        <v>2201</v>
      </c>
      <c r="P842" s="1" t="s">
        <v>2076</v>
      </c>
      <c r="Q842" s="1" t="str">
        <f>TEXT((Data[[#This Row],[Order_Date]]), "mmm")</f>
        <v>Sep</v>
      </c>
    </row>
    <row r="843" spans="4:17" x14ac:dyDescent="0.3">
      <c r="D843" s="1" t="s">
        <v>905</v>
      </c>
      <c r="E843" s="2">
        <v>45387</v>
      </c>
      <c r="F843" s="2">
        <v>45389</v>
      </c>
      <c r="G843" s="1" t="s">
        <v>22</v>
      </c>
      <c r="H843" s="1" t="s">
        <v>23</v>
      </c>
      <c r="I843" s="1" t="s">
        <v>78</v>
      </c>
      <c r="J843" s="1" t="s">
        <v>118</v>
      </c>
      <c r="K843" s="3">
        <v>1939.98</v>
      </c>
      <c r="L843" s="1">
        <v>7</v>
      </c>
      <c r="M843" s="1" t="s">
        <v>44</v>
      </c>
      <c r="N843" s="3">
        <v>213.95</v>
      </c>
      <c r="O843" s="1" t="s">
        <v>2135</v>
      </c>
      <c r="P843" s="1" t="s">
        <v>2078</v>
      </c>
      <c r="Q843" s="1" t="str">
        <f>TEXT((Data[[#This Row],[Order_Date]]), "mmm")</f>
        <v>Apr</v>
      </c>
    </row>
    <row r="844" spans="4:17" x14ac:dyDescent="0.3">
      <c r="D844" s="1" t="s">
        <v>906</v>
      </c>
      <c r="E844" s="2">
        <v>45390</v>
      </c>
      <c r="F844" s="2">
        <v>45394</v>
      </c>
      <c r="G844" s="1" t="s">
        <v>31</v>
      </c>
      <c r="H844" s="1" t="s">
        <v>23</v>
      </c>
      <c r="I844" s="1" t="s">
        <v>61</v>
      </c>
      <c r="J844" s="1" t="s">
        <v>62</v>
      </c>
      <c r="K844" s="3">
        <v>872.97</v>
      </c>
      <c r="L844" s="1">
        <v>10</v>
      </c>
      <c r="M844" s="1" t="s">
        <v>20</v>
      </c>
      <c r="N844" s="3">
        <v>142.57</v>
      </c>
      <c r="O844" s="1" t="s">
        <v>2125</v>
      </c>
      <c r="P844" s="1" t="s">
        <v>2071</v>
      </c>
      <c r="Q844" s="1" t="str">
        <f>TEXT((Data[[#This Row],[Order_Date]]), "mmm")</f>
        <v>Apr</v>
      </c>
    </row>
    <row r="845" spans="4:17" x14ac:dyDescent="0.3">
      <c r="D845" s="1" t="s">
        <v>907</v>
      </c>
      <c r="E845" s="2">
        <v>45467</v>
      </c>
      <c r="F845" s="2">
        <v>45467</v>
      </c>
      <c r="G845" s="1" t="s">
        <v>22</v>
      </c>
      <c r="H845" s="1" t="s">
        <v>23</v>
      </c>
      <c r="I845" s="1" t="s">
        <v>65</v>
      </c>
      <c r="J845" s="1" t="s">
        <v>122</v>
      </c>
      <c r="K845" s="3">
        <v>3102</v>
      </c>
      <c r="L845" s="1">
        <v>1</v>
      </c>
      <c r="M845" s="1" t="s">
        <v>20</v>
      </c>
      <c r="N845" s="3">
        <v>402.71</v>
      </c>
      <c r="O845" s="1" t="s">
        <v>2217</v>
      </c>
      <c r="P845" s="1" t="s">
        <v>2076</v>
      </c>
      <c r="Q845" s="1" t="str">
        <f>TEXT((Data[[#This Row],[Order_Date]]), "mmm")</f>
        <v>Jun</v>
      </c>
    </row>
    <row r="846" spans="4:17" x14ac:dyDescent="0.3">
      <c r="D846" s="1" t="s">
        <v>908</v>
      </c>
      <c r="E846" s="2">
        <v>45632</v>
      </c>
      <c r="F846" s="2">
        <v>45632</v>
      </c>
      <c r="G846" s="1" t="s">
        <v>11</v>
      </c>
      <c r="H846" s="1" t="s">
        <v>17</v>
      </c>
      <c r="I846" s="1" t="s">
        <v>32</v>
      </c>
      <c r="J846" s="1" t="s">
        <v>56</v>
      </c>
      <c r="K846" s="3">
        <v>1658.75</v>
      </c>
      <c r="L846" s="1">
        <v>17</v>
      </c>
      <c r="M846" s="1" t="s">
        <v>34</v>
      </c>
      <c r="N846" s="3">
        <v>546.79</v>
      </c>
      <c r="O846" s="1" t="s">
        <v>2231</v>
      </c>
      <c r="P846" s="1" t="s">
        <v>2076</v>
      </c>
      <c r="Q846" s="1" t="str">
        <f>TEXT((Data[[#This Row],[Order_Date]]), "mmm")</f>
        <v>Dec</v>
      </c>
    </row>
    <row r="847" spans="4:17" x14ac:dyDescent="0.3">
      <c r="D847" s="1" t="s">
        <v>909</v>
      </c>
      <c r="E847" s="2">
        <v>45464</v>
      </c>
      <c r="F847" s="2">
        <v>45470</v>
      </c>
      <c r="G847" s="1" t="s">
        <v>36</v>
      </c>
      <c r="H847" s="1" t="s">
        <v>23</v>
      </c>
      <c r="I847" s="1" t="s">
        <v>24</v>
      </c>
      <c r="J847" s="1" t="s">
        <v>93</v>
      </c>
      <c r="K847" s="3">
        <v>3313.18</v>
      </c>
      <c r="L847" s="1">
        <v>12</v>
      </c>
      <c r="M847" s="1" t="s">
        <v>15</v>
      </c>
      <c r="N847" s="3">
        <v>561.72</v>
      </c>
      <c r="O847" s="1" t="s">
        <v>2197</v>
      </c>
      <c r="P847" s="1" t="s">
        <v>2071</v>
      </c>
      <c r="Q847" s="1" t="str">
        <f>TEXT((Data[[#This Row],[Order_Date]]), "mmm")</f>
        <v>Jun</v>
      </c>
    </row>
    <row r="848" spans="4:17" x14ac:dyDescent="0.3">
      <c r="D848" s="1" t="s">
        <v>910</v>
      </c>
      <c r="E848" s="2">
        <v>45474</v>
      </c>
      <c r="F848" s="2">
        <v>45479</v>
      </c>
      <c r="G848" s="1" t="s">
        <v>11</v>
      </c>
      <c r="H848" s="1" t="s">
        <v>17</v>
      </c>
      <c r="I848" s="1" t="s">
        <v>27</v>
      </c>
      <c r="J848" s="1" t="s">
        <v>108</v>
      </c>
      <c r="K848" s="3">
        <v>2969.58</v>
      </c>
      <c r="L848" s="1">
        <v>5</v>
      </c>
      <c r="M848" s="1" t="s">
        <v>20</v>
      </c>
      <c r="N848" s="3">
        <v>684.7</v>
      </c>
      <c r="O848" s="1" t="s">
        <v>2257</v>
      </c>
      <c r="P848" s="1" t="s">
        <v>2078</v>
      </c>
      <c r="Q848" s="1" t="str">
        <f>TEXT((Data[[#This Row],[Order_Date]]), "mmm")</f>
        <v>Jul</v>
      </c>
    </row>
    <row r="849" spans="4:17" x14ac:dyDescent="0.3">
      <c r="D849" s="1" t="s">
        <v>911</v>
      </c>
      <c r="E849" s="2">
        <v>45435</v>
      </c>
      <c r="F849" s="2">
        <v>45438</v>
      </c>
      <c r="G849" s="1" t="s">
        <v>36</v>
      </c>
      <c r="H849" s="1" t="s">
        <v>23</v>
      </c>
      <c r="I849" s="1" t="s">
        <v>65</v>
      </c>
      <c r="J849" s="1" t="s">
        <v>122</v>
      </c>
      <c r="K849" s="3">
        <v>1799.22</v>
      </c>
      <c r="L849" s="1">
        <v>7</v>
      </c>
      <c r="M849" s="1" t="s">
        <v>20</v>
      </c>
      <c r="N849" s="3">
        <v>622.27</v>
      </c>
      <c r="O849" s="1" t="s">
        <v>2212</v>
      </c>
      <c r="P849" s="1" t="s">
        <v>2071</v>
      </c>
      <c r="Q849" s="1" t="str">
        <f>TEXT((Data[[#This Row],[Order_Date]]), "mmm")</f>
        <v>May</v>
      </c>
    </row>
    <row r="850" spans="4:17" x14ac:dyDescent="0.3">
      <c r="D850" s="1" t="s">
        <v>912</v>
      </c>
      <c r="E850" s="2">
        <v>45456</v>
      </c>
      <c r="F850" s="2">
        <v>45456</v>
      </c>
      <c r="G850" s="1" t="s">
        <v>36</v>
      </c>
      <c r="H850" s="1" t="s">
        <v>17</v>
      </c>
      <c r="I850" s="1" t="s">
        <v>32</v>
      </c>
      <c r="J850" s="1" t="s">
        <v>33</v>
      </c>
      <c r="K850" s="3">
        <v>2792.24</v>
      </c>
      <c r="L850" s="1">
        <v>8</v>
      </c>
      <c r="M850" s="1" t="s">
        <v>29</v>
      </c>
      <c r="N850" s="3">
        <v>545.49</v>
      </c>
      <c r="O850" s="1" t="s">
        <v>2111</v>
      </c>
      <c r="P850" s="1" t="s">
        <v>2071</v>
      </c>
      <c r="Q850" s="1" t="str">
        <f>TEXT((Data[[#This Row],[Order_Date]]), "mmm")</f>
        <v>Jun</v>
      </c>
    </row>
    <row r="851" spans="4:17" x14ac:dyDescent="0.3">
      <c r="D851" s="1" t="s">
        <v>913</v>
      </c>
      <c r="E851" s="2">
        <v>45333</v>
      </c>
      <c r="F851" s="2">
        <v>45338</v>
      </c>
      <c r="G851" s="1" t="s">
        <v>31</v>
      </c>
      <c r="H851" s="1" t="s">
        <v>23</v>
      </c>
      <c r="I851" s="1" t="s">
        <v>61</v>
      </c>
      <c r="J851" s="1" t="s">
        <v>62</v>
      </c>
      <c r="K851" s="3">
        <v>1693.22</v>
      </c>
      <c r="L851" s="1">
        <v>20</v>
      </c>
      <c r="M851" s="1" t="s">
        <v>44</v>
      </c>
      <c r="N851" s="3">
        <v>446.3</v>
      </c>
      <c r="O851" s="1" t="s">
        <v>2126</v>
      </c>
      <c r="P851" s="1" t="s">
        <v>2076</v>
      </c>
      <c r="Q851" s="1" t="str">
        <f>TEXT((Data[[#This Row],[Order_Date]]), "mmm")</f>
        <v>Feb</v>
      </c>
    </row>
    <row r="852" spans="4:17" x14ac:dyDescent="0.3">
      <c r="D852" s="1" t="s">
        <v>914</v>
      </c>
      <c r="E852" s="2">
        <v>45584</v>
      </c>
      <c r="F852" s="2">
        <v>45584</v>
      </c>
      <c r="G852" s="1" t="s">
        <v>22</v>
      </c>
      <c r="H852" s="1" t="s">
        <v>23</v>
      </c>
      <c r="I852" s="1" t="s">
        <v>61</v>
      </c>
      <c r="J852" s="1" t="s">
        <v>98</v>
      </c>
      <c r="K852" s="3">
        <v>3371.33</v>
      </c>
      <c r="L852" s="1">
        <v>18</v>
      </c>
      <c r="M852" s="1" t="s">
        <v>49</v>
      </c>
      <c r="N852" s="3">
        <v>338.53</v>
      </c>
      <c r="O852" s="1" t="s">
        <v>2192</v>
      </c>
      <c r="P852" s="1" t="s">
        <v>2076</v>
      </c>
      <c r="Q852" s="1" t="str">
        <f>TEXT((Data[[#This Row],[Order_Date]]), "mmm")</f>
        <v>Oct</v>
      </c>
    </row>
    <row r="853" spans="4:17" x14ac:dyDescent="0.3">
      <c r="D853" s="1" t="s">
        <v>915</v>
      </c>
      <c r="E853" s="2">
        <v>45351</v>
      </c>
      <c r="F853" s="2">
        <v>45358</v>
      </c>
      <c r="G853" s="1" t="s">
        <v>22</v>
      </c>
      <c r="H853" s="1" t="s">
        <v>17</v>
      </c>
      <c r="I853" s="1" t="s">
        <v>18</v>
      </c>
      <c r="J853" s="1" t="s">
        <v>19</v>
      </c>
      <c r="K853" s="3">
        <v>3074.7</v>
      </c>
      <c r="L853" s="1">
        <v>3</v>
      </c>
      <c r="M853" s="1" t="s">
        <v>20</v>
      </c>
      <c r="N853" s="3">
        <v>554.89</v>
      </c>
      <c r="O853" s="1" t="s">
        <v>2156</v>
      </c>
      <c r="P853" s="1" t="s">
        <v>2078</v>
      </c>
      <c r="Q853" s="1" t="str">
        <f>TEXT((Data[[#This Row],[Order_Date]]), "mmm")</f>
        <v>Feb</v>
      </c>
    </row>
    <row r="854" spans="4:17" x14ac:dyDescent="0.3">
      <c r="D854" s="1" t="s">
        <v>916</v>
      </c>
      <c r="E854" s="2">
        <v>45374</v>
      </c>
      <c r="F854" s="2">
        <v>45379</v>
      </c>
      <c r="G854" s="1" t="s">
        <v>31</v>
      </c>
      <c r="H854" s="1" t="s">
        <v>23</v>
      </c>
      <c r="I854" s="1" t="s">
        <v>78</v>
      </c>
      <c r="J854" s="1" t="s">
        <v>79</v>
      </c>
      <c r="K854" s="3">
        <v>2747.25</v>
      </c>
      <c r="L854" s="1">
        <v>4</v>
      </c>
      <c r="M854" s="1" t="s">
        <v>15</v>
      </c>
      <c r="N854" s="3">
        <v>249.25</v>
      </c>
      <c r="O854" s="1" t="s">
        <v>2196</v>
      </c>
      <c r="P854" s="1" t="s">
        <v>2071</v>
      </c>
      <c r="Q854" s="1" t="str">
        <f>TEXT((Data[[#This Row],[Order_Date]]), "mmm")</f>
        <v>Mar</v>
      </c>
    </row>
    <row r="855" spans="4:17" x14ac:dyDescent="0.3">
      <c r="D855" s="1" t="s">
        <v>917</v>
      </c>
      <c r="E855" s="2">
        <v>45543</v>
      </c>
      <c r="F855" s="2">
        <v>45544</v>
      </c>
      <c r="G855" s="1" t="s">
        <v>36</v>
      </c>
      <c r="H855" s="1" t="s">
        <v>17</v>
      </c>
      <c r="I855" s="1" t="s">
        <v>32</v>
      </c>
      <c r="J855" s="1" t="s">
        <v>56</v>
      </c>
      <c r="K855" s="3">
        <v>2664.95</v>
      </c>
      <c r="L855" s="1">
        <v>13</v>
      </c>
      <c r="M855" s="1" t="s">
        <v>15</v>
      </c>
      <c r="N855" s="3">
        <v>727.24</v>
      </c>
      <c r="O855" s="1" t="s">
        <v>2115</v>
      </c>
      <c r="P855" s="1" t="s">
        <v>2078</v>
      </c>
      <c r="Q855" s="1" t="str">
        <f>TEXT((Data[[#This Row],[Order_Date]]), "mmm")</f>
        <v>Sep</v>
      </c>
    </row>
    <row r="856" spans="4:17" x14ac:dyDescent="0.3">
      <c r="D856" s="1" t="s">
        <v>918</v>
      </c>
      <c r="E856" s="2">
        <v>45626</v>
      </c>
      <c r="F856" s="2">
        <v>45632</v>
      </c>
      <c r="G856" s="1" t="s">
        <v>22</v>
      </c>
      <c r="H856" s="1" t="s">
        <v>17</v>
      </c>
      <c r="I856" s="1" t="s">
        <v>27</v>
      </c>
      <c r="J856" s="1" t="s">
        <v>28</v>
      </c>
      <c r="K856" s="3">
        <v>1341.16</v>
      </c>
      <c r="L856" s="1">
        <v>4</v>
      </c>
      <c r="M856" s="1" t="s">
        <v>20</v>
      </c>
      <c r="N856" s="3">
        <v>203.95</v>
      </c>
      <c r="O856" s="1" t="s">
        <v>2261</v>
      </c>
      <c r="P856" s="1" t="s">
        <v>2076</v>
      </c>
      <c r="Q856" s="1" t="str">
        <f>TEXT((Data[[#This Row],[Order_Date]]), "mmm")</f>
        <v>Nov</v>
      </c>
    </row>
    <row r="857" spans="4:17" x14ac:dyDescent="0.3">
      <c r="D857" s="1" t="s">
        <v>919</v>
      </c>
      <c r="E857" s="2">
        <v>45388</v>
      </c>
      <c r="F857" s="2">
        <v>45389</v>
      </c>
      <c r="G857" s="1" t="s">
        <v>36</v>
      </c>
      <c r="H857" s="1" t="s">
        <v>17</v>
      </c>
      <c r="I857" s="1" t="s">
        <v>27</v>
      </c>
      <c r="J857" s="1" t="s">
        <v>108</v>
      </c>
      <c r="K857" s="3">
        <v>2413.44</v>
      </c>
      <c r="L857" s="1">
        <v>1</v>
      </c>
      <c r="M857" s="1" t="s">
        <v>34</v>
      </c>
      <c r="N857" s="3">
        <v>165.48</v>
      </c>
      <c r="O857" s="1" t="s">
        <v>2137</v>
      </c>
      <c r="P857" s="1" t="s">
        <v>2076</v>
      </c>
      <c r="Q857" s="1" t="str">
        <f>TEXT((Data[[#This Row],[Order_Date]]), "mmm")</f>
        <v>Apr</v>
      </c>
    </row>
    <row r="858" spans="4:17" x14ac:dyDescent="0.3">
      <c r="D858" s="1" t="s">
        <v>920</v>
      </c>
      <c r="E858" s="2">
        <v>45490</v>
      </c>
      <c r="F858" s="2">
        <v>45496</v>
      </c>
      <c r="G858" s="1" t="s">
        <v>36</v>
      </c>
      <c r="H858" s="1" t="s">
        <v>23</v>
      </c>
      <c r="I858" s="1" t="s">
        <v>78</v>
      </c>
      <c r="J858" s="1" t="s">
        <v>118</v>
      </c>
      <c r="K858" s="3">
        <v>649.70000000000005</v>
      </c>
      <c r="L858" s="1">
        <v>1</v>
      </c>
      <c r="M858" s="1" t="s">
        <v>29</v>
      </c>
      <c r="N858" s="3">
        <v>198.62</v>
      </c>
      <c r="O858" s="1" t="s">
        <v>2103</v>
      </c>
      <c r="P858" s="1" t="s">
        <v>2078</v>
      </c>
      <c r="Q858" s="1" t="str">
        <f>TEXT((Data[[#This Row],[Order_Date]]), "mmm")</f>
        <v>Jul</v>
      </c>
    </row>
    <row r="859" spans="4:17" x14ac:dyDescent="0.3">
      <c r="D859" s="1" t="s">
        <v>921</v>
      </c>
      <c r="E859" s="2">
        <v>45443</v>
      </c>
      <c r="F859" s="2">
        <v>45446</v>
      </c>
      <c r="G859" s="1" t="s">
        <v>31</v>
      </c>
      <c r="H859" s="1" t="s">
        <v>12</v>
      </c>
      <c r="I859" s="1" t="s">
        <v>42</v>
      </c>
      <c r="J859" s="1" t="s">
        <v>72</v>
      </c>
      <c r="K859" s="3">
        <v>2505.5</v>
      </c>
      <c r="L859" s="1">
        <v>5</v>
      </c>
      <c r="M859" s="1" t="s">
        <v>15</v>
      </c>
      <c r="N859" s="3">
        <v>625.39</v>
      </c>
      <c r="O859" s="1" t="s">
        <v>2306</v>
      </c>
      <c r="P859" s="1" t="s">
        <v>2078</v>
      </c>
      <c r="Q859" s="1" t="str">
        <f>TEXT((Data[[#This Row],[Order_Date]]), "mmm")</f>
        <v>May</v>
      </c>
    </row>
    <row r="860" spans="4:17" x14ac:dyDescent="0.3">
      <c r="D860" s="1" t="s">
        <v>922</v>
      </c>
      <c r="E860" s="2">
        <v>45651</v>
      </c>
      <c r="F860" s="2">
        <v>45651</v>
      </c>
      <c r="G860" s="1" t="s">
        <v>36</v>
      </c>
      <c r="H860" s="1" t="s">
        <v>23</v>
      </c>
      <c r="I860" s="1" t="s">
        <v>61</v>
      </c>
      <c r="J860" s="1" t="s">
        <v>98</v>
      </c>
      <c r="K860" s="3">
        <v>3988.18</v>
      </c>
      <c r="L860" s="1">
        <v>19</v>
      </c>
      <c r="M860" s="1" t="s">
        <v>49</v>
      </c>
      <c r="N860" s="3">
        <v>954.46</v>
      </c>
      <c r="O860" s="1" t="s">
        <v>2268</v>
      </c>
      <c r="P860" s="1" t="s">
        <v>2076</v>
      </c>
      <c r="Q860" s="1" t="str">
        <f>TEXT((Data[[#This Row],[Order_Date]]), "mmm")</f>
        <v>Dec</v>
      </c>
    </row>
    <row r="861" spans="4:17" x14ac:dyDescent="0.3">
      <c r="D861" s="1" t="s">
        <v>923</v>
      </c>
      <c r="E861" s="2">
        <v>45441</v>
      </c>
      <c r="F861" s="2">
        <v>45447</v>
      </c>
      <c r="G861" s="1" t="s">
        <v>11</v>
      </c>
      <c r="H861" s="1" t="s">
        <v>23</v>
      </c>
      <c r="I861" s="1" t="s">
        <v>78</v>
      </c>
      <c r="J861" s="1" t="s">
        <v>118</v>
      </c>
      <c r="K861" s="3">
        <v>3430.26</v>
      </c>
      <c r="L861" s="1">
        <v>8</v>
      </c>
      <c r="M861" s="1" t="s">
        <v>15</v>
      </c>
      <c r="N861" s="3">
        <v>928.63</v>
      </c>
      <c r="O861" s="1" t="s">
        <v>2180</v>
      </c>
      <c r="P861" s="1" t="s">
        <v>2078</v>
      </c>
      <c r="Q861" s="1" t="str">
        <f>TEXT((Data[[#This Row],[Order_Date]]), "mmm")</f>
        <v>May</v>
      </c>
    </row>
    <row r="862" spans="4:17" x14ac:dyDescent="0.3">
      <c r="D862" s="1" t="s">
        <v>924</v>
      </c>
      <c r="E862" s="2">
        <v>45383</v>
      </c>
      <c r="F862" s="2">
        <v>45390</v>
      </c>
      <c r="G862" s="1" t="s">
        <v>31</v>
      </c>
      <c r="H862" s="1" t="s">
        <v>23</v>
      </c>
      <c r="I862" s="1" t="s">
        <v>78</v>
      </c>
      <c r="J862" s="1" t="s">
        <v>118</v>
      </c>
      <c r="K862" s="3">
        <v>2304.79</v>
      </c>
      <c r="L862" s="1">
        <v>11</v>
      </c>
      <c r="M862" s="1" t="s">
        <v>49</v>
      </c>
      <c r="N862" s="3">
        <v>583.96</v>
      </c>
      <c r="O862" s="1" t="s">
        <v>2204</v>
      </c>
      <c r="P862" s="1" t="s">
        <v>2071</v>
      </c>
      <c r="Q862" s="1" t="str">
        <f>TEXT((Data[[#This Row],[Order_Date]]), "mmm")</f>
        <v>Apr</v>
      </c>
    </row>
    <row r="863" spans="4:17" x14ac:dyDescent="0.3">
      <c r="D863" s="1" t="s">
        <v>925</v>
      </c>
      <c r="E863" s="2">
        <v>45492</v>
      </c>
      <c r="F863" s="2">
        <v>45498</v>
      </c>
      <c r="G863" s="1" t="s">
        <v>11</v>
      </c>
      <c r="H863" s="1" t="s">
        <v>12</v>
      </c>
      <c r="I863" s="1" t="s">
        <v>13</v>
      </c>
      <c r="J863" s="1" t="s">
        <v>129</v>
      </c>
      <c r="K863" s="3">
        <v>2861.41</v>
      </c>
      <c r="L863" s="1">
        <v>7</v>
      </c>
      <c r="M863" s="1" t="s">
        <v>15</v>
      </c>
      <c r="N863" s="3">
        <v>878.1</v>
      </c>
      <c r="O863" s="1" t="s">
        <v>2185</v>
      </c>
      <c r="P863" s="1" t="s">
        <v>2078</v>
      </c>
      <c r="Q863" s="1" t="str">
        <f>TEXT((Data[[#This Row],[Order_Date]]), "mmm")</f>
        <v>Jul</v>
      </c>
    </row>
    <row r="864" spans="4:17" x14ac:dyDescent="0.3">
      <c r="D864" s="1" t="s">
        <v>926</v>
      </c>
      <c r="E864" s="2">
        <v>45359</v>
      </c>
      <c r="F864" s="2">
        <v>45364</v>
      </c>
      <c r="G864" s="1" t="s">
        <v>11</v>
      </c>
      <c r="H864" s="1" t="s">
        <v>12</v>
      </c>
      <c r="I864" s="1" t="s">
        <v>13</v>
      </c>
      <c r="J864" s="1" t="s">
        <v>96</v>
      </c>
      <c r="K864" s="3">
        <v>2704.88</v>
      </c>
      <c r="L864" s="1">
        <v>19</v>
      </c>
      <c r="M864" s="1" t="s">
        <v>44</v>
      </c>
      <c r="N864" s="3">
        <v>493.82</v>
      </c>
      <c r="O864" s="1" t="s">
        <v>2190</v>
      </c>
      <c r="P864" s="1" t="s">
        <v>2076</v>
      </c>
      <c r="Q864" s="1" t="str">
        <f>TEXT((Data[[#This Row],[Order_Date]]), "mmm")</f>
        <v>Mar</v>
      </c>
    </row>
    <row r="865" spans="4:17" x14ac:dyDescent="0.3">
      <c r="D865" s="1" t="s">
        <v>927</v>
      </c>
      <c r="E865" s="2">
        <v>45366</v>
      </c>
      <c r="F865" s="2">
        <v>45369</v>
      </c>
      <c r="G865" s="1" t="s">
        <v>22</v>
      </c>
      <c r="H865" s="1" t="s">
        <v>12</v>
      </c>
      <c r="I865" s="1" t="s">
        <v>58</v>
      </c>
      <c r="J865" s="1" t="s">
        <v>59</v>
      </c>
      <c r="K865" s="3">
        <v>2692.14</v>
      </c>
      <c r="L865" s="1">
        <v>12</v>
      </c>
      <c r="M865" s="1" t="s">
        <v>15</v>
      </c>
      <c r="N865" s="3">
        <v>-826.06</v>
      </c>
      <c r="O865" s="1" t="s">
        <v>2212</v>
      </c>
      <c r="P865" s="1" t="s">
        <v>2071</v>
      </c>
      <c r="Q865" s="1" t="str">
        <f>TEXT((Data[[#This Row],[Order_Date]]), "mmm")</f>
        <v>Mar</v>
      </c>
    </row>
    <row r="866" spans="4:17" x14ac:dyDescent="0.3">
      <c r="D866" s="1" t="s">
        <v>928</v>
      </c>
      <c r="E866" s="2">
        <v>45367</v>
      </c>
      <c r="F866" s="2">
        <v>45373</v>
      </c>
      <c r="G866" s="1" t="s">
        <v>31</v>
      </c>
      <c r="H866" s="1" t="s">
        <v>12</v>
      </c>
      <c r="I866" s="1" t="s">
        <v>58</v>
      </c>
      <c r="J866" s="1" t="s">
        <v>120</v>
      </c>
      <c r="K866" s="3">
        <v>610.17999999999995</v>
      </c>
      <c r="L866" s="1">
        <v>16</v>
      </c>
      <c r="M866" s="1" t="s">
        <v>44</v>
      </c>
      <c r="N866" s="3">
        <v>-203.51</v>
      </c>
      <c r="O866" s="1" t="s">
        <v>2276</v>
      </c>
      <c r="P866" s="1" t="s">
        <v>2076</v>
      </c>
      <c r="Q866" s="1" t="str">
        <f>TEXT((Data[[#This Row],[Order_Date]]), "mmm")</f>
        <v>Mar</v>
      </c>
    </row>
    <row r="867" spans="4:17" x14ac:dyDescent="0.3">
      <c r="D867" s="1" t="s">
        <v>929</v>
      </c>
      <c r="E867" s="2">
        <v>45555</v>
      </c>
      <c r="F867" s="2">
        <v>45560</v>
      </c>
      <c r="G867" s="1" t="s">
        <v>31</v>
      </c>
      <c r="H867" s="1" t="s">
        <v>17</v>
      </c>
      <c r="I867" s="1" t="s">
        <v>32</v>
      </c>
      <c r="J867" s="1" t="s">
        <v>33</v>
      </c>
      <c r="K867" s="3">
        <v>1168.75</v>
      </c>
      <c r="L867" s="1">
        <v>4</v>
      </c>
      <c r="M867" s="1" t="s">
        <v>44</v>
      </c>
      <c r="N867" s="3">
        <v>197.51</v>
      </c>
      <c r="O867" s="1" t="s">
        <v>2275</v>
      </c>
      <c r="P867" s="1" t="s">
        <v>2071</v>
      </c>
      <c r="Q867" s="1" t="str">
        <f>TEXT((Data[[#This Row],[Order_Date]]), "mmm")</f>
        <v>Sep</v>
      </c>
    </row>
    <row r="868" spans="4:17" x14ac:dyDescent="0.3">
      <c r="D868" s="1" t="s">
        <v>930</v>
      </c>
      <c r="E868" s="2">
        <v>45597</v>
      </c>
      <c r="F868" s="2">
        <v>45599</v>
      </c>
      <c r="G868" s="1" t="s">
        <v>31</v>
      </c>
      <c r="H868" s="1" t="s">
        <v>12</v>
      </c>
      <c r="I868" s="1" t="s">
        <v>38</v>
      </c>
      <c r="J868" s="1" t="s">
        <v>85</v>
      </c>
      <c r="K868" s="3">
        <v>3493.36</v>
      </c>
      <c r="L868" s="1">
        <v>13</v>
      </c>
      <c r="M868" s="1" t="s">
        <v>34</v>
      </c>
      <c r="N868" s="3">
        <v>837.36</v>
      </c>
      <c r="O868" s="1" t="s">
        <v>2100</v>
      </c>
      <c r="P868" s="1" t="s">
        <v>2071</v>
      </c>
      <c r="Q868" s="1" t="str">
        <f>TEXT((Data[[#This Row],[Order_Date]]), "mmm")</f>
        <v>Nov</v>
      </c>
    </row>
    <row r="869" spans="4:17" x14ac:dyDescent="0.3">
      <c r="D869" s="1" t="s">
        <v>931</v>
      </c>
      <c r="E869" s="2">
        <v>45297</v>
      </c>
      <c r="F869" s="2">
        <v>45298</v>
      </c>
      <c r="G869" s="1" t="s">
        <v>11</v>
      </c>
      <c r="H869" s="1" t="s">
        <v>17</v>
      </c>
      <c r="I869" s="1" t="s">
        <v>18</v>
      </c>
      <c r="J869" s="1" t="s">
        <v>54</v>
      </c>
      <c r="K869" s="3">
        <v>2655.28</v>
      </c>
      <c r="L869" s="1">
        <v>17</v>
      </c>
      <c r="M869" s="1" t="s">
        <v>44</v>
      </c>
      <c r="N869" s="3">
        <v>151.11000000000001</v>
      </c>
      <c r="O869" s="1" t="s">
        <v>2224</v>
      </c>
      <c r="P869" s="1" t="s">
        <v>2078</v>
      </c>
      <c r="Q869" s="1" t="str">
        <f>TEXT((Data[[#This Row],[Order_Date]]), "mmm")</f>
        <v>Jan</v>
      </c>
    </row>
    <row r="870" spans="4:17" x14ac:dyDescent="0.3">
      <c r="D870" s="1" t="s">
        <v>932</v>
      </c>
      <c r="E870" s="2">
        <v>45585</v>
      </c>
      <c r="F870" s="2">
        <v>45592</v>
      </c>
      <c r="G870" s="1" t="s">
        <v>36</v>
      </c>
      <c r="H870" s="1" t="s">
        <v>12</v>
      </c>
      <c r="I870" s="1" t="s">
        <v>38</v>
      </c>
      <c r="J870" s="1" t="s">
        <v>39</v>
      </c>
      <c r="K870" s="3">
        <v>929.11</v>
      </c>
      <c r="L870" s="1">
        <v>16</v>
      </c>
      <c r="M870" s="1" t="s">
        <v>15</v>
      </c>
      <c r="N870" s="3">
        <v>242.33</v>
      </c>
      <c r="O870" s="1" t="s">
        <v>2294</v>
      </c>
      <c r="P870" s="1" t="s">
        <v>2071</v>
      </c>
      <c r="Q870" s="1" t="str">
        <f>TEXT((Data[[#This Row],[Order_Date]]), "mmm")</f>
        <v>Oct</v>
      </c>
    </row>
    <row r="871" spans="4:17" x14ac:dyDescent="0.3">
      <c r="D871" s="1" t="s">
        <v>933</v>
      </c>
      <c r="E871" s="2">
        <v>45356</v>
      </c>
      <c r="F871" s="2">
        <v>45357</v>
      </c>
      <c r="G871" s="1" t="s">
        <v>36</v>
      </c>
      <c r="H871" s="1" t="s">
        <v>17</v>
      </c>
      <c r="I871" s="1" t="s">
        <v>32</v>
      </c>
      <c r="J871" s="1" t="s">
        <v>56</v>
      </c>
      <c r="K871" s="3">
        <v>1769.99</v>
      </c>
      <c r="L871" s="1">
        <v>1</v>
      </c>
      <c r="M871" s="1" t="s">
        <v>49</v>
      </c>
      <c r="N871" s="3">
        <v>383.77</v>
      </c>
      <c r="O871" s="1" t="s">
        <v>2163</v>
      </c>
      <c r="P871" s="1" t="s">
        <v>2076</v>
      </c>
      <c r="Q871" s="1" t="str">
        <f>TEXT((Data[[#This Row],[Order_Date]]), "mmm")</f>
        <v>Mar</v>
      </c>
    </row>
    <row r="872" spans="4:17" x14ac:dyDescent="0.3">
      <c r="D872" s="1" t="s">
        <v>934</v>
      </c>
      <c r="E872" s="2">
        <v>45563</v>
      </c>
      <c r="F872" s="2">
        <v>45570</v>
      </c>
      <c r="G872" s="1" t="s">
        <v>11</v>
      </c>
      <c r="H872" s="1" t="s">
        <v>12</v>
      </c>
      <c r="I872" s="1" t="s">
        <v>38</v>
      </c>
      <c r="J872" s="1" t="s">
        <v>81</v>
      </c>
      <c r="K872" s="3">
        <v>3871.3</v>
      </c>
      <c r="L872" s="1">
        <v>4</v>
      </c>
      <c r="M872" s="1" t="s">
        <v>44</v>
      </c>
      <c r="N872" s="3">
        <v>1194.69</v>
      </c>
      <c r="O872" s="1" t="s">
        <v>2134</v>
      </c>
      <c r="P872" s="1" t="s">
        <v>2071</v>
      </c>
      <c r="Q872" s="1" t="str">
        <f>TEXT((Data[[#This Row],[Order_Date]]), "mmm")</f>
        <v>Sep</v>
      </c>
    </row>
    <row r="873" spans="4:17" x14ac:dyDescent="0.3">
      <c r="D873" s="1" t="s">
        <v>935</v>
      </c>
      <c r="E873" s="2">
        <v>45294</v>
      </c>
      <c r="F873" s="2">
        <v>45301</v>
      </c>
      <c r="G873" s="1" t="s">
        <v>36</v>
      </c>
      <c r="H873" s="1" t="s">
        <v>17</v>
      </c>
      <c r="I873" s="1" t="s">
        <v>18</v>
      </c>
      <c r="J873" s="1" t="s">
        <v>19</v>
      </c>
      <c r="K873" s="3">
        <v>2406.5500000000002</v>
      </c>
      <c r="L873" s="1">
        <v>6</v>
      </c>
      <c r="M873" s="1" t="s">
        <v>20</v>
      </c>
      <c r="N873" s="3">
        <v>526.42999999999995</v>
      </c>
      <c r="O873" s="1" t="s">
        <v>2160</v>
      </c>
      <c r="P873" s="1" t="s">
        <v>2076</v>
      </c>
      <c r="Q873" s="1" t="str">
        <f>TEXT((Data[[#This Row],[Order_Date]]), "mmm")</f>
        <v>Jan</v>
      </c>
    </row>
    <row r="874" spans="4:17" x14ac:dyDescent="0.3">
      <c r="D874" s="1" t="s">
        <v>936</v>
      </c>
      <c r="E874" s="2">
        <v>45309</v>
      </c>
      <c r="F874" s="2">
        <v>45310</v>
      </c>
      <c r="G874" s="1" t="s">
        <v>11</v>
      </c>
      <c r="H874" s="1" t="s">
        <v>12</v>
      </c>
      <c r="I874" s="1" t="s">
        <v>13</v>
      </c>
      <c r="J874" s="1" t="s">
        <v>129</v>
      </c>
      <c r="K874" s="3">
        <v>3873.54</v>
      </c>
      <c r="L874" s="1">
        <v>6</v>
      </c>
      <c r="M874" s="1" t="s">
        <v>49</v>
      </c>
      <c r="N874" s="3">
        <v>1329.13</v>
      </c>
      <c r="O874" s="1" t="s">
        <v>2297</v>
      </c>
      <c r="P874" s="1" t="s">
        <v>2071</v>
      </c>
      <c r="Q874" s="1" t="str">
        <f>TEXT((Data[[#This Row],[Order_Date]]), "mmm")</f>
        <v>Jan</v>
      </c>
    </row>
    <row r="875" spans="4:17" x14ac:dyDescent="0.3">
      <c r="D875" s="1" t="s">
        <v>937</v>
      </c>
      <c r="E875" s="2">
        <v>45419</v>
      </c>
      <c r="F875" s="2">
        <v>45423</v>
      </c>
      <c r="G875" s="1" t="s">
        <v>11</v>
      </c>
      <c r="H875" s="1" t="s">
        <v>12</v>
      </c>
      <c r="I875" s="1" t="s">
        <v>13</v>
      </c>
      <c r="J875" s="1" t="s">
        <v>96</v>
      </c>
      <c r="K875" s="3">
        <v>774.46</v>
      </c>
      <c r="L875" s="1">
        <v>16</v>
      </c>
      <c r="M875" s="1" t="s">
        <v>15</v>
      </c>
      <c r="N875" s="3">
        <v>111.43</v>
      </c>
      <c r="O875" s="1" t="s">
        <v>2135</v>
      </c>
      <c r="P875" s="1" t="s">
        <v>2076</v>
      </c>
      <c r="Q875" s="1" t="str">
        <f>TEXT((Data[[#This Row],[Order_Date]]), "mmm")</f>
        <v>May</v>
      </c>
    </row>
    <row r="876" spans="4:17" x14ac:dyDescent="0.3">
      <c r="D876" s="1" t="s">
        <v>938</v>
      </c>
      <c r="E876" s="2">
        <v>45472</v>
      </c>
      <c r="F876" s="2">
        <v>45475</v>
      </c>
      <c r="G876" s="1" t="s">
        <v>11</v>
      </c>
      <c r="H876" s="1" t="s">
        <v>12</v>
      </c>
      <c r="I876" s="1" t="s">
        <v>38</v>
      </c>
      <c r="J876" s="1" t="s">
        <v>81</v>
      </c>
      <c r="K876" s="3">
        <v>387.75</v>
      </c>
      <c r="L876" s="1">
        <v>5</v>
      </c>
      <c r="M876" s="1" t="s">
        <v>34</v>
      </c>
      <c r="N876" s="3">
        <v>118.97</v>
      </c>
      <c r="O876" s="1" t="s">
        <v>2222</v>
      </c>
      <c r="P876" s="1" t="s">
        <v>2078</v>
      </c>
      <c r="Q876" s="1" t="str">
        <f>TEXT((Data[[#This Row],[Order_Date]]), "mmm")</f>
        <v>Jun</v>
      </c>
    </row>
    <row r="877" spans="4:17" x14ac:dyDescent="0.3">
      <c r="D877" s="1" t="s">
        <v>939</v>
      </c>
      <c r="E877" s="2">
        <v>45360</v>
      </c>
      <c r="F877" s="2">
        <v>45363</v>
      </c>
      <c r="G877" s="1" t="s">
        <v>36</v>
      </c>
      <c r="H877" s="1" t="s">
        <v>23</v>
      </c>
      <c r="I877" s="1" t="s">
        <v>78</v>
      </c>
      <c r="J877" s="1" t="s">
        <v>79</v>
      </c>
      <c r="K877" s="3">
        <v>528.85</v>
      </c>
      <c r="L877" s="1">
        <v>9</v>
      </c>
      <c r="M877" s="1" t="s">
        <v>34</v>
      </c>
      <c r="N877" s="3">
        <v>87.01</v>
      </c>
      <c r="O877" s="1" t="s">
        <v>2307</v>
      </c>
      <c r="P877" s="1" t="s">
        <v>2071</v>
      </c>
      <c r="Q877" s="1" t="str">
        <f>TEXT((Data[[#This Row],[Order_Date]]), "mmm")</f>
        <v>Mar</v>
      </c>
    </row>
    <row r="878" spans="4:17" x14ac:dyDescent="0.3">
      <c r="D878" s="1" t="s">
        <v>940</v>
      </c>
      <c r="E878" s="2">
        <v>45496</v>
      </c>
      <c r="F878" s="2">
        <v>45503</v>
      </c>
      <c r="G878" s="1" t="s">
        <v>11</v>
      </c>
      <c r="H878" s="1" t="s">
        <v>23</v>
      </c>
      <c r="I878" s="1" t="s">
        <v>65</v>
      </c>
      <c r="J878" s="1" t="s">
        <v>122</v>
      </c>
      <c r="K878" s="3">
        <v>787.16</v>
      </c>
      <c r="L878" s="1">
        <v>7</v>
      </c>
      <c r="M878" s="1" t="s">
        <v>20</v>
      </c>
      <c r="N878" s="3">
        <v>188.03</v>
      </c>
      <c r="O878" s="1" t="s">
        <v>2224</v>
      </c>
      <c r="P878" s="1" t="s">
        <v>2076</v>
      </c>
      <c r="Q878" s="1" t="str">
        <f>TEXT((Data[[#This Row],[Order_Date]]), "mmm")</f>
        <v>Jul</v>
      </c>
    </row>
    <row r="879" spans="4:17" x14ac:dyDescent="0.3">
      <c r="D879" s="1" t="s">
        <v>941</v>
      </c>
      <c r="E879" s="2">
        <v>45616</v>
      </c>
      <c r="F879" s="2">
        <v>45619</v>
      </c>
      <c r="G879" s="1" t="s">
        <v>36</v>
      </c>
      <c r="H879" s="1" t="s">
        <v>12</v>
      </c>
      <c r="I879" s="1" t="s">
        <v>58</v>
      </c>
      <c r="J879" s="1" t="s">
        <v>105</v>
      </c>
      <c r="K879" s="3">
        <v>3330.88</v>
      </c>
      <c r="L879" s="1">
        <v>11</v>
      </c>
      <c r="M879" s="1" t="s">
        <v>49</v>
      </c>
      <c r="N879" s="3">
        <v>545.21</v>
      </c>
      <c r="O879" s="1" t="s">
        <v>2143</v>
      </c>
      <c r="P879" s="1" t="s">
        <v>2078</v>
      </c>
      <c r="Q879" s="1" t="str">
        <f>TEXT((Data[[#This Row],[Order_Date]]), "mmm")</f>
        <v>Nov</v>
      </c>
    </row>
    <row r="880" spans="4:17" x14ac:dyDescent="0.3">
      <c r="D880" s="1" t="s">
        <v>942</v>
      </c>
      <c r="E880" s="2">
        <v>45418</v>
      </c>
      <c r="F880" s="2">
        <v>45419</v>
      </c>
      <c r="G880" s="1" t="s">
        <v>36</v>
      </c>
      <c r="H880" s="1" t="s">
        <v>17</v>
      </c>
      <c r="I880" s="1" t="s">
        <v>32</v>
      </c>
      <c r="J880" s="1" t="s">
        <v>56</v>
      </c>
      <c r="K880" s="3">
        <v>2814.92</v>
      </c>
      <c r="L880" s="1">
        <v>14</v>
      </c>
      <c r="M880" s="1" t="s">
        <v>20</v>
      </c>
      <c r="N880" s="3">
        <v>-418.88</v>
      </c>
      <c r="O880" s="1" t="s">
        <v>2279</v>
      </c>
      <c r="P880" s="1" t="s">
        <v>2078</v>
      </c>
      <c r="Q880" s="1" t="str">
        <f>TEXT((Data[[#This Row],[Order_Date]]), "mmm")</f>
        <v>May</v>
      </c>
    </row>
    <row r="881" spans="4:17" x14ac:dyDescent="0.3">
      <c r="D881" s="1" t="s">
        <v>943</v>
      </c>
      <c r="E881" s="2">
        <v>45462</v>
      </c>
      <c r="F881" s="2">
        <v>45466</v>
      </c>
      <c r="G881" s="1" t="s">
        <v>22</v>
      </c>
      <c r="H881" s="1" t="s">
        <v>17</v>
      </c>
      <c r="I881" s="1" t="s">
        <v>27</v>
      </c>
      <c r="J881" s="1" t="s">
        <v>28</v>
      </c>
      <c r="K881" s="3">
        <v>617.29999999999995</v>
      </c>
      <c r="L881" s="1">
        <v>8</v>
      </c>
      <c r="M881" s="1" t="s">
        <v>49</v>
      </c>
      <c r="N881" s="3">
        <v>207.13</v>
      </c>
      <c r="O881" s="1" t="s">
        <v>2296</v>
      </c>
      <c r="P881" s="1" t="s">
        <v>2078</v>
      </c>
      <c r="Q881" s="1" t="str">
        <f>TEXT((Data[[#This Row],[Order_Date]]), "mmm")</f>
        <v>Jun</v>
      </c>
    </row>
    <row r="882" spans="4:17" x14ac:dyDescent="0.3">
      <c r="D882" s="1" t="s">
        <v>944</v>
      </c>
      <c r="E882" s="2">
        <v>45355</v>
      </c>
      <c r="F882" s="2">
        <v>45357</v>
      </c>
      <c r="G882" s="1" t="s">
        <v>36</v>
      </c>
      <c r="H882" s="1" t="s">
        <v>12</v>
      </c>
      <c r="I882" s="1" t="s">
        <v>42</v>
      </c>
      <c r="J882" s="1" t="s">
        <v>48</v>
      </c>
      <c r="K882" s="3">
        <v>2233.6</v>
      </c>
      <c r="L882" s="1">
        <v>19</v>
      </c>
      <c r="M882" s="1" t="s">
        <v>34</v>
      </c>
      <c r="N882" s="3">
        <v>481.26</v>
      </c>
      <c r="O882" s="1" t="s">
        <v>2166</v>
      </c>
      <c r="P882" s="1" t="s">
        <v>2078</v>
      </c>
      <c r="Q882" s="1" t="str">
        <f>TEXT((Data[[#This Row],[Order_Date]]), "mmm")</f>
        <v>Mar</v>
      </c>
    </row>
    <row r="883" spans="4:17" x14ac:dyDescent="0.3">
      <c r="D883" s="1" t="s">
        <v>945</v>
      </c>
      <c r="E883" s="2">
        <v>45316</v>
      </c>
      <c r="F883" s="2">
        <v>45318</v>
      </c>
      <c r="G883" s="1" t="s">
        <v>36</v>
      </c>
      <c r="H883" s="1" t="s">
        <v>23</v>
      </c>
      <c r="I883" s="1" t="s">
        <v>78</v>
      </c>
      <c r="J883" s="1" t="s">
        <v>79</v>
      </c>
      <c r="K883" s="3">
        <v>3272.82</v>
      </c>
      <c r="L883" s="1">
        <v>18</v>
      </c>
      <c r="M883" s="1" t="s">
        <v>29</v>
      </c>
      <c r="N883" s="3">
        <v>747.46</v>
      </c>
      <c r="O883" s="1" t="s">
        <v>2205</v>
      </c>
      <c r="P883" s="1" t="s">
        <v>2078</v>
      </c>
      <c r="Q883" s="1" t="str">
        <f>TEXT((Data[[#This Row],[Order_Date]]), "mmm")</f>
        <v>Jan</v>
      </c>
    </row>
    <row r="884" spans="4:17" x14ac:dyDescent="0.3">
      <c r="D884" s="1" t="s">
        <v>946</v>
      </c>
      <c r="E884" s="2">
        <v>45536</v>
      </c>
      <c r="F884" s="2">
        <v>45538</v>
      </c>
      <c r="G884" s="1" t="s">
        <v>36</v>
      </c>
      <c r="H884" s="1" t="s">
        <v>17</v>
      </c>
      <c r="I884" s="1" t="s">
        <v>32</v>
      </c>
      <c r="J884" s="1" t="s">
        <v>56</v>
      </c>
      <c r="K884" s="3">
        <v>2715.86</v>
      </c>
      <c r="L884" s="1">
        <v>5</v>
      </c>
      <c r="M884" s="1" t="s">
        <v>49</v>
      </c>
      <c r="N884" s="3">
        <v>598.22</v>
      </c>
      <c r="O884" s="1" t="s">
        <v>2150</v>
      </c>
      <c r="P884" s="1" t="s">
        <v>2076</v>
      </c>
      <c r="Q884" s="1" t="str">
        <f>TEXT((Data[[#This Row],[Order_Date]]), "mmm")</f>
        <v>Sep</v>
      </c>
    </row>
    <row r="885" spans="4:17" x14ac:dyDescent="0.3">
      <c r="D885" s="1" t="s">
        <v>947</v>
      </c>
      <c r="E885" s="2">
        <v>45619</v>
      </c>
      <c r="F885" s="2">
        <v>45624</v>
      </c>
      <c r="G885" s="1" t="s">
        <v>22</v>
      </c>
      <c r="H885" s="1" t="s">
        <v>12</v>
      </c>
      <c r="I885" s="1" t="s">
        <v>42</v>
      </c>
      <c r="J885" s="1" t="s">
        <v>43</v>
      </c>
      <c r="K885" s="3">
        <v>936.64</v>
      </c>
      <c r="L885" s="1">
        <v>12</v>
      </c>
      <c r="M885" s="1" t="s">
        <v>49</v>
      </c>
      <c r="N885" s="3">
        <v>187.95</v>
      </c>
      <c r="O885" s="1" t="s">
        <v>2132</v>
      </c>
      <c r="P885" s="1" t="s">
        <v>2071</v>
      </c>
      <c r="Q885" s="1" t="str">
        <f>TEXT((Data[[#This Row],[Order_Date]]), "mmm")</f>
        <v>Nov</v>
      </c>
    </row>
    <row r="886" spans="4:17" x14ac:dyDescent="0.3">
      <c r="D886" s="1" t="s">
        <v>948</v>
      </c>
      <c r="E886" s="2">
        <v>45511</v>
      </c>
      <c r="F886" s="2">
        <v>45514</v>
      </c>
      <c r="G886" s="1" t="s">
        <v>36</v>
      </c>
      <c r="H886" s="1" t="s">
        <v>12</v>
      </c>
      <c r="I886" s="1" t="s">
        <v>38</v>
      </c>
      <c r="J886" s="1" t="s">
        <v>85</v>
      </c>
      <c r="K886" s="3">
        <v>1774.43</v>
      </c>
      <c r="L886" s="1">
        <v>11</v>
      </c>
      <c r="M886" s="1" t="s">
        <v>20</v>
      </c>
      <c r="N886" s="3">
        <v>-426.58</v>
      </c>
      <c r="O886" s="1" t="s">
        <v>2261</v>
      </c>
      <c r="P886" s="1" t="s">
        <v>2071</v>
      </c>
      <c r="Q886" s="1" t="str">
        <f>TEXT((Data[[#This Row],[Order_Date]]), "mmm")</f>
        <v>Aug</v>
      </c>
    </row>
    <row r="887" spans="4:17" x14ac:dyDescent="0.3">
      <c r="D887" s="1" t="s">
        <v>949</v>
      </c>
      <c r="E887" s="2">
        <v>45414</v>
      </c>
      <c r="F887" s="2">
        <v>45415</v>
      </c>
      <c r="G887" s="1" t="s">
        <v>22</v>
      </c>
      <c r="H887" s="1" t="s">
        <v>12</v>
      </c>
      <c r="I887" s="1" t="s">
        <v>38</v>
      </c>
      <c r="J887" s="1" t="s">
        <v>81</v>
      </c>
      <c r="K887" s="3">
        <v>3037.79</v>
      </c>
      <c r="L887" s="1">
        <v>18</v>
      </c>
      <c r="M887" s="1" t="s">
        <v>49</v>
      </c>
      <c r="N887" s="3">
        <v>-888.57</v>
      </c>
      <c r="O887" s="1" t="s">
        <v>2184</v>
      </c>
      <c r="P887" s="1" t="s">
        <v>2076</v>
      </c>
      <c r="Q887" s="1" t="str">
        <f>TEXT((Data[[#This Row],[Order_Date]]), "mmm")</f>
        <v>May</v>
      </c>
    </row>
    <row r="888" spans="4:17" x14ac:dyDescent="0.3">
      <c r="D888" s="1" t="s">
        <v>950</v>
      </c>
      <c r="E888" s="2">
        <v>45509</v>
      </c>
      <c r="F888" s="2">
        <v>45511</v>
      </c>
      <c r="G888" s="1" t="s">
        <v>31</v>
      </c>
      <c r="H888" s="1" t="s">
        <v>23</v>
      </c>
      <c r="I888" s="1" t="s">
        <v>61</v>
      </c>
      <c r="J888" s="1" t="s">
        <v>98</v>
      </c>
      <c r="K888" s="3">
        <v>302.13</v>
      </c>
      <c r="L888" s="1">
        <v>7</v>
      </c>
      <c r="M888" s="1" t="s">
        <v>15</v>
      </c>
      <c r="N888" s="3">
        <v>15.77</v>
      </c>
      <c r="O888" s="1" t="s">
        <v>2238</v>
      </c>
      <c r="P888" s="1" t="s">
        <v>2078</v>
      </c>
      <c r="Q888" s="1" t="str">
        <f>TEXT((Data[[#This Row],[Order_Date]]), "mmm")</f>
        <v>Aug</v>
      </c>
    </row>
    <row r="889" spans="4:17" x14ac:dyDescent="0.3">
      <c r="D889" s="1" t="s">
        <v>951</v>
      </c>
      <c r="E889" s="2">
        <v>45565</v>
      </c>
      <c r="F889" s="2">
        <v>45570</v>
      </c>
      <c r="G889" s="1" t="s">
        <v>22</v>
      </c>
      <c r="H889" s="1" t="s">
        <v>12</v>
      </c>
      <c r="I889" s="1" t="s">
        <v>38</v>
      </c>
      <c r="J889" s="1" t="s">
        <v>39</v>
      </c>
      <c r="K889" s="3">
        <v>1932.45</v>
      </c>
      <c r="L889" s="1">
        <v>6</v>
      </c>
      <c r="M889" s="1" t="s">
        <v>15</v>
      </c>
      <c r="N889" s="3">
        <v>635.88</v>
      </c>
      <c r="O889" s="1" t="s">
        <v>2089</v>
      </c>
      <c r="P889" s="1" t="s">
        <v>2071</v>
      </c>
      <c r="Q889" s="1" t="str">
        <f>TEXT((Data[[#This Row],[Order_Date]]), "mmm")</f>
        <v>Sep</v>
      </c>
    </row>
    <row r="890" spans="4:17" x14ac:dyDescent="0.3">
      <c r="D890" s="1" t="s">
        <v>952</v>
      </c>
      <c r="E890" s="2">
        <v>45407</v>
      </c>
      <c r="F890" s="2">
        <v>45409</v>
      </c>
      <c r="G890" s="1" t="s">
        <v>11</v>
      </c>
      <c r="H890" s="1" t="s">
        <v>23</v>
      </c>
      <c r="I890" s="1" t="s">
        <v>78</v>
      </c>
      <c r="J890" s="1" t="s">
        <v>79</v>
      </c>
      <c r="K890" s="3">
        <v>3821.81</v>
      </c>
      <c r="L890" s="1">
        <v>14</v>
      </c>
      <c r="M890" s="1" t="s">
        <v>49</v>
      </c>
      <c r="N890" s="3">
        <v>625.74</v>
      </c>
      <c r="O890" s="1" t="s">
        <v>2088</v>
      </c>
      <c r="P890" s="1" t="s">
        <v>2076</v>
      </c>
      <c r="Q890" s="1" t="str">
        <f>TEXT((Data[[#This Row],[Order_Date]]), "mmm")</f>
        <v>Apr</v>
      </c>
    </row>
    <row r="891" spans="4:17" x14ac:dyDescent="0.3">
      <c r="D891" s="1" t="s">
        <v>953</v>
      </c>
      <c r="E891" s="2">
        <v>45349</v>
      </c>
      <c r="F891" s="2">
        <v>45354</v>
      </c>
      <c r="G891" s="1" t="s">
        <v>22</v>
      </c>
      <c r="H891" s="1" t="s">
        <v>12</v>
      </c>
      <c r="I891" s="1" t="s">
        <v>38</v>
      </c>
      <c r="J891" s="1" t="s">
        <v>85</v>
      </c>
      <c r="K891" s="3">
        <v>1371.92</v>
      </c>
      <c r="L891" s="1">
        <v>10</v>
      </c>
      <c r="M891" s="1" t="s">
        <v>34</v>
      </c>
      <c r="N891" s="3">
        <v>156.29</v>
      </c>
      <c r="O891" s="1" t="s">
        <v>2279</v>
      </c>
      <c r="P891" s="1" t="s">
        <v>2076</v>
      </c>
      <c r="Q891" s="1" t="str">
        <f>TEXT((Data[[#This Row],[Order_Date]]), "mmm")</f>
        <v>Feb</v>
      </c>
    </row>
    <row r="892" spans="4:17" x14ac:dyDescent="0.3">
      <c r="D892" s="1" t="s">
        <v>954</v>
      </c>
      <c r="E892" s="2">
        <v>45583</v>
      </c>
      <c r="F892" s="2">
        <v>45589</v>
      </c>
      <c r="G892" s="1" t="s">
        <v>22</v>
      </c>
      <c r="H892" s="1" t="s">
        <v>23</v>
      </c>
      <c r="I892" s="1" t="s">
        <v>61</v>
      </c>
      <c r="J892" s="1" t="s">
        <v>98</v>
      </c>
      <c r="K892" s="3">
        <v>3596.85</v>
      </c>
      <c r="L892" s="1">
        <v>16</v>
      </c>
      <c r="M892" s="1" t="s">
        <v>20</v>
      </c>
      <c r="N892" s="3">
        <v>563.71</v>
      </c>
      <c r="O892" s="1" t="s">
        <v>2248</v>
      </c>
      <c r="P892" s="1" t="s">
        <v>2071</v>
      </c>
      <c r="Q892" s="1" t="str">
        <f>TEXT((Data[[#This Row],[Order_Date]]), "mmm")</f>
        <v>Oct</v>
      </c>
    </row>
    <row r="893" spans="4:17" x14ac:dyDescent="0.3">
      <c r="D893" s="1" t="s">
        <v>955</v>
      </c>
      <c r="E893" s="2">
        <v>45460</v>
      </c>
      <c r="F893" s="2">
        <v>45464</v>
      </c>
      <c r="G893" s="1" t="s">
        <v>36</v>
      </c>
      <c r="H893" s="1" t="s">
        <v>17</v>
      </c>
      <c r="I893" s="1" t="s">
        <v>18</v>
      </c>
      <c r="J893" s="1" t="s">
        <v>54</v>
      </c>
      <c r="K893" s="3">
        <v>3588.24</v>
      </c>
      <c r="L893" s="1">
        <v>6</v>
      </c>
      <c r="M893" s="1" t="s">
        <v>49</v>
      </c>
      <c r="N893" s="3">
        <v>-561.05999999999995</v>
      </c>
      <c r="O893" s="1" t="s">
        <v>2109</v>
      </c>
      <c r="P893" s="1" t="s">
        <v>2071</v>
      </c>
      <c r="Q893" s="1" t="str">
        <f>TEXT((Data[[#This Row],[Order_Date]]), "mmm")</f>
        <v>Jun</v>
      </c>
    </row>
    <row r="894" spans="4:17" x14ac:dyDescent="0.3">
      <c r="D894" s="1" t="s">
        <v>956</v>
      </c>
      <c r="E894" s="2">
        <v>45543</v>
      </c>
      <c r="F894" s="2">
        <v>45546</v>
      </c>
      <c r="G894" s="1" t="s">
        <v>11</v>
      </c>
      <c r="H894" s="1" t="s">
        <v>12</v>
      </c>
      <c r="I894" s="1" t="s">
        <v>58</v>
      </c>
      <c r="J894" s="1" t="s">
        <v>105</v>
      </c>
      <c r="K894" s="3">
        <v>714.41</v>
      </c>
      <c r="L894" s="1">
        <v>16</v>
      </c>
      <c r="M894" s="1" t="s">
        <v>20</v>
      </c>
      <c r="N894" s="3">
        <v>69.08</v>
      </c>
      <c r="O894" s="1" t="s">
        <v>2173</v>
      </c>
      <c r="P894" s="1" t="s">
        <v>2071</v>
      </c>
      <c r="Q894" s="1" t="str">
        <f>TEXT((Data[[#This Row],[Order_Date]]), "mmm")</f>
        <v>Sep</v>
      </c>
    </row>
    <row r="895" spans="4:17" x14ac:dyDescent="0.3">
      <c r="D895" s="1" t="s">
        <v>957</v>
      </c>
      <c r="E895" s="2">
        <v>45407</v>
      </c>
      <c r="F895" s="2">
        <v>45414</v>
      </c>
      <c r="G895" s="1" t="s">
        <v>31</v>
      </c>
      <c r="H895" s="1" t="s">
        <v>23</v>
      </c>
      <c r="I895" s="1" t="s">
        <v>24</v>
      </c>
      <c r="J895" s="1" t="s">
        <v>93</v>
      </c>
      <c r="K895" s="3">
        <v>1856.28</v>
      </c>
      <c r="L895" s="1">
        <v>6</v>
      </c>
      <c r="M895" s="1" t="s">
        <v>29</v>
      </c>
      <c r="N895" s="3">
        <v>-544.75</v>
      </c>
      <c r="O895" s="1" t="s">
        <v>2158</v>
      </c>
      <c r="P895" s="1" t="s">
        <v>2076</v>
      </c>
      <c r="Q895" s="1" t="str">
        <f>TEXT((Data[[#This Row],[Order_Date]]), "mmm")</f>
        <v>Apr</v>
      </c>
    </row>
    <row r="896" spans="4:17" x14ac:dyDescent="0.3">
      <c r="D896" s="1" t="s">
        <v>958</v>
      </c>
      <c r="E896" s="2">
        <v>45516</v>
      </c>
      <c r="F896" s="2">
        <v>45523</v>
      </c>
      <c r="G896" s="1" t="s">
        <v>22</v>
      </c>
      <c r="H896" s="1" t="s">
        <v>17</v>
      </c>
      <c r="I896" s="1" t="s">
        <v>27</v>
      </c>
      <c r="J896" s="1" t="s">
        <v>108</v>
      </c>
      <c r="K896" s="3">
        <v>271.79000000000002</v>
      </c>
      <c r="L896" s="1">
        <v>7</v>
      </c>
      <c r="M896" s="1" t="s">
        <v>20</v>
      </c>
      <c r="N896" s="3">
        <v>-29.05</v>
      </c>
      <c r="O896" s="1" t="s">
        <v>2203</v>
      </c>
      <c r="P896" s="1" t="s">
        <v>2078</v>
      </c>
      <c r="Q896" s="1" t="str">
        <f>TEXT((Data[[#This Row],[Order_Date]]), "mmm")</f>
        <v>Aug</v>
      </c>
    </row>
    <row r="897" spans="4:17" x14ac:dyDescent="0.3">
      <c r="D897" s="1" t="s">
        <v>959</v>
      </c>
      <c r="E897" s="2">
        <v>45494</v>
      </c>
      <c r="F897" s="2">
        <v>45500</v>
      </c>
      <c r="G897" s="1" t="s">
        <v>36</v>
      </c>
      <c r="H897" s="1" t="s">
        <v>17</v>
      </c>
      <c r="I897" s="1" t="s">
        <v>18</v>
      </c>
      <c r="J897" s="1" t="s">
        <v>90</v>
      </c>
      <c r="K897" s="3">
        <v>996.22</v>
      </c>
      <c r="L897" s="1">
        <v>16</v>
      </c>
      <c r="M897" s="1" t="s">
        <v>15</v>
      </c>
      <c r="N897" s="3">
        <v>-343.57</v>
      </c>
      <c r="O897" s="1" t="s">
        <v>2231</v>
      </c>
      <c r="P897" s="1" t="s">
        <v>2076</v>
      </c>
      <c r="Q897" s="1" t="str">
        <f>TEXT((Data[[#This Row],[Order_Date]]), "mmm")</f>
        <v>Jul</v>
      </c>
    </row>
    <row r="898" spans="4:17" x14ac:dyDescent="0.3">
      <c r="D898" s="1" t="s">
        <v>960</v>
      </c>
      <c r="E898" s="2">
        <v>45542</v>
      </c>
      <c r="F898" s="2">
        <v>45549</v>
      </c>
      <c r="G898" s="1" t="s">
        <v>22</v>
      </c>
      <c r="H898" s="1" t="s">
        <v>23</v>
      </c>
      <c r="I898" s="1" t="s">
        <v>65</v>
      </c>
      <c r="J898" s="1" t="s">
        <v>122</v>
      </c>
      <c r="K898" s="3">
        <v>2972.48</v>
      </c>
      <c r="L898" s="1">
        <v>13</v>
      </c>
      <c r="M898" s="1" t="s">
        <v>44</v>
      </c>
      <c r="N898" s="3">
        <v>-246.48</v>
      </c>
      <c r="O898" s="1" t="s">
        <v>2221</v>
      </c>
      <c r="P898" s="1" t="s">
        <v>2071</v>
      </c>
      <c r="Q898" s="1" t="str">
        <f>TEXT((Data[[#This Row],[Order_Date]]), "mmm")</f>
        <v>Sep</v>
      </c>
    </row>
    <row r="899" spans="4:17" x14ac:dyDescent="0.3">
      <c r="D899" s="1" t="s">
        <v>961</v>
      </c>
      <c r="E899" s="2">
        <v>45302</v>
      </c>
      <c r="F899" s="2">
        <v>45304</v>
      </c>
      <c r="G899" s="1" t="s">
        <v>22</v>
      </c>
      <c r="H899" s="1" t="s">
        <v>23</v>
      </c>
      <c r="I899" s="1" t="s">
        <v>61</v>
      </c>
      <c r="J899" s="1" t="s">
        <v>62</v>
      </c>
      <c r="K899" s="3">
        <v>1136.8900000000001</v>
      </c>
      <c r="L899" s="1">
        <v>11</v>
      </c>
      <c r="M899" s="1" t="s">
        <v>49</v>
      </c>
      <c r="N899" s="3">
        <v>389.88</v>
      </c>
      <c r="O899" s="1" t="s">
        <v>2297</v>
      </c>
      <c r="P899" s="1" t="s">
        <v>2076</v>
      </c>
      <c r="Q899" s="1" t="str">
        <f>TEXT((Data[[#This Row],[Order_Date]]), "mmm")</f>
        <v>Jan</v>
      </c>
    </row>
    <row r="900" spans="4:17" x14ac:dyDescent="0.3">
      <c r="D900" s="1" t="s">
        <v>962</v>
      </c>
      <c r="E900" s="2">
        <v>45514</v>
      </c>
      <c r="F900" s="2">
        <v>45521</v>
      </c>
      <c r="G900" s="1" t="s">
        <v>36</v>
      </c>
      <c r="H900" s="1" t="s">
        <v>23</v>
      </c>
      <c r="I900" s="1" t="s">
        <v>65</v>
      </c>
      <c r="J900" s="1" t="s">
        <v>66</v>
      </c>
      <c r="K900" s="3">
        <v>3103.37</v>
      </c>
      <c r="L900" s="1">
        <v>8</v>
      </c>
      <c r="M900" s="1" t="s">
        <v>29</v>
      </c>
      <c r="N900" s="3">
        <v>297.14</v>
      </c>
      <c r="O900" s="1" t="s">
        <v>2077</v>
      </c>
      <c r="P900" s="1" t="s">
        <v>2078</v>
      </c>
      <c r="Q900" s="1" t="str">
        <f>TEXT((Data[[#This Row],[Order_Date]]), "mmm")</f>
        <v>Aug</v>
      </c>
    </row>
    <row r="901" spans="4:17" x14ac:dyDescent="0.3">
      <c r="D901" s="1" t="s">
        <v>963</v>
      </c>
      <c r="E901" s="2">
        <v>45419</v>
      </c>
      <c r="F901" s="2">
        <v>45423</v>
      </c>
      <c r="G901" s="1" t="s">
        <v>11</v>
      </c>
      <c r="H901" s="1" t="s">
        <v>23</v>
      </c>
      <c r="I901" s="1" t="s">
        <v>78</v>
      </c>
      <c r="J901" s="1" t="s">
        <v>79</v>
      </c>
      <c r="K901" s="3">
        <v>994.05</v>
      </c>
      <c r="L901" s="1">
        <v>4</v>
      </c>
      <c r="M901" s="1" t="s">
        <v>15</v>
      </c>
      <c r="N901" s="3">
        <v>267.54000000000002</v>
      </c>
      <c r="O901" s="1" t="s">
        <v>2221</v>
      </c>
      <c r="P901" s="1" t="s">
        <v>2071</v>
      </c>
      <c r="Q901" s="1" t="str">
        <f>TEXT((Data[[#This Row],[Order_Date]]), "mmm")</f>
        <v>May</v>
      </c>
    </row>
    <row r="902" spans="4:17" x14ac:dyDescent="0.3">
      <c r="D902" s="1" t="s">
        <v>964</v>
      </c>
      <c r="E902" s="2">
        <v>45388</v>
      </c>
      <c r="F902" s="2">
        <v>45390</v>
      </c>
      <c r="G902" s="1" t="s">
        <v>22</v>
      </c>
      <c r="H902" s="1" t="s">
        <v>17</v>
      </c>
      <c r="I902" s="1" t="s">
        <v>18</v>
      </c>
      <c r="J902" s="1" t="s">
        <v>54</v>
      </c>
      <c r="K902" s="3">
        <v>393.87</v>
      </c>
      <c r="L902" s="1">
        <v>7</v>
      </c>
      <c r="M902" s="1" t="s">
        <v>44</v>
      </c>
      <c r="N902" s="3">
        <v>70.069999999999993</v>
      </c>
      <c r="O902" s="1" t="s">
        <v>2123</v>
      </c>
      <c r="P902" s="1" t="s">
        <v>2071</v>
      </c>
      <c r="Q902" s="1" t="str">
        <f>TEXT((Data[[#This Row],[Order_Date]]), "mmm")</f>
        <v>Apr</v>
      </c>
    </row>
    <row r="903" spans="4:17" x14ac:dyDescent="0.3">
      <c r="D903" s="1" t="s">
        <v>965</v>
      </c>
      <c r="E903" s="2">
        <v>45338</v>
      </c>
      <c r="F903" s="2">
        <v>45338</v>
      </c>
      <c r="G903" s="1" t="s">
        <v>31</v>
      </c>
      <c r="H903" s="1" t="s">
        <v>23</v>
      </c>
      <c r="I903" s="1" t="s">
        <v>24</v>
      </c>
      <c r="J903" s="1" t="s">
        <v>150</v>
      </c>
      <c r="K903" s="3">
        <v>2624.91</v>
      </c>
      <c r="L903" s="1">
        <v>8</v>
      </c>
      <c r="M903" s="1" t="s">
        <v>44</v>
      </c>
      <c r="N903" s="3">
        <v>395.98</v>
      </c>
      <c r="O903" s="1" t="s">
        <v>2269</v>
      </c>
      <c r="P903" s="1" t="s">
        <v>2071</v>
      </c>
      <c r="Q903" s="1" t="str">
        <f>TEXT((Data[[#This Row],[Order_Date]]), "mmm")</f>
        <v>Feb</v>
      </c>
    </row>
    <row r="904" spans="4:17" x14ac:dyDescent="0.3">
      <c r="D904" s="1" t="s">
        <v>966</v>
      </c>
      <c r="E904" s="2">
        <v>45553</v>
      </c>
      <c r="F904" s="2">
        <v>45559</v>
      </c>
      <c r="G904" s="1" t="s">
        <v>11</v>
      </c>
      <c r="H904" s="1" t="s">
        <v>23</v>
      </c>
      <c r="I904" s="1" t="s">
        <v>61</v>
      </c>
      <c r="J904" s="1" t="s">
        <v>98</v>
      </c>
      <c r="K904" s="3">
        <v>1613.41</v>
      </c>
      <c r="L904" s="1">
        <v>12</v>
      </c>
      <c r="M904" s="1" t="s">
        <v>15</v>
      </c>
      <c r="N904" s="3">
        <v>283.02999999999997</v>
      </c>
      <c r="O904" s="1" t="s">
        <v>2252</v>
      </c>
      <c r="P904" s="1" t="s">
        <v>2076</v>
      </c>
      <c r="Q904" s="1" t="str">
        <f>TEXT((Data[[#This Row],[Order_Date]]), "mmm")</f>
        <v>Sep</v>
      </c>
    </row>
    <row r="905" spans="4:17" x14ac:dyDescent="0.3">
      <c r="D905" s="1" t="s">
        <v>967</v>
      </c>
      <c r="E905" s="2">
        <v>45316</v>
      </c>
      <c r="F905" s="2">
        <v>45318</v>
      </c>
      <c r="G905" s="1" t="s">
        <v>11</v>
      </c>
      <c r="H905" s="1" t="s">
        <v>17</v>
      </c>
      <c r="I905" s="1" t="s">
        <v>18</v>
      </c>
      <c r="J905" s="1" t="s">
        <v>90</v>
      </c>
      <c r="K905" s="3">
        <v>3042.83</v>
      </c>
      <c r="L905" s="1">
        <v>7</v>
      </c>
      <c r="M905" s="1" t="s">
        <v>34</v>
      </c>
      <c r="N905" s="3">
        <v>583.05999999999995</v>
      </c>
      <c r="O905" s="1" t="s">
        <v>2286</v>
      </c>
      <c r="P905" s="1" t="s">
        <v>2071</v>
      </c>
      <c r="Q905" s="1" t="str">
        <f>TEXT((Data[[#This Row],[Order_Date]]), "mmm")</f>
        <v>Jan</v>
      </c>
    </row>
    <row r="906" spans="4:17" x14ac:dyDescent="0.3">
      <c r="D906" s="1" t="s">
        <v>968</v>
      </c>
      <c r="E906" s="2">
        <v>45343</v>
      </c>
      <c r="F906" s="2">
        <v>45349</v>
      </c>
      <c r="G906" s="1" t="s">
        <v>22</v>
      </c>
      <c r="H906" s="1" t="s">
        <v>23</v>
      </c>
      <c r="I906" s="1" t="s">
        <v>65</v>
      </c>
      <c r="J906" s="1" t="s">
        <v>114</v>
      </c>
      <c r="K906" s="3">
        <v>1503.56</v>
      </c>
      <c r="L906" s="1">
        <v>4</v>
      </c>
      <c r="M906" s="1" t="s">
        <v>20</v>
      </c>
      <c r="N906" s="3">
        <v>376.92</v>
      </c>
      <c r="O906" s="1" t="s">
        <v>2222</v>
      </c>
      <c r="P906" s="1" t="s">
        <v>2071</v>
      </c>
      <c r="Q906" s="1" t="str">
        <f>TEXT((Data[[#This Row],[Order_Date]]), "mmm")</f>
        <v>Feb</v>
      </c>
    </row>
    <row r="907" spans="4:17" x14ac:dyDescent="0.3">
      <c r="D907" s="1" t="s">
        <v>969</v>
      </c>
      <c r="E907" s="2">
        <v>45358</v>
      </c>
      <c r="F907" s="2">
        <v>45363</v>
      </c>
      <c r="G907" s="1" t="s">
        <v>36</v>
      </c>
      <c r="H907" s="1" t="s">
        <v>12</v>
      </c>
      <c r="I907" s="1" t="s">
        <v>13</v>
      </c>
      <c r="J907" s="1" t="s">
        <v>129</v>
      </c>
      <c r="K907" s="3">
        <v>1143.45</v>
      </c>
      <c r="L907" s="1">
        <v>9</v>
      </c>
      <c r="M907" s="1" t="s">
        <v>44</v>
      </c>
      <c r="N907" s="3">
        <v>-257.62</v>
      </c>
      <c r="O907" s="1" t="s">
        <v>2181</v>
      </c>
      <c r="P907" s="1" t="s">
        <v>2076</v>
      </c>
      <c r="Q907" s="1" t="str">
        <f>TEXT((Data[[#This Row],[Order_Date]]), "mmm")</f>
        <v>Mar</v>
      </c>
    </row>
    <row r="908" spans="4:17" x14ac:dyDescent="0.3">
      <c r="D908" s="1" t="s">
        <v>970</v>
      </c>
      <c r="E908" s="2">
        <v>45346</v>
      </c>
      <c r="F908" s="2">
        <v>45348</v>
      </c>
      <c r="G908" s="1" t="s">
        <v>11</v>
      </c>
      <c r="H908" s="1" t="s">
        <v>17</v>
      </c>
      <c r="I908" s="1" t="s">
        <v>32</v>
      </c>
      <c r="J908" s="1" t="s">
        <v>56</v>
      </c>
      <c r="K908" s="3">
        <v>973.48</v>
      </c>
      <c r="L908" s="1">
        <v>15</v>
      </c>
      <c r="M908" s="1" t="s">
        <v>20</v>
      </c>
      <c r="N908" s="3">
        <v>70.540000000000006</v>
      </c>
      <c r="O908" s="1" t="s">
        <v>2190</v>
      </c>
      <c r="P908" s="1" t="s">
        <v>2071</v>
      </c>
      <c r="Q908" s="1" t="str">
        <f>TEXT((Data[[#This Row],[Order_Date]]), "mmm")</f>
        <v>Feb</v>
      </c>
    </row>
    <row r="909" spans="4:17" x14ac:dyDescent="0.3">
      <c r="D909" s="1" t="s">
        <v>971</v>
      </c>
      <c r="E909" s="2">
        <v>45467</v>
      </c>
      <c r="F909" s="2">
        <v>45471</v>
      </c>
      <c r="G909" s="1" t="s">
        <v>31</v>
      </c>
      <c r="H909" s="1" t="s">
        <v>17</v>
      </c>
      <c r="I909" s="1" t="s">
        <v>32</v>
      </c>
      <c r="J909" s="1" t="s">
        <v>56</v>
      </c>
      <c r="K909" s="3">
        <v>414.29</v>
      </c>
      <c r="L909" s="1">
        <v>7</v>
      </c>
      <c r="M909" s="1" t="s">
        <v>49</v>
      </c>
      <c r="N909" s="3">
        <v>89.13</v>
      </c>
      <c r="O909" s="1" t="s">
        <v>2102</v>
      </c>
      <c r="P909" s="1" t="s">
        <v>2076</v>
      </c>
      <c r="Q909" s="1" t="str">
        <f>TEXT((Data[[#This Row],[Order_Date]]), "mmm")</f>
        <v>Jun</v>
      </c>
    </row>
    <row r="910" spans="4:17" x14ac:dyDescent="0.3">
      <c r="D910" s="1" t="s">
        <v>972</v>
      </c>
      <c r="E910" s="2">
        <v>45578</v>
      </c>
      <c r="F910" s="2">
        <v>45583</v>
      </c>
      <c r="G910" s="1" t="s">
        <v>36</v>
      </c>
      <c r="H910" s="1" t="s">
        <v>23</v>
      </c>
      <c r="I910" s="1" t="s">
        <v>61</v>
      </c>
      <c r="J910" s="1" t="s">
        <v>98</v>
      </c>
      <c r="K910" s="3">
        <v>503.91</v>
      </c>
      <c r="L910" s="1">
        <v>14</v>
      </c>
      <c r="M910" s="1" t="s">
        <v>29</v>
      </c>
      <c r="N910" s="3">
        <v>165.99</v>
      </c>
      <c r="O910" s="1" t="s">
        <v>2104</v>
      </c>
      <c r="P910" s="1" t="s">
        <v>2071</v>
      </c>
      <c r="Q910" s="1" t="str">
        <f>TEXT((Data[[#This Row],[Order_Date]]), "mmm")</f>
        <v>Oct</v>
      </c>
    </row>
    <row r="911" spans="4:17" x14ac:dyDescent="0.3">
      <c r="D911" s="1" t="s">
        <v>973</v>
      </c>
      <c r="E911" s="2">
        <v>45303</v>
      </c>
      <c r="F911" s="2">
        <v>45305</v>
      </c>
      <c r="G911" s="1" t="s">
        <v>36</v>
      </c>
      <c r="H911" s="1" t="s">
        <v>12</v>
      </c>
      <c r="I911" s="1" t="s">
        <v>58</v>
      </c>
      <c r="J911" s="1" t="s">
        <v>105</v>
      </c>
      <c r="K911" s="3">
        <v>420.42</v>
      </c>
      <c r="L911" s="1">
        <v>19</v>
      </c>
      <c r="M911" s="1" t="s">
        <v>20</v>
      </c>
      <c r="N911" s="3">
        <v>121.21</v>
      </c>
      <c r="O911" s="1" t="s">
        <v>2291</v>
      </c>
      <c r="P911" s="1" t="s">
        <v>2078</v>
      </c>
      <c r="Q911" s="1" t="str">
        <f>TEXT((Data[[#This Row],[Order_Date]]), "mmm")</f>
        <v>Jan</v>
      </c>
    </row>
    <row r="912" spans="4:17" x14ac:dyDescent="0.3">
      <c r="D912" s="1" t="s">
        <v>974</v>
      </c>
      <c r="E912" s="2">
        <v>45495</v>
      </c>
      <c r="F912" s="2">
        <v>45502</v>
      </c>
      <c r="G912" s="1" t="s">
        <v>11</v>
      </c>
      <c r="H912" s="1" t="s">
        <v>17</v>
      </c>
      <c r="I912" s="1" t="s">
        <v>27</v>
      </c>
      <c r="J912" s="1" t="s">
        <v>108</v>
      </c>
      <c r="K912" s="3">
        <v>2359.37</v>
      </c>
      <c r="L912" s="1">
        <v>13</v>
      </c>
      <c r="M912" s="1" t="s">
        <v>49</v>
      </c>
      <c r="N912" s="3">
        <v>547.76</v>
      </c>
      <c r="O912" s="1" t="s">
        <v>2167</v>
      </c>
      <c r="P912" s="1" t="s">
        <v>2076</v>
      </c>
      <c r="Q912" s="1" t="str">
        <f>TEXT((Data[[#This Row],[Order_Date]]), "mmm")</f>
        <v>Jul</v>
      </c>
    </row>
    <row r="913" spans="4:17" x14ac:dyDescent="0.3">
      <c r="D913" s="1" t="s">
        <v>975</v>
      </c>
      <c r="E913" s="2">
        <v>45293</v>
      </c>
      <c r="F913" s="2">
        <v>45295</v>
      </c>
      <c r="G913" s="1" t="s">
        <v>22</v>
      </c>
      <c r="H913" s="1" t="s">
        <v>12</v>
      </c>
      <c r="I913" s="1" t="s">
        <v>38</v>
      </c>
      <c r="J913" s="1" t="s">
        <v>39</v>
      </c>
      <c r="K913" s="3">
        <v>1957.9</v>
      </c>
      <c r="L913" s="1">
        <v>17</v>
      </c>
      <c r="M913" s="1" t="s">
        <v>34</v>
      </c>
      <c r="N913" s="3">
        <v>276.11</v>
      </c>
      <c r="O913" s="1" t="s">
        <v>2198</v>
      </c>
      <c r="P913" s="1" t="s">
        <v>2078</v>
      </c>
      <c r="Q913" s="1" t="str">
        <f>TEXT((Data[[#This Row],[Order_Date]]), "mmm")</f>
        <v>Jan</v>
      </c>
    </row>
    <row r="914" spans="4:17" x14ac:dyDescent="0.3">
      <c r="D914" s="1" t="s">
        <v>976</v>
      </c>
      <c r="E914" s="2">
        <v>45654</v>
      </c>
      <c r="F914" s="2">
        <v>45658</v>
      </c>
      <c r="G914" s="1" t="s">
        <v>11</v>
      </c>
      <c r="H914" s="1" t="s">
        <v>17</v>
      </c>
      <c r="I914" s="1" t="s">
        <v>18</v>
      </c>
      <c r="J914" s="1" t="s">
        <v>19</v>
      </c>
      <c r="K914" s="3">
        <v>2250.87</v>
      </c>
      <c r="L914" s="1">
        <v>10</v>
      </c>
      <c r="M914" s="1" t="s">
        <v>20</v>
      </c>
      <c r="N914" s="3">
        <v>544.45000000000005</v>
      </c>
      <c r="O914" s="1" t="s">
        <v>2107</v>
      </c>
      <c r="P914" s="1" t="s">
        <v>2078</v>
      </c>
      <c r="Q914" s="1" t="str">
        <f>TEXT((Data[[#This Row],[Order_Date]]), "mmm")</f>
        <v>Dec</v>
      </c>
    </row>
    <row r="915" spans="4:17" x14ac:dyDescent="0.3">
      <c r="D915" s="1" t="s">
        <v>977</v>
      </c>
      <c r="E915" s="2">
        <v>45434</v>
      </c>
      <c r="F915" s="2">
        <v>45436</v>
      </c>
      <c r="G915" s="1" t="s">
        <v>36</v>
      </c>
      <c r="H915" s="1" t="s">
        <v>17</v>
      </c>
      <c r="I915" s="1" t="s">
        <v>32</v>
      </c>
      <c r="J915" s="1" t="s">
        <v>56</v>
      </c>
      <c r="K915" s="3">
        <v>3960.76</v>
      </c>
      <c r="L915" s="1">
        <v>7</v>
      </c>
      <c r="M915" s="1" t="s">
        <v>29</v>
      </c>
      <c r="N915" s="3">
        <v>336.09</v>
      </c>
      <c r="O915" s="1" t="s">
        <v>2195</v>
      </c>
      <c r="P915" s="1" t="s">
        <v>2076</v>
      </c>
      <c r="Q915" s="1" t="str">
        <f>TEXT((Data[[#This Row],[Order_Date]]), "mmm")</f>
        <v>May</v>
      </c>
    </row>
    <row r="916" spans="4:17" x14ac:dyDescent="0.3">
      <c r="D916" s="1" t="s">
        <v>978</v>
      </c>
      <c r="E916" s="2">
        <v>45615</v>
      </c>
      <c r="F916" s="2">
        <v>45620</v>
      </c>
      <c r="G916" s="1" t="s">
        <v>36</v>
      </c>
      <c r="H916" s="1" t="s">
        <v>17</v>
      </c>
      <c r="I916" s="1" t="s">
        <v>32</v>
      </c>
      <c r="J916" s="1" t="s">
        <v>33</v>
      </c>
      <c r="K916" s="3">
        <v>2957.8</v>
      </c>
      <c r="L916" s="1">
        <v>14</v>
      </c>
      <c r="M916" s="1" t="s">
        <v>29</v>
      </c>
      <c r="N916" s="3">
        <v>409.56</v>
      </c>
      <c r="O916" s="1" t="s">
        <v>2268</v>
      </c>
      <c r="P916" s="1" t="s">
        <v>2078</v>
      </c>
      <c r="Q916" s="1" t="str">
        <f>TEXT((Data[[#This Row],[Order_Date]]), "mmm")</f>
        <v>Nov</v>
      </c>
    </row>
    <row r="917" spans="4:17" x14ac:dyDescent="0.3">
      <c r="D917" s="1" t="s">
        <v>979</v>
      </c>
      <c r="E917" s="2">
        <v>45612</v>
      </c>
      <c r="F917" s="2">
        <v>45612</v>
      </c>
      <c r="G917" s="1" t="s">
        <v>36</v>
      </c>
      <c r="H917" s="1" t="s">
        <v>17</v>
      </c>
      <c r="I917" s="1" t="s">
        <v>32</v>
      </c>
      <c r="J917" s="1" t="s">
        <v>33</v>
      </c>
      <c r="K917" s="3">
        <v>912.76</v>
      </c>
      <c r="L917" s="1">
        <v>1</v>
      </c>
      <c r="M917" s="1" t="s">
        <v>29</v>
      </c>
      <c r="N917" s="3">
        <v>225.63</v>
      </c>
      <c r="O917" s="1" t="s">
        <v>2245</v>
      </c>
      <c r="P917" s="1" t="s">
        <v>2078</v>
      </c>
      <c r="Q917" s="1" t="str">
        <f>TEXT((Data[[#This Row],[Order_Date]]), "mmm")</f>
        <v>Nov</v>
      </c>
    </row>
    <row r="918" spans="4:17" x14ac:dyDescent="0.3">
      <c r="D918" s="1" t="s">
        <v>980</v>
      </c>
      <c r="E918" s="2">
        <v>45590</v>
      </c>
      <c r="F918" s="2">
        <v>45591</v>
      </c>
      <c r="G918" s="1" t="s">
        <v>31</v>
      </c>
      <c r="H918" s="1" t="s">
        <v>12</v>
      </c>
      <c r="I918" s="1" t="s">
        <v>13</v>
      </c>
      <c r="J918" s="1" t="s">
        <v>14</v>
      </c>
      <c r="K918" s="3">
        <v>3313.18</v>
      </c>
      <c r="L918" s="1">
        <v>8</v>
      </c>
      <c r="M918" s="1" t="s">
        <v>34</v>
      </c>
      <c r="N918" s="3">
        <v>432.83</v>
      </c>
      <c r="O918" s="1" t="s">
        <v>2204</v>
      </c>
      <c r="P918" s="1" t="s">
        <v>2078</v>
      </c>
      <c r="Q918" s="1" t="str">
        <f>TEXT((Data[[#This Row],[Order_Date]]), "mmm")</f>
        <v>Oct</v>
      </c>
    </row>
    <row r="919" spans="4:17" x14ac:dyDescent="0.3">
      <c r="D919" s="1" t="s">
        <v>981</v>
      </c>
      <c r="E919" s="2">
        <v>45494</v>
      </c>
      <c r="F919" s="2">
        <v>45496</v>
      </c>
      <c r="G919" s="1" t="s">
        <v>31</v>
      </c>
      <c r="H919" s="1" t="s">
        <v>17</v>
      </c>
      <c r="I919" s="1" t="s">
        <v>32</v>
      </c>
      <c r="J919" s="1" t="s">
        <v>33</v>
      </c>
      <c r="K919" s="3">
        <v>1632.4</v>
      </c>
      <c r="L919" s="1">
        <v>16</v>
      </c>
      <c r="M919" s="1" t="s">
        <v>20</v>
      </c>
      <c r="N919" s="3">
        <v>324.5</v>
      </c>
      <c r="O919" s="1" t="s">
        <v>2138</v>
      </c>
      <c r="P919" s="1" t="s">
        <v>2078</v>
      </c>
      <c r="Q919" s="1" t="str">
        <f>TEXT((Data[[#This Row],[Order_Date]]), "mmm")</f>
        <v>Jul</v>
      </c>
    </row>
    <row r="920" spans="4:17" x14ac:dyDescent="0.3">
      <c r="D920" s="1" t="s">
        <v>982</v>
      </c>
      <c r="E920" s="2">
        <v>45382</v>
      </c>
      <c r="F920" s="2">
        <v>45385</v>
      </c>
      <c r="G920" s="1" t="s">
        <v>31</v>
      </c>
      <c r="H920" s="1" t="s">
        <v>12</v>
      </c>
      <c r="I920" s="1" t="s">
        <v>58</v>
      </c>
      <c r="J920" s="1" t="s">
        <v>59</v>
      </c>
      <c r="K920" s="3">
        <v>1307.67</v>
      </c>
      <c r="L920" s="1">
        <v>10</v>
      </c>
      <c r="M920" s="1" t="s">
        <v>44</v>
      </c>
      <c r="N920" s="3">
        <v>412.67</v>
      </c>
      <c r="O920" s="1" t="s">
        <v>2296</v>
      </c>
      <c r="P920" s="1" t="s">
        <v>2071</v>
      </c>
      <c r="Q920" s="1" t="str">
        <f>TEXT((Data[[#This Row],[Order_Date]]), "mmm")</f>
        <v>Mar</v>
      </c>
    </row>
    <row r="921" spans="4:17" x14ac:dyDescent="0.3">
      <c r="D921" s="1" t="s">
        <v>983</v>
      </c>
      <c r="E921" s="2">
        <v>45643</v>
      </c>
      <c r="F921" s="2">
        <v>45646</v>
      </c>
      <c r="G921" s="1" t="s">
        <v>11</v>
      </c>
      <c r="H921" s="1" t="s">
        <v>17</v>
      </c>
      <c r="I921" s="1" t="s">
        <v>18</v>
      </c>
      <c r="J921" s="1" t="s">
        <v>54</v>
      </c>
      <c r="K921" s="3">
        <v>1169.7</v>
      </c>
      <c r="L921" s="1">
        <v>13</v>
      </c>
      <c r="M921" s="1" t="s">
        <v>20</v>
      </c>
      <c r="N921" s="3">
        <v>-312.64999999999998</v>
      </c>
      <c r="O921" s="1" t="s">
        <v>2135</v>
      </c>
      <c r="P921" s="1" t="s">
        <v>2071</v>
      </c>
      <c r="Q921" s="1" t="str">
        <f>TEXT((Data[[#This Row],[Order_Date]]), "mmm")</f>
        <v>Dec</v>
      </c>
    </row>
    <row r="922" spans="4:17" x14ac:dyDescent="0.3">
      <c r="D922" s="1" t="s">
        <v>984</v>
      </c>
      <c r="E922" s="2">
        <v>45298</v>
      </c>
      <c r="F922" s="2">
        <v>45299</v>
      </c>
      <c r="G922" s="1" t="s">
        <v>31</v>
      </c>
      <c r="H922" s="1" t="s">
        <v>23</v>
      </c>
      <c r="I922" s="1" t="s">
        <v>61</v>
      </c>
      <c r="J922" s="1" t="s">
        <v>76</v>
      </c>
      <c r="K922" s="3">
        <v>3349.61</v>
      </c>
      <c r="L922" s="1">
        <v>2</v>
      </c>
      <c r="M922" s="1" t="s">
        <v>44</v>
      </c>
      <c r="N922" s="3">
        <v>-417.04</v>
      </c>
      <c r="O922" s="1" t="s">
        <v>2202</v>
      </c>
      <c r="P922" s="1" t="s">
        <v>2071</v>
      </c>
      <c r="Q922" s="1" t="str">
        <f>TEXT((Data[[#This Row],[Order_Date]]), "mmm")</f>
        <v>Jan</v>
      </c>
    </row>
    <row r="923" spans="4:17" x14ac:dyDescent="0.3">
      <c r="D923" s="1" t="s">
        <v>985</v>
      </c>
      <c r="E923" s="2">
        <v>45365</v>
      </c>
      <c r="F923" s="2">
        <v>45365</v>
      </c>
      <c r="G923" s="1" t="s">
        <v>11</v>
      </c>
      <c r="H923" s="1" t="s">
        <v>17</v>
      </c>
      <c r="I923" s="1" t="s">
        <v>32</v>
      </c>
      <c r="J923" s="1" t="s">
        <v>33</v>
      </c>
      <c r="K923" s="3">
        <v>3447.7</v>
      </c>
      <c r="L923" s="1">
        <v>3</v>
      </c>
      <c r="M923" s="1" t="s">
        <v>44</v>
      </c>
      <c r="N923" s="3">
        <v>316.39</v>
      </c>
      <c r="O923" s="1" t="s">
        <v>2294</v>
      </c>
      <c r="P923" s="1" t="s">
        <v>2078</v>
      </c>
      <c r="Q923" s="1" t="str">
        <f>TEXT((Data[[#This Row],[Order_Date]]), "mmm")</f>
        <v>Mar</v>
      </c>
    </row>
    <row r="924" spans="4:17" x14ac:dyDescent="0.3">
      <c r="D924" s="1" t="s">
        <v>986</v>
      </c>
      <c r="E924" s="2">
        <v>45519</v>
      </c>
      <c r="F924" s="2">
        <v>45521</v>
      </c>
      <c r="G924" s="1" t="s">
        <v>36</v>
      </c>
      <c r="H924" s="1" t="s">
        <v>23</v>
      </c>
      <c r="I924" s="1" t="s">
        <v>65</v>
      </c>
      <c r="J924" s="1" t="s">
        <v>66</v>
      </c>
      <c r="K924" s="3">
        <v>1164.28</v>
      </c>
      <c r="L924" s="1">
        <v>18</v>
      </c>
      <c r="M924" s="1" t="s">
        <v>15</v>
      </c>
      <c r="N924" s="3">
        <v>151.63</v>
      </c>
      <c r="O924" s="1" t="s">
        <v>2165</v>
      </c>
      <c r="P924" s="1" t="s">
        <v>2076</v>
      </c>
      <c r="Q924" s="1" t="str">
        <f>TEXT((Data[[#This Row],[Order_Date]]), "mmm")</f>
        <v>Aug</v>
      </c>
    </row>
    <row r="925" spans="4:17" x14ac:dyDescent="0.3">
      <c r="D925" s="1" t="s">
        <v>987</v>
      </c>
      <c r="E925" s="2">
        <v>45302</v>
      </c>
      <c r="F925" s="2">
        <v>45302</v>
      </c>
      <c r="G925" s="1" t="s">
        <v>11</v>
      </c>
      <c r="H925" s="1" t="s">
        <v>12</v>
      </c>
      <c r="I925" s="1" t="s">
        <v>13</v>
      </c>
      <c r="J925" s="1" t="s">
        <v>51</v>
      </c>
      <c r="K925" s="3">
        <v>2168.2800000000002</v>
      </c>
      <c r="L925" s="1">
        <v>14</v>
      </c>
      <c r="M925" s="1" t="s">
        <v>44</v>
      </c>
      <c r="N925" s="3">
        <v>109.2</v>
      </c>
      <c r="O925" s="1" t="s">
        <v>2106</v>
      </c>
      <c r="P925" s="1" t="s">
        <v>2076</v>
      </c>
      <c r="Q925" s="1" t="str">
        <f>TEXT((Data[[#This Row],[Order_Date]]), "mmm")</f>
        <v>Jan</v>
      </c>
    </row>
    <row r="926" spans="4:17" x14ac:dyDescent="0.3">
      <c r="D926" s="1" t="s">
        <v>988</v>
      </c>
      <c r="E926" s="2">
        <v>45408</v>
      </c>
      <c r="F926" s="2">
        <v>45414</v>
      </c>
      <c r="G926" s="1" t="s">
        <v>31</v>
      </c>
      <c r="H926" s="1" t="s">
        <v>17</v>
      </c>
      <c r="I926" s="1" t="s">
        <v>27</v>
      </c>
      <c r="J926" s="1" t="s">
        <v>110</v>
      </c>
      <c r="K926" s="3">
        <v>1097.07</v>
      </c>
      <c r="L926" s="1">
        <v>13</v>
      </c>
      <c r="M926" s="1" t="s">
        <v>15</v>
      </c>
      <c r="N926" s="3">
        <v>345.87</v>
      </c>
      <c r="O926" s="1" t="s">
        <v>2276</v>
      </c>
      <c r="P926" s="1" t="s">
        <v>2078</v>
      </c>
      <c r="Q926" s="1" t="str">
        <f>TEXT((Data[[#This Row],[Order_Date]]), "mmm")</f>
        <v>Apr</v>
      </c>
    </row>
    <row r="927" spans="4:17" x14ac:dyDescent="0.3">
      <c r="D927" s="1" t="s">
        <v>989</v>
      </c>
      <c r="E927" s="2">
        <v>45349</v>
      </c>
      <c r="F927" s="2">
        <v>45356</v>
      </c>
      <c r="G927" s="1" t="s">
        <v>22</v>
      </c>
      <c r="H927" s="1" t="s">
        <v>17</v>
      </c>
      <c r="I927" s="1" t="s">
        <v>18</v>
      </c>
      <c r="J927" s="1" t="s">
        <v>19</v>
      </c>
      <c r="K927" s="3">
        <v>3836.75</v>
      </c>
      <c r="L927" s="1">
        <v>10</v>
      </c>
      <c r="M927" s="1" t="s">
        <v>34</v>
      </c>
      <c r="N927" s="3">
        <v>279.64999999999998</v>
      </c>
      <c r="O927" s="1" t="s">
        <v>2195</v>
      </c>
      <c r="P927" s="1" t="s">
        <v>2076</v>
      </c>
      <c r="Q927" s="1" t="str">
        <f>TEXT((Data[[#This Row],[Order_Date]]), "mmm")</f>
        <v>Feb</v>
      </c>
    </row>
    <row r="928" spans="4:17" x14ac:dyDescent="0.3">
      <c r="D928" s="1" t="s">
        <v>990</v>
      </c>
      <c r="E928" s="2">
        <v>45476</v>
      </c>
      <c r="F928" s="2">
        <v>45477</v>
      </c>
      <c r="G928" s="1" t="s">
        <v>11</v>
      </c>
      <c r="H928" s="1" t="s">
        <v>12</v>
      </c>
      <c r="I928" s="1" t="s">
        <v>58</v>
      </c>
      <c r="J928" s="1" t="s">
        <v>120</v>
      </c>
      <c r="K928" s="3">
        <v>1857.36</v>
      </c>
      <c r="L928" s="1">
        <v>11</v>
      </c>
      <c r="M928" s="1" t="s">
        <v>29</v>
      </c>
      <c r="N928" s="3">
        <v>193.93</v>
      </c>
      <c r="O928" s="1" t="s">
        <v>2267</v>
      </c>
      <c r="P928" s="1" t="s">
        <v>2076</v>
      </c>
      <c r="Q928" s="1" t="str">
        <f>TEXT((Data[[#This Row],[Order_Date]]), "mmm")</f>
        <v>Jul</v>
      </c>
    </row>
    <row r="929" spans="4:17" x14ac:dyDescent="0.3">
      <c r="D929" s="1" t="s">
        <v>991</v>
      </c>
      <c r="E929" s="2">
        <v>45633</v>
      </c>
      <c r="F929" s="2">
        <v>45637</v>
      </c>
      <c r="G929" s="1" t="s">
        <v>36</v>
      </c>
      <c r="H929" s="1" t="s">
        <v>23</v>
      </c>
      <c r="I929" s="1" t="s">
        <v>61</v>
      </c>
      <c r="J929" s="1" t="s">
        <v>98</v>
      </c>
      <c r="K929" s="3">
        <v>3685.88</v>
      </c>
      <c r="L929" s="1">
        <v>12</v>
      </c>
      <c r="M929" s="1" t="s">
        <v>34</v>
      </c>
      <c r="N929" s="3">
        <v>1080.76</v>
      </c>
      <c r="O929" s="1" t="s">
        <v>2236</v>
      </c>
      <c r="P929" s="1" t="s">
        <v>2076</v>
      </c>
      <c r="Q929" s="1" t="str">
        <f>TEXT((Data[[#This Row],[Order_Date]]), "mmm")</f>
        <v>Dec</v>
      </c>
    </row>
    <row r="930" spans="4:17" x14ac:dyDescent="0.3">
      <c r="D930" s="1" t="s">
        <v>992</v>
      </c>
      <c r="E930" s="2">
        <v>45331</v>
      </c>
      <c r="F930" s="2">
        <v>45331</v>
      </c>
      <c r="G930" s="1" t="s">
        <v>22</v>
      </c>
      <c r="H930" s="1" t="s">
        <v>12</v>
      </c>
      <c r="I930" s="1" t="s">
        <v>58</v>
      </c>
      <c r="J930" s="1" t="s">
        <v>105</v>
      </c>
      <c r="K930" s="3">
        <v>804.18</v>
      </c>
      <c r="L930" s="1">
        <v>15</v>
      </c>
      <c r="M930" s="1" t="s">
        <v>15</v>
      </c>
      <c r="N930" s="3">
        <v>232.45</v>
      </c>
      <c r="O930" s="1" t="s">
        <v>2117</v>
      </c>
      <c r="P930" s="1" t="s">
        <v>2078</v>
      </c>
      <c r="Q930" s="1" t="str">
        <f>TEXT((Data[[#This Row],[Order_Date]]), "mmm")</f>
        <v>Feb</v>
      </c>
    </row>
    <row r="931" spans="4:17" x14ac:dyDescent="0.3">
      <c r="D931" s="1" t="s">
        <v>993</v>
      </c>
      <c r="E931" s="2">
        <v>45326</v>
      </c>
      <c r="F931" s="2">
        <v>45327</v>
      </c>
      <c r="G931" s="1" t="s">
        <v>31</v>
      </c>
      <c r="H931" s="1" t="s">
        <v>12</v>
      </c>
      <c r="I931" s="1" t="s">
        <v>13</v>
      </c>
      <c r="J931" s="1" t="s">
        <v>14</v>
      </c>
      <c r="K931" s="3">
        <v>589.17999999999995</v>
      </c>
      <c r="L931" s="1">
        <v>5</v>
      </c>
      <c r="M931" s="1" t="s">
        <v>44</v>
      </c>
      <c r="N931" s="3">
        <v>165.12</v>
      </c>
      <c r="O931" s="1" t="s">
        <v>2301</v>
      </c>
      <c r="P931" s="1" t="s">
        <v>2078</v>
      </c>
      <c r="Q931" s="1" t="str">
        <f>TEXT((Data[[#This Row],[Order_Date]]), "mmm")</f>
        <v>Feb</v>
      </c>
    </row>
    <row r="932" spans="4:17" x14ac:dyDescent="0.3">
      <c r="D932" s="1" t="s">
        <v>994</v>
      </c>
      <c r="E932" s="2">
        <v>45545</v>
      </c>
      <c r="F932" s="2">
        <v>45551</v>
      </c>
      <c r="G932" s="1" t="s">
        <v>31</v>
      </c>
      <c r="H932" s="1" t="s">
        <v>12</v>
      </c>
      <c r="I932" s="1" t="s">
        <v>42</v>
      </c>
      <c r="J932" s="1" t="s">
        <v>46</v>
      </c>
      <c r="K932" s="3">
        <v>768.33</v>
      </c>
      <c r="L932" s="1">
        <v>8</v>
      </c>
      <c r="M932" s="1" t="s">
        <v>49</v>
      </c>
      <c r="N932" s="3">
        <v>134.91999999999999</v>
      </c>
      <c r="O932" s="1" t="s">
        <v>2172</v>
      </c>
      <c r="P932" s="1" t="s">
        <v>2078</v>
      </c>
      <c r="Q932" s="1" t="str">
        <f>TEXT((Data[[#This Row],[Order_Date]]), "mmm")</f>
        <v>Sep</v>
      </c>
    </row>
    <row r="933" spans="4:17" x14ac:dyDescent="0.3">
      <c r="D933" s="1" t="s">
        <v>995</v>
      </c>
      <c r="E933" s="2">
        <v>45565</v>
      </c>
      <c r="F933" s="2">
        <v>45572</v>
      </c>
      <c r="G933" s="1" t="s">
        <v>22</v>
      </c>
      <c r="H933" s="1" t="s">
        <v>23</v>
      </c>
      <c r="I933" s="1" t="s">
        <v>61</v>
      </c>
      <c r="J933" s="1" t="s">
        <v>62</v>
      </c>
      <c r="K933" s="3">
        <v>2930.95</v>
      </c>
      <c r="L933" s="1">
        <v>17</v>
      </c>
      <c r="M933" s="1" t="s">
        <v>29</v>
      </c>
      <c r="N933" s="3">
        <v>829.39</v>
      </c>
      <c r="O933" s="1" t="s">
        <v>2212</v>
      </c>
      <c r="P933" s="1" t="s">
        <v>2071</v>
      </c>
      <c r="Q933" s="1" t="str">
        <f>TEXT((Data[[#This Row],[Order_Date]]), "mmm")</f>
        <v>Sep</v>
      </c>
    </row>
    <row r="934" spans="4:17" x14ac:dyDescent="0.3">
      <c r="D934" s="1" t="s">
        <v>996</v>
      </c>
      <c r="E934" s="2">
        <v>45404</v>
      </c>
      <c r="F934" s="2">
        <v>45405</v>
      </c>
      <c r="G934" s="1" t="s">
        <v>22</v>
      </c>
      <c r="H934" s="1" t="s">
        <v>23</v>
      </c>
      <c r="I934" s="1" t="s">
        <v>61</v>
      </c>
      <c r="J934" s="1" t="s">
        <v>76</v>
      </c>
      <c r="K934" s="3">
        <v>3977.14</v>
      </c>
      <c r="L934" s="1">
        <v>1</v>
      </c>
      <c r="M934" s="1" t="s">
        <v>34</v>
      </c>
      <c r="N934" s="3">
        <v>865.08</v>
      </c>
      <c r="O934" s="1" t="s">
        <v>2267</v>
      </c>
      <c r="P934" s="1" t="s">
        <v>2076</v>
      </c>
      <c r="Q934" s="1" t="str">
        <f>TEXT((Data[[#This Row],[Order_Date]]), "mmm")</f>
        <v>Apr</v>
      </c>
    </row>
    <row r="935" spans="4:17" x14ac:dyDescent="0.3">
      <c r="D935" s="1" t="s">
        <v>997</v>
      </c>
      <c r="E935" s="2">
        <v>45348</v>
      </c>
      <c r="F935" s="2">
        <v>45348</v>
      </c>
      <c r="G935" s="1" t="s">
        <v>36</v>
      </c>
      <c r="H935" s="1" t="s">
        <v>23</v>
      </c>
      <c r="I935" s="1" t="s">
        <v>78</v>
      </c>
      <c r="J935" s="1" t="s">
        <v>79</v>
      </c>
      <c r="K935" s="3">
        <v>1976.46</v>
      </c>
      <c r="L935" s="1">
        <v>18</v>
      </c>
      <c r="M935" s="1" t="s">
        <v>49</v>
      </c>
      <c r="N935" s="3">
        <v>242.61</v>
      </c>
      <c r="O935" s="1" t="s">
        <v>2126</v>
      </c>
      <c r="P935" s="1" t="s">
        <v>2078</v>
      </c>
      <c r="Q935" s="1" t="str">
        <f>TEXT((Data[[#This Row],[Order_Date]]), "mmm")</f>
        <v>Feb</v>
      </c>
    </row>
    <row r="936" spans="4:17" x14ac:dyDescent="0.3">
      <c r="D936" s="1" t="s">
        <v>998</v>
      </c>
      <c r="E936" s="2">
        <v>45320</v>
      </c>
      <c r="F936" s="2">
        <v>45322</v>
      </c>
      <c r="G936" s="1" t="s">
        <v>11</v>
      </c>
      <c r="H936" s="1" t="s">
        <v>12</v>
      </c>
      <c r="I936" s="1" t="s">
        <v>58</v>
      </c>
      <c r="J936" s="1" t="s">
        <v>105</v>
      </c>
      <c r="K936" s="3">
        <v>2999.06</v>
      </c>
      <c r="L936" s="1">
        <v>14</v>
      </c>
      <c r="M936" s="1" t="s">
        <v>34</v>
      </c>
      <c r="N936" s="3">
        <v>-198.61</v>
      </c>
      <c r="O936" s="1" t="s">
        <v>2199</v>
      </c>
      <c r="P936" s="1" t="s">
        <v>2071</v>
      </c>
      <c r="Q936" s="1" t="str">
        <f>TEXT((Data[[#This Row],[Order_Date]]), "mmm")</f>
        <v>Jan</v>
      </c>
    </row>
    <row r="937" spans="4:17" x14ac:dyDescent="0.3">
      <c r="D937" s="1" t="s">
        <v>999</v>
      </c>
      <c r="E937" s="2">
        <v>45589</v>
      </c>
      <c r="F937" s="2">
        <v>45590</v>
      </c>
      <c r="G937" s="1" t="s">
        <v>31</v>
      </c>
      <c r="H937" s="1" t="s">
        <v>12</v>
      </c>
      <c r="I937" s="1" t="s">
        <v>58</v>
      </c>
      <c r="J937" s="1" t="s">
        <v>120</v>
      </c>
      <c r="K937" s="3">
        <v>800.83</v>
      </c>
      <c r="L937" s="1">
        <v>5</v>
      </c>
      <c r="M937" s="1" t="s">
        <v>20</v>
      </c>
      <c r="N937" s="3">
        <v>-98.91</v>
      </c>
      <c r="O937" s="1" t="s">
        <v>2120</v>
      </c>
      <c r="P937" s="1" t="s">
        <v>2078</v>
      </c>
      <c r="Q937" s="1" t="str">
        <f>TEXT((Data[[#This Row],[Order_Date]]), "mmm")</f>
        <v>Oct</v>
      </c>
    </row>
    <row r="938" spans="4:17" x14ac:dyDescent="0.3">
      <c r="D938" s="1" t="s">
        <v>1000</v>
      </c>
      <c r="E938" s="2">
        <v>45505</v>
      </c>
      <c r="F938" s="2">
        <v>45507</v>
      </c>
      <c r="G938" s="1" t="s">
        <v>22</v>
      </c>
      <c r="H938" s="1" t="s">
        <v>23</v>
      </c>
      <c r="I938" s="1" t="s">
        <v>78</v>
      </c>
      <c r="J938" s="1" t="s">
        <v>79</v>
      </c>
      <c r="K938" s="3">
        <v>2013.19</v>
      </c>
      <c r="L938" s="1">
        <v>11</v>
      </c>
      <c r="M938" s="1" t="s">
        <v>49</v>
      </c>
      <c r="N938" s="3">
        <v>572.59</v>
      </c>
      <c r="O938" s="1" t="s">
        <v>2199</v>
      </c>
      <c r="P938" s="1" t="s">
        <v>2071</v>
      </c>
      <c r="Q938" s="1" t="str">
        <f>TEXT((Data[[#This Row],[Order_Date]]), "mmm")</f>
        <v>Aug</v>
      </c>
    </row>
    <row r="939" spans="4:17" x14ac:dyDescent="0.3">
      <c r="D939" s="1" t="s">
        <v>1001</v>
      </c>
      <c r="E939" s="2">
        <v>45438</v>
      </c>
      <c r="F939" s="2">
        <v>45439</v>
      </c>
      <c r="G939" s="1" t="s">
        <v>22</v>
      </c>
      <c r="H939" s="1" t="s">
        <v>17</v>
      </c>
      <c r="I939" s="1" t="s">
        <v>32</v>
      </c>
      <c r="J939" s="1" t="s">
        <v>56</v>
      </c>
      <c r="K939" s="3">
        <v>2515.65</v>
      </c>
      <c r="L939" s="1">
        <v>6</v>
      </c>
      <c r="M939" s="1" t="s">
        <v>29</v>
      </c>
      <c r="N939" s="3">
        <v>246.8</v>
      </c>
      <c r="O939" s="1" t="s">
        <v>2281</v>
      </c>
      <c r="P939" s="1" t="s">
        <v>2076</v>
      </c>
      <c r="Q939" s="1" t="str">
        <f>TEXT((Data[[#This Row],[Order_Date]]), "mmm")</f>
        <v>May</v>
      </c>
    </row>
    <row r="940" spans="4:17" x14ac:dyDescent="0.3">
      <c r="D940" s="1" t="s">
        <v>1002</v>
      </c>
      <c r="E940" s="2">
        <v>45508</v>
      </c>
      <c r="F940" s="2">
        <v>45515</v>
      </c>
      <c r="G940" s="1" t="s">
        <v>36</v>
      </c>
      <c r="H940" s="1" t="s">
        <v>12</v>
      </c>
      <c r="I940" s="1" t="s">
        <v>13</v>
      </c>
      <c r="J940" s="1" t="s">
        <v>14</v>
      </c>
      <c r="K940" s="3">
        <v>1838.76</v>
      </c>
      <c r="L940" s="1">
        <v>6</v>
      </c>
      <c r="M940" s="1" t="s">
        <v>34</v>
      </c>
      <c r="N940" s="3">
        <v>628.74</v>
      </c>
      <c r="O940" s="1" t="s">
        <v>2197</v>
      </c>
      <c r="P940" s="1" t="s">
        <v>2071</v>
      </c>
      <c r="Q940" s="1" t="str">
        <f>TEXT((Data[[#This Row],[Order_Date]]), "mmm")</f>
        <v>Aug</v>
      </c>
    </row>
    <row r="941" spans="4:17" x14ac:dyDescent="0.3">
      <c r="D941" s="1" t="s">
        <v>1003</v>
      </c>
      <c r="E941" s="2">
        <v>45356</v>
      </c>
      <c r="F941" s="2">
        <v>45359</v>
      </c>
      <c r="G941" s="1" t="s">
        <v>31</v>
      </c>
      <c r="H941" s="1" t="s">
        <v>12</v>
      </c>
      <c r="I941" s="1" t="s">
        <v>38</v>
      </c>
      <c r="J941" s="1" t="s">
        <v>81</v>
      </c>
      <c r="K941" s="3">
        <v>1721.09</v>
      </c>
      <c r="L941" s="1">
        <v>18</v>
      </c>
      <c r="M941" s="1" t="s">
        <v>29</v>
      </c>
      <c r="N941" s="3">
        <v>520.65</v>
      </c>
      <c r="O941" s="1" t="s">
        <v>2214</v>
      </c>
      <c r="P941" s="1" t="s">
        <v>2076</v>
      </c>
      <c r="Q941" s="1" t="str">
        <f>TEXT((Data[[#This Row],[Order_Date]]), "mmm")</f>
        <v>Mar</v>
      </c>
    </row>
    <row r="942" spans="4:17" x14ac:dyDescent="0.3">
      <c r="D942" s="1" t="s">
        <v>1004</v>
      </c>
      <c r="E942" s="2">
        <v>45531</v>
      </c>
      <c r="F942" s="2">
        <v>45538</v>
      </c>
      <c r="G942" s="1" t="s">
        <v>36</v>
      </c>
      <c r="H942" s="1" t="s">
        <v>12</v>
      </c>
      <c r="I942" s="1" t="s">
        <v>42</v>
      </c>
      <c r="J942" s="1" t="s">
        <v>43</v>
      </c>
      <c r="K942" s="3">
        <v>868.09</v>
      </c>
      <c r="L942" s="1">
        <v>12</v>
      </c>
      <c r="M942" s="1" t="s">
        <v>15</v>
      </c>
      <c r="N942" s="3">
        <v>153.88</v>
      </c>
      <c r="O942" s="1" t="s">
        <v>2207</v>
      </c>
      <c r="P942" s="1" t="s">
        <v>2076</v>
      </c>
      <c r="Q942" s="1" t="str">
        <f>TEXT((Data[[#This Row],[Order_Date]]), "mmm")</f>
        <v>Aug</v>
      </c>
    </row>
    <row r="943" spans="4:17" x14ac:dyDescent="0.3">
      <c r="D943" s="1" t="s">
        <v>1005</v>
      </c>
      <c r="E943" s="2">
        <v>45345</v>
      </c>
      <c r="F943" s="2">
        <v>45346</v>
      </c>
      <c r="G943" s="1" t="s">
        <v>36</v>
      </c>
      <c r="H943" s="1" t="s">
        <v>12</v>
      </c>
      <c r="I943" s="1" t="s">
        <v>13</v>
      </c>
      <c r="J943" s="1" t="s">
        <v>51</v>
      </c>
      <c r="K943" s="3">
        <v>1148.24</v>
      </c>
      <c r="L943" s="1">
        <v>6</v>
      </c>
      <c r="M943" s="1" t="s">
        <v>29</v>
      </c>
      <c r="N943" s="3">
        <v>94.09</v>
      </c>
      <c r="O943" s="1" t="s">
        <v>2136</v>
      </c>
      <c r="P943" s="1" t="s">
        <v>2076</v>
      </c>
      <c r="Q943" s="1" t="str">
        <f>TEXT((Data[[#This Row],[Order_Date]]), "mmm")</f>
        <v>Feb</v>
      </c>
    </row>
    <row r="944" spans="4:17" x14ac:dyDescent="0.3">
      <c r="D944" s="1" t="s">
        <v>1006</v>
      </c>
      <c r="E944" s="2">
        <v>45297</v>
      </c>
      <c r="F944" s="2">
        <v>45301</v>
      </c>
      <c r="G944" s="1" t="s">
        <v>22</v>
      </c>
      <c r="H944" s="1" t="s">
        <v>12</v>
      </c>
      <c r="I944" s="1" t="s">
        <v>58</v>
      </c>
      <c r="J944" s="1" t="s">
        <v>59</v>
      </c>
      <c r="K944" s="3">
        <v>3734.51</v>
      </c>
      <c r="L944" s="1">
        <v>8</v>
      </c>
      <c r="M944" s="1" t="s">
        <v>34</v>
      </c>
      <c r="N944" s="3">
        <v>282</v>
      </c>
      <c r="O944" s="1" t="s">
        <v>2116</v>
      </c>
      <c r="P944" s="1" t="s">
        <v>2076</v>
      </c>
      <c r="Q944" s="1" t="str">
        <f>TEXT((Data[[#This Row],[Order_Date]]), "mmm")</f>
        <v>Jan</v>
      </c>
    </row>
    <row r="945" spans="4:17" x14ac:dyDescent="0.3">
      <c r="D945" s="1" t="s">
        <v>1007</v>
      </c>
      <c r="E945" s="2">
        <v>45314</v>
      </c>
      <c r="F945" s="2">
        <v>45321</v>
      </c>
      <c r="G945" s="1" t="s">
        <v>11</v>
      </c>
      <c r="H945" s="1" t="s">
        <v>17</v>
      </c>
      <c r="I945" s="1" t="s">
        <v>27</v>
      </c>
      <c r="J945" s="1" t="s">
        <v>28</v>
      </c>
      <c r="K945" s="3">
        <v>3788.16</v>
      </c>
      <c r="L945" s="1">
        <v>1</v>
      </c>
      <c r="M945" s="1" t="s">
        <v>34</v>
      </c>
      <c r="N945" s="3">
        <v>1043.6500000000001</v>
      </c>
      <c r="O945" s="1" t="s">
        <v>2291</v>
      </c>
      <c r="P945" s="1" t="s">
        <v>2078</v>
      </c>
      <c r="Q945" s="1" t="str">
        <f>TEXT((Data[[#This Row],[Order_Date]]), "mmm")</f>
        <v>Jan</v>
      </c>
    </row>
    <row r="946" spans="4:17" x14ac:dyDescent="0.3">
      <c r="D946" s="1" t="s">
        <v>1008</v>
      </c>
      <c r="E946" s="2">
        <v>45548</v>
      </c>
      <c r="F946" s="2">
        <v>45551</v>
      </c>
      <c r="G946" s="1" t="s">
        <v>36</v>
      </c>
      <c r="H946" s="1" t="s">
        <v>23</v>
      </c>
      <c r="I946" s="1" t="s">
        <v>24</v>
      </c>
      <c r="J946" s="1" t="s">
        <v>25</v>
      </c>
      <c r="K946" s="3">
        <v>2884.96</v>
      </c>
      <c r="L946" s="1">
        <v>4</v>
      </c>
      <c r="M946" s="1" t="s">
        <v>34</v>
      </c>
      <c r="N946" s="3">
        <v>496.75</v>
      </c>
      <c r="O946" s="1" t="s">
        <v>2074</v>
      </c>
      <c r="P946" s="1" t="s">
        <v>2076</v>
      </c>
      <c r="Q946" s="1" t="str">
        <f>TEXT((Data[[#This Row],[Order_Date]]), "mmm")</f>
        <v>Sep</v>
      </c>
    </row>
    <row r="947" spans="4:17" x14ac:dyDescent="0.3">
      <c r="D947" s="1" t="s">
        <v>1009</v>
      </c>
      <c r="E947" s="2">
        <v>45343</v>
      </c>
      <c r="F947" s="2">
        <v>45345</v>
      </c>
      <c r="G947" s="1" t="s">
        <v>11</v>
      </c>
      <c r="H947" s="1" t="s">
        <v>12</v>
      </c>
      <c r="I947" s="1" t="s">
        <v>42</v>
      </c>
      <c r="J947" s="1" t="s">
        <v>43</v>
      </c>
      <c r="K947" s="3">
        <v>2448.84</v>
      </c>
      <c r="L947" s="1">
        <v>2</v>
      </c>
      <c r="M947" s="1" t="s">
        <v>34</v>
      </c>
      <c r="N947" s="3">
        <v>240.88</v>
      </c>
      <c r="O947" s="1" t="s">
        <v>2182</v>
      </c>
      <c r="P947" s="1" t="s">
        <v>2071</v>
      </c>
      <c r="Q947" s="1" t="str">
        <f>TEXT((Data[[#This Row],[Order_Date]]), "mmm")</f>
        <v>Feb</v>
      </c>
    </row>
    <row r="948" spans="4:17" x14ac:dyDescent="0.3">
      <c r="D948" s="1" t="s">
        <v>1010</v>
      </c>
      <c r="E948" s="2">
        <v>45332</v>
      </c>
      <c r="F948" s="2">
        <v>45333</v>
      </c>
      <c r="G948" s="1" t="s">
        <v>22</v>
      </c>
      <c r="H948" s="1" t="s">
        <v>17</v>
      </c>
      <c r="I948" s="1" t="s">
        <v>32</v>
      </c>
      <c r="J948" s="1" t="s">
        <v>56</v>
      </c>
      <c r="K948" s="3">
        <v>3133.1</v>
      </c>
      <c r="L948" s="1">
        <v>6</v>
      </c>
      <c r="M948" s="1" t="s">
        <v>29</v>
      </c>
      <c r="N948" s="3">
        <v>641.94000000000005</v>
      </c>
      <c r="O948" s="1" t="s">
        <v>2146</v>
      </c>
      <c r="P948" s="1" t="s">
        <v>2078</v>
      </c>
      <c r="Q948" s="1" t="str">
        <f>TEXT((Data[[#This Row],[Order_Date]]), "mmm")</f>
        <v>Feb</v>
      </c>
    </row>
    <row r="949" spans="4:17" x14ac:dyDescent="0.3">
      <c r="D949" s="1" t="s">
        <v>1011</v>
      </c>
      <c r="E949" s="2">
        <v>45625</v>
      </c>
      <c r="F949" s="2">
        <v>45630</v>
      </c>
      <c r="G949" s="1" t="s">
        <v>31</v>
      </c>
      <c r="H949" s="1" t="s">
        <v>17</v>
      </c>
      <c r="I949" s="1" t="s">
        <v>27</v>
      </c>
      <c r="J949" s="1" t="s">
        <v>110</v>
      </c>
      <c r="K949" s="3">
        <v>1601.19</v>
      </c>
      <c r="L949" s="1">
        <v>14</v>
      </c>
      <c r="M949" s="1" t="s">
        <v>20</v>
      </c>
      <c r="N949" s="3">
        <v>507.9</v>
      </c>
      <c r="O949" s="1" t="s">
        <v>2235</v>
      </c>
      <c r="P949" s="1" t="s">
        <v>2071</v>
      </c>
      <c r="Q949" s="1" t="str">
        <f>TEXT((Data[[#This Row],[Order_Date]]), "mmm")</f>
        <v>Nov</v>
      </c>
    </row>
    <row r="950" spans="4:17" x14ac:dyDescent="0.3">
      <c r="D950" s="1" t="s">
        <v>1012</v>
      </c>
      <c r="E950" s="2">
        <v>45490</v>
      </c>
      <c r="F950" s="2">
        <v>45493</v>
      </c>
      <c r="G950" s="1" t="s">
        <v>22</v>
      </c>
      <c r="H950" s="1" t="s">
        <v>12</v>
      </c>
      <c r="I950" s="1" t="s">
        <v>38</v>
      </c>
      <c r="J950" s="1" t="s">
        <v>81</v>
      </c>
      <c r="K950" s="3">
        <v>2375.88</v>
      </c>
      <c r="L950" s="1">
        <v>16</v>
      </c>
      <c r="M950" s="1" t="s">
        <v>20</v>
      </c>
      <c r="N950" s="3">
        <v>-692.37</v>
      </c>
      <c r="O950" s="1" t="s">
        <v>2118</v>
      </c>
      <c r="P950" s="1" t="s">
        <v>2076</v>
      </c>
      <c r="Q950" s="1" t="str">
        <f>TEXT((Data[[#This Row],[Order_Date]]), "mmm")</f>
        <v>Jul</v>
      </c>
    </row>
    <row r="951" spans="4:17" x14ac:dyDescent="0.3">
      <c r="D951" s="1" t="s">
        <v>1013</v>
      </c>
      <c r="E951" s="2">
        <v>45450</v>
      </c>
      <c r="F951" s="2">
        <v>45451</v>
      </c>
      <c r="G951" s="1" t="s">
        <v>31</v>
      </c>
      <c r="H951" s="1" t="s">
        <v>17</v>
      </c>
      <c r="I951" s="1" t="s">
        <v>27</v>
      </c>
      <c r="J951" s="1" t="s">
        <v>110</v>
      </c>
      <c r="K951" s="3">
        <v>886.44</v>
      </c>
      <c r="L951" s="1">
        <v>10</v>
      </c>
      <c r="M951" s="1" t="s">
        <v>44</v>
      </c>
      <c r="N951" s="3">
        <v>62.45</v>
      </c>
      <c r="O951" s="1" t="s">
        <v>2273</v>
      </c>
      <c r="P951" s="1" t="s">
        <v>2071</v>
      </c>
      <c r="Q951" s="1" t="str">
        <f>TEXT((Data[[#This Row],[Order_Date]]), "mmm")</f>
        <v>Jun</v>
      </c>
    </row>
    <row r="952" spans="4:17" x14ac:dyDescent="0.3">
      <c r="D952" s="1" t="s">
        <v>1014</v>
      </c>
      <c r="E952" s="2">
        <v>45472</v>
      </c>
      <c r="F952" s="2">
        <v>45473</v>
      </c>
      <c r="G952" s="1" t="s">
        <v>11</v>
      </c>
      <c r="H952" s="1" t="s">
        <v>17</v>
      </c>
      <c r="I952" s="1" t="s">
        <v>32</v>
      </c>
      <c r="J952" s="1" t="s">
        <v>33</v>
      </c>
      <c r="K952" s="3">
        <v>1217.29</v>
      </c>
      <c r="L952" s="1">
        <v>16</v>
      </c>
      <c r="M952" s="1" t="s">
        <v>34</v>
      </c>
      <c r="N952" s="3">
        <v>339.56</v>
      </c>
      <c r="O952" s="1" t="s">
        <v>2151</v>
      </c>
      <c r="P952" s="1" t="s">
        <v>2078</v>
      </c>
      <c r="Q952" s="1" t="str">
        <f>TEXT((Data[[#This Row],[Order_Date]]), "mmm")</f>
        <v>Jun</v>
      </c>
    </row>
    <row r="953" spans="4:17" x14ac:dyDescent="0.3">
      <c r="D953" s="1" t="s">
        <v>1015</v>
      </c>
      <c r="E953" s="2">
        <v>45363</v>
      </c>
      <c r="F953" s="2">
        <v>45364</v>
      </c>
      <c r="G953" s="1" t="s">
        <v>31</v>
      </c>
      <c r="H953" s="1" t="s">
        <v>17</v>
      </c>
      <c r="I953" s="1" t="s">
        <v>27</v>
      </c>
      <c r="J953" s="1" t="s">
        <v>110</v>
      </c>
      <c r="K953" s="3">
        <v>1753.52</v>
      </c>
      <c r="L953" s="1">
        <v>20</v>
      </c>
      <c r="M953" s="1" t="s">
        <v>15</v>
      </c>
      <c r="N953" s="3">
        <v>155.53</v>
      </c>
      <c r="O953" s="1" t="s">
        <v>2098</v>
      </c>
      <c r="P953" s="1" t="s">
        <v>2071</v>
      </c>
      <c r="Q953" s="1" t="str">
        <f>TEXT((Data[[#This Row],[Order_Date]]), "mmm")</f>
        <v>Mar</v>
      </c>
    </row>
    <row r="954" spans="4:17" x14ac:dyDescent="0.3">
      <c r="D954" s="1" t="s">
        <v>1016</v>
      </c>
      <c r="E954" s="2">
        <v>45611</v>
      </c>
      <c r="F954" s="2">
        <v>45616</v>
      </c>
      <c r="G954" s="1" t="s">
        <v>36</v>
      </c>
      <c r="H954" s="1" t="s">
        <v>17</v>
      </c>
      <c r="I954" s="1" t="s">
        <v>32</v>
      </c>
      <c r="J954" s="1" t="s">
        <v>33</v>
      </c>
      <c r="K954" s="3">
        <v>2147.2800000000002</v>
      </c>
      <c r="L954" s="1">
        <v>9</v>
      </c>
      <c r="M954" s="1" t="s">
        <v>15</v>
      </c>
      <c r="N954" s="3">
        <v>134.85</v>
      </c>
      <c r="O954" s="1" t="s">
        <v>2089</v>
      </c>
      <c r="P954" s="1" t="s">
        <v>2078</v>
      </c>
      <c r="Q954" s="1" t="str">
        <f>TEXT((Data[[#This Row],[Order_Date]]), "mmm")</f>
        <v>Nov</v>
      </c>
    </row>
    <row r="955" spans="4:17" x14ac:dyDescent="0.3">
      <c r="D955" s="1" t="s">
        <v>1017</v>
      </c>
      <c r="E955" s="2">
        <v>45321</v>
      </c>
      <c r="F955" s="2">
        <v>45324</v>
      </c>
      <c r="G955" s="1" t="s">
        <v>11</v>
      </c>
      <c r="H955" s="1" t="s">
        <v>17</v>
      </c>
      <c r="I955" s="1" t="s">
        <v>18</v>
      </c>
      <c r="J955" s="1" t="s">
        <v>54</v>
      </c>
      <c r="K955" s="3">
        <v>1659.33</v>
      </c>
      <c r="L955" s="1">
        <v>19</v>
      </c>
      <c r="M955" s="1" t="s">
        <v>49</v>
      </c>
      <c r="N955" s="3">
        <v>508</v>
      </c>
      <c r="O955" s="1" t="s">
        <v>2132</v>
      </c>
      <c r="P955" s="1" t="s">
        <v>2076</v>
      </c>
      <c r="Q955" s="1" t="str">
        <f>TEXT((Data[[#This Row],[Order_Date]]), "mmm")</f>
        <v>Jan</v>
      </c>
    </row>
    <row r="956" spans="4:17" x14ac:dyDescent="0.3">
      <c r="D956" s="1" t="s">
        <v>1018</v>
      </c>
      <c r="E956" s="2">
        <v>45528</v>
      </c>
      <c r="F956" s="2">
        <v>45529</v>
      </c>
      <c r="G956" s="1" t="s">
        <v>36</v>
      </c>
      <c r="H956" s="1" t="s">
        <v>23</v>
      </c>
      <c r="I956" s="1" t="s">
        <v>65</v>
      </c>
      <c r="J956" s="1" t="s">
        <v>122</v>
      </c>
      <c r="K956" s="3">
        <v>2256.6799999999998</v>
      </c>
      <c r="L956" s="1">
        <v>15</v>
      </c>
      <c r="M956" s="1" t="s">
        <v>20</v>
      </c>
      <c r="N956" s="3">
        <v>170.94</v>
      </c>
      <c r="O956" s="1" t="s">
        <v>2204</v>
      </c>
      <c r="P956" s="1" t="s">
        <v>2078</v>
      </c>
      <c r="Q956" s="1" t="str">
        <f>TEXT((Data[[#This Row],[Order_Date]]), "mmm")</f>
        <v>Aug</v>
      </c>
    </row>
    <row r="957" spans="4:17" x14ac:dyDescent="0.3">
      <c r="D957" s="1" t="s">
        <v>1019</v>
      </c>
      <c r="E957" s="2">
        <v>45495</v>
      </c>
      <c r="F957" s="2">
        <v>45501</v>
      </c>
      <c r="G957" s="1" t="s">
        <v>22</v>
      </c>
      <c r="H957" s="1" t="s">
        <v>23</v>
      </c>
      <c r="I957" s="1" t="s">
        <v>24</v>
      </c>
      <c r="J957" s="1" t="s">
        <v>25</v>
      </c>
      <c r="K957" s="3">
        <v>1439.82</v>
      </c>
      <c r="L957" s="1">
        <v>20</v>
      </c>
      <c r="M957" s="1" t="s">
        <v>49</v>
      </c>
      <c r="N957" s="3">
        <v>163.84</v>
      </c>
      <c r="O957" s="1" t="s">
        <v>2223</v>
      </c>
      <c r="P957" s="1" t="s">
        <v>2076</v>
      </c>
      <c r="Q957" s="1" t="str">
        <f>TEXT((Data[[#This Row],[Order_Date]]), "mmm")</f>
        <v>Jul</v>
      </c>
    </row>
    <row r="958" spans="4:17" x14ac:dyDescent="0.3">
      <c r="D958" s="1" t="s">
        <v>1020</v>
      </c>
      <c r="E958" s="2">
        <v>45350</v>
      </c>
      <c r="F958" s="2">
        <v>45354</v>
      </c>
      <c r="G958" s="1" t="s">
        <v>31</v>
      </c>
      <c r="H958" s="1" t="s">
        <v>17</v>
      </c>
      <c r="I958" s="1" t="s">
        <v>32</v>
      </c>
      <c r="J958" s="1" t="s">
        <v>56</v>
      </c>
      <c r="K958" s="3">
        <v>3807</v>
      </c>
      <c r="L958" s="1">
        <v>5</v>
      </c>
      <c r="M958" s="1" t="s">
        <v>15</v>
      </c>
      <c r="N958" s="3">
        <v>434.15</v>
      </c>
      <c r="O958" s="1" t="s">
        <v>2122</v>
      </c>
      <c r="P958" s="1" t="s">
        <v>2076</v>
      </c>
      <c r="Q958" s="1" t="str">
        <f>TEXT((Data[[#This Row],[Order_Date]]), "mmm")</f>
        <v>Feb</v>
      </c>
    </row>
    <row r="959" spans="4:17" x14ac:dyDescent="0.3">
      <c r="D959" s="1" t="s">
        <v>1021</v>
      </c>
      <c r="E959" s="2">
        <v>45599</v>
      </c>
      <c r="F959" s="2">
        <v>45605</v>
      </c>
      <c r="G959" s="1" t="s">
        <v>11</v>
      </c>
      <c r="H959" s="1" t="s">
        <v>23</v>
      </c>
      <c r="I959" s="1" t="s">
        <v>65</v>
      </c>
      <c r="J959" s="1" t="s">
        <v>114</v>
      </c>
      <c r="K959" s="3">
        <v>1050.33</v>
      </c>
      <c r="L959" s="1">
        <v>7</v>
      </c>
      <c r="M959" s="1" t="s">
        <v>20</v>
      </c>
      <c r="N959" s="3">
        <v>352.69</v>
      </c>
      <c r="O959" s="1" t="s">
        <v>2084</v>
      </c>
      <c r="P959" s="1" t="s">
        <v>2076</v>
      </c>
      <c r="Q959" s="1" t="str">
        <f>TEXT((Data[[#This Row],[Order_Date]]), "mmm")</f>
        <v>Nov</v>
      </c>
    </row>
    <row r="960" spans="4:17" x14ac:dyDescent="0.3">
      <c r="D960" s="1" t="s">
        <v>1022</v>
      </c>
      <c r="E960" s="2">
        <v>45430</v>
      </c>
      <c r="F960" s="2">
        <v>45434</v>
      </c>
      <c r="G960" s="1" t="s">
        <v>22</v>
      </c>
      <c r="H960" s="1" t="s">
        <v>17</v>
      </c>
      <c r="I960" s="1" t="s">
        <v>18</v>
      </c>
      <c r="J960" s="1" t="s">
        <v>19</v>
      </c>
      <c r="K960" s="3">
        <v>1277.1400000000001</v>
      </c>
      <c r="L960" s="1">
        <v>3</v>
      </c>
      <c r="M960" s="1" t="s">
        <v>34</v>
      </c>
      <c r="N960" s="3">
        <v>398.64</v>
      </c>
      <c r="O960" s="1" t="s">
        <v>2269</v>
      </c>
      <c r="P960" s="1" t="s">
        <v>2071</v>
      </c>
      <c r="Q960" s="1" t="str">
        <f>TEXT((Data[[#This Row],[Order_Date]]), "mmm")</f>
        <v>May</v>
      </c>
    </row>
    <row r="961" spans="4:17" x14ac:dyDescent="0.3">
      <c r="D961" s="1" t="s">
        <v>1023</v>
      </c>
      <c r="E961" s="2">
        <v>45506</v>
      </c>
      <c r="F961" s="2">
        <v>45509</v>
      </c>
      <c r="G961" s="1" t="s">
        <v>36</v>
      </c>
      <c r="H961" s="1" t="s">
        <v>17</v>
      </c>
      <c r="I961" s="1" t="s">
        <v>18</v>
      </c>
      <c r="J961" s="1" t="s">
        <v>19</v>
      </c>
      <c r="K961" s="3">
        <v>3606.09</v>
      </c>
      <c r="L961" s="1">
        <v>14</v>
      </c>
      <c r="M961" s="1" t="s">
        <v>34</v>
      </c>
      <c r="N961" s="3">
        <v>1222.5</v>
      </c>
      <c r="O961" s="1" t="s">
        <v>2147</v>
      </c>
      <c r="P961" s="1" t="s">
        <v>2071</v>
      </c>
      <c r="Q961" s="1" t="str">
        <f>TEXT((Data[[#This Row],[Order_Date]]), "mmm")</f>
        <v>Aug</v>
      </c>
    </row>
    <row r="962" spans="4:17" x14ac:dyDescent="0.3">
      <c r="D962" s="1" t="s">
        <v>1024</v>
      </c>
      <c r="E962" s="2">
        <v>45393</v>
      </c>
      <c r="F962" s="2">
        <v>45398</v>
      </c>
      <c r="G962" s="1" t="s">
        <v>31</v>
      </c>
      <c r="H962" s="1" t="s">
        <v>23</v>
      </c>
      <c r="I962" s="1" t="s">
        <v>65</v>
      </c>
      <c r="J962" s="1" t="s">
        <v>122</v>
      </c>
      <c r="K962" s="3">
        <v>2833.11</v>
      </c>
      <c r="L962" s="1">
        <v>6</v>
      </c>
      <c r="M962" s="1" t="s">
        <v>15</v>
      </c>
      <c r="N962" s="3">
        <v>512.89</v>
      </c>
      <c r="O962" s="1" t="s">
        <v>2184</v>
      </c>
      <c r="P962" s="1" t="s">
        <v>2076</v>
      </c>
      <c r="Q962" s="1" t="str">
        <f>TEXT((Data[[#This Row],[Order_Date]]), "mmm")</f>
        <v>Apr</v>
      </c>
    </row>
    <row r="963" spans="4:17" x14ac:dyDescent="0.3">
      <c r="D963" s="1" t="s">
        <v>1025</v>
      </c>
      <c r="E963" s="2">
        <v>45584</v>
      </c>
      <c r="F963" s="2">
        <v>45590</v>
      </c>
      <c r="G963" s="1" t="s">
        <v>11</v>
      </c>
      <c r="H963" s="1" t="s">
        <v>12</v>
      </c>
      <c r="I963" s="1" t="s">
        <v>58</v>
      </c>
      <c r="J963" s="1" t="s">
        <v>120</v>
      </c>
      <c r="K963" s="3">
        <v>2960.21</v>
      </c>
      <c r="L963" s="1">
        <v>19</v>
      </c>
      <c r="M963" s="1" t="s">
        <v>29</v>
      </c>
      <c r="N963" s="3">
        <v>276.44</v>
      </c>
      <c r="O963" s="1" t="s">
        <v>2212</v>
      </c>
      <c r="P963" s="1" t="s">
        <v>2078</v>
      </c>
      <c r="Q963" s="1" t="str">
        <f>TEXT((Data[[#This Row],[Order_Date]]), "mmm")</f>
        <v>Oct</v>
      </c>
    </row>
    <row r="964" spans="4:17" x14ac:dyDescent="0.3">
      <c r="D964" s="1" t="s">
        <v>1026</v>
      </c>
      <c r="E964" s="2">
        <v>45454</v>
      </c>
      <c r="F964" s="2">
        <v>45454</v>
      </c>
      <c r="G964" s="1" t="s">
        <v>22</v>
      </c>
      <c r="H964" s="1" t="s">
        <v>23</v>
      </c>
      <c r="I964" s="1" t="s">
        <v>78</v>
      </c>
      <c r="J964" s="1" t="s">
        <v>79</v>
      </c>
      <c r="K964" s="3">
        <v>3491.13</v>
      </c>
      <c r="L964" s="1">
        <v>4</v>
      </c>
      <c r="M964" s="1" t="s">
        <v>15</v>
      </c>
      <c r="N964" s="3">
        <v>600.17999999999995</v>
      </c>
      <c r="O964" s="1" t="s">
        <v>2288</v>
      </c>
      <c r="P964" s="1" t="s">
        <v>2076</v>
      </c>
      <c r="Q964" s="1" t="str">
        <f>TEXT((Data[[#This Row],[Order_Date]]), "mmm")</f>
        <v>Jun</v>
      </c>
    </row>
    <row r="965" spans="4:17" x14ac:dyDescent="0.3">
      <c r="D965" s="1" t="s">
        <v>1027</v>
      </c>
      <c r="E965" s="2">
        <v>45293</v>
      </c>
      <c r="F965" s="2">
        <v>45300</v>
      </c>
      <c r="G965" s="1" t="s">
        <v>22</v>
      </c>
      <c r="H965" s="1" t="s">
        <v>12</v>
      </c>
      <c r="I965" s="1" t="s">
        <v>42</v>
      </c>
      <c r="J965" s="1" t="s">
        <v>48</v>
      </c>
      <c r="K965" s="3">
        <v>386.82</v>
      </c>
      <c r="L965" s="1">
        <v>7</v>
      </c>
      <c r="M965" s="1" t="s">
        <v>49</v>
      </c>
      <c r="N965" s="3">
        <v>100.16</v>
      </c>
      <c r="O965" s="1" t="s">
        <v>2221</v>
      </c>
      <c r="P965" s="1" t="s">
        <v>2071</v>
      </c>
      <c r="Q965" s="1" t="str">
        <f>TEXT((Data[[#This Row],[Order_Date]]), "mmm")</f>
        <v>Jan</v>
      </c>
    </row>
    <row r="966" spans="4:17" x14ac:dyDescent="0.3">
      <c r="D966" s="1" t="s">
        <v>1028</v>
      </c>
      <c r="E966" s="2">
        <v>45599</v>
      </c>
      <c r="F966" s="2">
        <v>45605</v>
      </c>
      <c r="G966" s="1" t="s">
        <v>22</v>
      </c>
      <c r="H966" s="1" t="s">
        <v>23</v>
      </c>
      <c r="I966" s="1" t="s">
        <v>78</v>
      </c>
      <c r="J966" s="1" t="s">
        <v>118</v>
      </c>
      <c r="K966" s="3">
        <v>3894.04</v>
      </c>
      <c r="L966" s="1">
        <v>19</v>
      </c>
      <c r="M966" s="1" t="s">
        <v>20</v>
      </c>
      <c r="N966" s="3">
        <v>627.24</v>
      </c>
      <c r="O966" s="1" t="s">
        <v>2169</v>
      </c>
      <c r="P966" s="1" t="s">
        <v>2078</v>
      </c>
      <c r="Q966" s="1" t="str">
        <f>TEXT((Data[[#This Row],[Order_Date]]), "mmm")</f>
        <v>Nov</v>
      </c>
    </row>
    <row r="967" spans="4:17" x14ac:dyDescent="0.3">
      <c r="D967" s="1" t="s">
        <v>1029</v>
      </c>
      <c r="E967" s="2">
        <v>45446</v>
      </c>
      <c r="F967" s="2">
        <v>45450</v>
      </c>
      <c r="G967" s="1" t="s">
        <v>11</v>
      </c>
      <c r="H967" s="1" t="s">
        <v>12</v>
      </c>
      <c r="I967" s="1" t="s">
        <v>42</v>
      </c>
      <c r="J967" s="1" t="s">
        <v>43</v>
      </c>
      <c r="K967" s="3">
        <v>1802.7</v>
      </c>
      <c r="L967" s="1">
        <v>12</v>
      </c>
      <c r="M967" s="1" t="s">
        <v>34</v>
      </c>
      <c r="N967" s="3">
        <v>538.03</v>
      </c>
      <c r="O967" s="1" t="s">
        <v>2193</v>
      </c>
      <c r="P967" s="1" t="s">
        <v>2071</v>
      </c>
      <c r="Q967" s="1" t="str">
        <f>TEXT((Data[[#This Row],[Order_Date]]), "mmm")</f>
        <v>Jun</v>
      </c>
    </row>
    <row r="968" spans="4:17" x14ac:dyDescent="0.3">
      <c r="D968" s="1" t="s">
        <v>1030</v>
      </c>
      <c r="E968" s="2">
        <v>45463</v>
      </c>
      <c r="F968" s="2">
        <v>45464</v>
      </c>
      <c r="G968" s="1" t="s">
        <v>22</v>
      </c>
      <c r="H968" s="1" t="s">
        <v>23</v>
      </c>
      <c r="I968" s="1" t="s">
        <v>65</v>
      </c>
      <c r="J968" s="1" t="s">
        <v>114</v>
      </c>
      <c r="K968" s="3">
        <v>913.36</v>
      </c>
      <c r="L968" s="1">
        <v>20</v>
      </c>
      <c r="M968" s="1" t="s">
        <v>44</v>
      </c>
      <c r="N968" s="3">
        <v>194.39</v>
      </c>
      <c r="O968" s="1" t="s">
        <v>2190</v>
      </c>
      <c r="P968" s="1" t="s">
        <v>2071</v>
      </c>
      <c r="Q968" s="1" t="str">
        <f>TEXT((Data[[#This Row],[Order_Date]]), "mmm")</f>
        <v>Jun</v>
      </c>
    </row>
    <row r="969" spans="4:17" x14ac:dyDescent="0.3">
      <c r="D969" s="1" t="s">
        <v>1031</v>
      </c>
      <c r="E969" s="2">
        <v>45629</v>
      </c>
      <c r="F969" s="2">
        <v>45635</v>
      </c>
      <c r="G969" s="1" t="s">
        <v>36</v>
      </c>
      <c r="H969" s="1" t="s">
        <v>12</v>
      </c>
      <c r="I969" s="1" t="s">
        <v>38</v>
      </c>
      <c r="J969" s="1" t="s">
        <v>81</v>
      </c>
      <c r="K969" s="3">
        <v>3272.27</v>
      </c>
      <c r="L969" s="1">
        <v>4</v>
      </c>
      <c r="M969" s="1" t="s">
        <v>20</v>
      </c>
      <c r="N969" s="3">
        <v>801.34</v>
      </c>
      <c r="O969" s="1" t="s">
        <v>2136</v>
      </c>
      <c r="P969" s="1" t="s">
        <v>2071</v>
      </c>
      <c r="Q969" s="1" t="str">
        <f>TEXT((Data[[#This Row],[Order_Date]]), "mmm")</f>
        <v>Dec</v>
      </c>
    </row>
    <row r="970" spans="4:17" x14ac:dyDescent="0.3">
      <c r="D970" s="1" t="s">
        <v>1032</v>
      </c>
      <c r="E970" s="2">
        <v>45502</v>
      </c>
      <c r="F970" s="2">
        <v>45503</v>
      </c>
      <c r="G970" s="1" t="s">
        <v>31</v>
      </c>
      <c r="H970" s="1" t="s">
        <v>12</v>
      </c>
      <c r="I970" s="1" t="s">
        <v>38</v>
      </c>
      <c r="J970" s="1" t="s">
        <v>39</v>
      </c>
      <c r="K970" s="3">
        <v>1915.39</v>
      </c>
      <c r="L970" s="1">
        <v>19</v>
      </c>
      <c r="M970" s="1" t="s">
        <v>20</v>
      </c>
      <c r="N970" s="3">
        <v>479.45</v>
      </c>
      <c r="O970" s="1" t="s">
        <v>2095</v>
      </c>
      <c r="P970" s="1" t="s">
        <v>2071</v>
      </c>
      <c r="Q970" s="1" t="str">
        <f>TEXT((Data[[#This Row],[Order_Date]]), "mmm")</f>
        <v>Jul</v>
      </c>
    </row>
    <row r="971" spans="4:17" x14ac:dyDescent="0.3">
      <c r="D971" s="1" t="s">
        <v>1033</v>
      </c>
      <c r="E971" s="2">
        <v>45400</v>
      </c>
      <c r="F971" s="2">
        <v>45403</v>
      </c>
      <c r="G971" s="1" t="s">
        <v>31</v>
      </c>
      <c r="H971" s="1" t="s">
        <v>12</v>
      </c>
      <c r="I971" s="1" t="s">
        <v>42</v>
      </c>
      <c r="J971" s="1" t="s">
        <v>48</v>
      </c>
      <c r="K971" s="3">
        <v>983.35</v>
      </c>
      <c r="L971" s="1">
        <v>16</v>
      </c>
      <c r="M971" s="1" t="s">
        <v>20</v>
      </c>
      <c r="N971" s="3">
        <v>152.6</v>
      </c>
      <c r="O971" s="1" t="s">
        <v>2227</v>
      </c>
      <c r="P971" s="1" t="s">
        <v>2078</v>
      </c>
      <c r="Q971" s="1" t="str">
        <f>TEXT((Data[[#This Row],[Order_Date]]), "mmm")</f>
        <v>Apr</v>
      </c>
    </row>
    <row r="972" spans="4:17" x14ac:dyDescent="0.3">
      <c r="D972" s="1" t="s">
        <v>1034</v>
      </c>
      <c r="E972" s="2">
        <v>45529</v>
      </c>
      <c r="F972" s="2">
        <v>45535</v>
      </c>
      <c r="G972" s="1" t="s">
        <v>31</v>
      </c>
      <c r="H972" s="1" t="s">
        <v>17</v>
      </c>
      <c r="I972" s="1" t="s">
        <v>27</v>
      </c>
      <c r="J972" s="1" t="s">
        <v>132</v>
      </c>
      <c r="K972" s="3">
        <v>2153.35</v>
      </c>
      <c r="L972" s="1">
        <v>9</v>
      </c>
      <c r="M972" s="1" t="s">
        <v>15</v>
      </c>
      <c r="N972" s="3">
        <v>278.54000000000002</v>
      </c>
      <c r="O972" s="1" t="s">
        <v>2191</v>
      </c>
      <c r="P972" s="1" t="s">
        <v>2078</v>
      </c>
      <c r="Q972" s="1" t="str">
        <f>TEXT((Data[[#This Row],[Order_Date]]), "mmm")</f>
        <v>Aug</v>
      </c>
    </row>
    <row r="973" spans="4:17" x14ac:dyDescent="0.3">
      <c r="D973" s="1" t="s">
        <v>1035</v>
      </c>
      <c r="E973" s="2">
        <v>45504</v>
      </c>
      <c r="F973" s="2">
        <v>45507</v>
      </c>
      <c r="G973" s="1" t="s">
        <v>11</v>
      </c>
      <c r="H973" s="1" t="s">
        <v>23</v>
      </c>
      <c r="I973" s="1" t="s">
        <v>61</v>
      </c>
      <c r="J973" s="1" t="s">
        <v>76</v>
      </c>
      <c r="K973" s="3">
        <v>348.43</v>
      </c>
      <c r="L973" s="1">
        <v>12</v>
      </c>
      <c r="M973" s="1" t="s">
        <v>29</v>
      </c>
      <c r="N973" s="3">
        <v>103.14</v>
      </c>
      <c r="O973" s="1" t="s">
        <v>2125</v>
      </c>
      <c r="P973" s="1" t="s">
        <v>2076</v>
      </c>
      <c r="Q973" s="1" t="str">
        <f>TEXT((Data[[#This Row],[Order_Date]]), "mmm")</f>
        <v>Jul</v>
      </c>
    </row>
    <row r="974" spans="4:17" x14ac:dyDescent="0.3">
      <c r="D974" s="1" t="s">
        <v>1036</v>
      </c>
      <c r="E974" s="2">
        <v>45463</v>
      </c>
      <c r="F974" s="2">
        <v>45465</v>
      </c>
      <c r="G974" s="1" t="s">
        <v>31</v>
      </c>
      <c r="H974" s="1" t="s">
        <v>17</v>
      </c>
      <c r="I974" s="1" t="s">
        <v>32</v>
      </c>
      <c r="J974" s="1" t="s">
        <v>33</v>
      </c>
      <c r="K974" s="3">
        <v>972.48</v>
      </c>
      <c r="L974" s="1">
        <v>13</v>
      </c>
      <c r="M974" s="1" t="s">
        <v>20</v>
      </c>
      <c r="N974" s="3">
        <v>282.41000000000003</v>
      </c>
      <c r="O974" s="1" t="s">
        <v>2208</v>
      </c>
      <c r="P974" s="1" t="s">
        <v>2076</v>
      </c>
      <c r="Q974" s="1" t="str">
        <f>TEXT((Data[[#This Row],[Order_Date]]), "mmm")</f>
        <v>Jun</v>
      </c>
    </row>
    <row r="975" spans="4:17" x14ac:dyDescent="0.3">
      <c r="D975" s="1" t="s">
        <v>1037</v>
      </c>
      <c r="E975" s="2">
        <v>45357</v>
      </c>
      <c r="F975" s="2">
        <v>45363</v>
      </c>
      <c r="G975" s="1" t="s">
        <v>22</v>
      </c>
      <c r="H975" s="1" t="s">
        <v>23</v>
      </c>
      <c r="I975" s="1" t="s">
        <v>24</v>
      </c>
      <c r="J975" s="1" t="s">
        <v>150</v>
      </c>
      <c r="K975" s="3">
        <v>844.16</v>
      </c>
      <c r="L975" s="1">
        <v>8</v>
      </c>
      <c r="M975" s="1" t="s">
        <v>20</v>
      </c>
      <c r="N975" s="3">
        <v>-222.02</v>
      </c>
      <c r="O975" s="1" t="s">
        <v>2298</v>
      </c>
      <c r="P975" s="1" t="s">
        <v>2071</v>
      </c>
      <c r="Q975" s="1" t="str">
        <f>TEXT((Data[[#This Row],[Order_Date]]), "mmm")</f>
        <v>Mar</v>
      </c>
    </row>
    <row r="976" spans="4:17" x14ac:dyDescent="0.3">
      <c r="D976" s="1" t="s">
        <v>1038</v>
      </c>
      <c r="E976" s="2">
        <v>45352</v>
      </c>
      <c r="F976" s="2">
        <v>45358</v>
      </c>
      <c r="G976" s="1" t="s">
        <v>36</v>
      </c>
      <c r="H976" s="1" t="s">
        <v>12</v>
      </c>
      <c r="I976" s="1" t="s">
        <v>58</v>
      </c>
      <c r="J976" s="1" t="s">
        <v>105</v>
      </c>
      <c r="K976" s="3">
        <v>1014.11</v>
      </c>
      <c r="L976" s="1">
        <v>3</v>
      </c>
      <c r="M976" s="1" t="s">
        <v>20</v>
      </c>
      <c r="N976" s="3">
        <v>183.78</v>
      </c>
      <c r="O976" s="1" t="s">
        <v>2166</v>
      </c>
      <c r="P976" s="1" t="s">
        <v>2076</v>
      </c>
      <c r="Q976" s="1" t="str">
        <f>TEXT((Data[[#This Row],[Order_Date]]), "mmm")</f>
        <v>Mar</v>
      </c>
    </row>
    <row r="977" spans="4:17" x14ac:dyDescent="0.3">
      <c r="D977" s="1" t="s">
        <v>1039</v>
      </c>
      <c r="E977" s="2">
        <v>45595</v>
      </c>
      <c r="F977" s="2">
        <v>45597</v>
      </c>
      <c r="G977" s="1" t="s">
        <v>11</v>
      </c>
      <c r="H977" s="1" t="s">
        <v>12</v>
      </c>
      <c r="I977" s="1" t="s">
        <v>38</v>
      </c>
      <c r="J977" s="1" t="s">
        <v>39</v>
      </c>
      <c r="K977" s="3">
        <v>1684.02</v>
      </c>
      <c r="L977" s="1">
        <v>5</v>
      </c>
      <c r="M977" s="1" t="s">
        <v>49</v>
      </c>
      <c r="N977" s="3">
        <v>404.74</v>
      </c>
      <c r="O977" s="1" t="s">
        <v>2167</v>
      </c>
      <c r="P977" s="1" t="s">
        <v>2076</v>
      </c>
      <c r="Q977" s="1" t="str">
        <f>TEXT((Data[[#This Row],[Order_Date]]), "mmm")</f>
        <v>Oct</v>
      </c>
    </row>
    <row r="978" spans="4:17" x14ac:dyDescent="0.3">
      <c r="D978" s="1" t="s">
        <v>1040</v>
      </c>
      <c r="E978" s="2">
        <v>45387</v>
      </c>
      <c r="F978" s="2">
        <v>45390</v>
      </c>
      <c r="G978" s="1" t="s">
        <v>22</v>
      </c>
      <c r="H978" s="1" t="s">
        <v>23</v>
      </c>
      <c r="I978" s="1" t="s">
        <v>78</v>
      </c>
      <c r="J978" s="1" t="s">
        <v>118</v>
      </c>
      <c r="K978" s="3">
        <v>2973.67</v>
      </c>
      <c r="L978" s="1">
        <v>13</v>
      </c>
      <c r="M978" s="1" t="s">
        <v>34</v>
      </c>
      <c r="N978" s="3">
        <v>736.81</v>
      </c>
      <c r="O978" s="1" t="s">
        <v>2299</v>
      </c>
      <c r="P978" s="1" t="s">
        <v>2071</v>
      </c>
      <c r="Q978" s="1" t="str">
        <f>TEXT((Data[[#This Row],[Order_Date]]), "mmm")</f>
        <v>Apr</v>
      </c>
    </row>
    <row r="979" spans="4:17" x14ac:dyDescent="0.3">
      <c r="D979" s="1" t="s">
        <v>1041</v>
      </c>
      <c r="E979" s="2">
        <v>45365</v>
      </c>
      <c r="F979" s="2">
        <v>45365</v>
      </c>
      <c r="G979" s="1" t="s">
        <v>11</v>
      </c>
      <c r="H979" s="1" t="s">
        <v>17</v>
      </c>
      <c r="I979" s="1" t="s">
        <v>27</v>
      </c>
      <c r="J979" s="1" t="s">
        <v>28</v>
      </c>
      <c r="K979" s="3">
        <v>651.54</v>
      </c>
      <c r="L979" s="1">
        <v>10</v>
      </c>
      <c r="M979" s="1" t="s">
        <v>34</v>
      </c>
      <c r="N979" s="3">
        <v>-207.44</v>
      </c>
      <c r="O979" s="1" t="s">
        <v>2303</v>
      </c>
      <c r="P979" s="1" t="s">
        <v>2071</v>
      </c>
      <c r="Q979" s="1" t="str">
        <f>TEXT((Data[[#This Row],[Order_Date]]), "mmm")</f>
        <v>Mar</v>
      </c>
    </row>
    <row r="980" spans="4:17" x14ac:dyDescent="0.3">
      <c r="D980" s="1" t="s">
        <v>1042</v>
      </c>
      <c r="E980" s="2">
        <v>45545</v>
      </c>
      <c r="F980" s="2">
        <v>45550</v>
      </c>
      <c r="G980" s="1" t="s">
        <v>22</v>
      </c>
      <c r="H980" s="1" t="s">
        <v>23</v>
      </c>
      <c r="I980" s="1" t="s">
        <v>61</v>
      </c>
      <c r="J980" s="1" t="s">
        <v>98</v>
      </c>
      <c r="K980" s="3">
        <v>3232.91</v>
      </c>
      <c r="L980" s="1">
        <v>14</v>
      </c>
      <c r="M980" s="1" t="s">
        <v>20</v>
      </c>
      <c r="N980" s="3">
        <v>633.51</v>
      </c>
      <c r="O980" s="1" t="s">
        <v>2229</v>
      </c>
      <c r="P980" s="1" t="s">
        <v>2078</v>
      </c>
      <c r="Q980" s="1" t="str">
        <f>TEXT((Data[[#This Row],[Order_Date]]), "mmm")</f>
        <v>Sep</v>
      </c>
    </row>
    <row r="981" spans="4:17" x14ac:dyDescent="0.3">
      <c r="D981" s="1" t="s">
        <v>1043</v>
      </c>
      <c r="E981" s="2">
        <v>45399</v>
      </c>
      <c r="F981" s="2">
        <v>45405</v>
      </c>
      <c r="G981" s="1" t="s">
        <v>31</v>
      </c>
      <c r="H981" s="1" t="s">
        <v>23</v>
      </c>
      <c r="I981" s="1" t="s">
        <v>65</v>
      </c>
      <c r="J981" s="1" t="s">
        <v>66</v>
      </c>
      <c r="K981" s="3">
        <v>924.27</v>
      </c>
      <c r="L981" s="1">
        <v>1</v>
      </c>
      <c r="M981" s="1" t="s">
        <v>44</v>
      </c>
      <c r="N981" s="3">
        <v>229.13</v>
      </c>
      <c r="O981" s="1" t="s">
        <v>2118</v>
      </c>
      <c r="P981" s="1" t="s">
        <v>2071</v>
      </c>
      <c r="Q981" s="1" t="str">
        <f>TEXT((Data[[#This Row],[Order_Date]]), "mmm")</f>
        <v>Apr</v>
      </c>
    </row>
    <row r="982" spans="4:17" x14ac:dyDescent="0.3">
      <c r="D982" s="1" t="s">
        <v>1044</v>
      </c>
      <c r="E982" s="2">
        <v>45308</v>
      </c>
      <c r="F982" s="2">
        <v>45309</v>
      </c>
      <c r="G982" s="1" t="s">
        <v>36</v>
      </c>
      <c r="H982" s="1" t="s">
        <v>23</v>
      </c>
      <c r="I982" s="1" t="s">
        <v>65</v>
      </c>
      <c r="J982" s="1" t="s">
        <v>122</v>
      </c>
      <c r="K982" s="3">
        <v>2499.9699999999998</v>
      </c>
      <c r="L982" s="1">
        <v>1</v>
      </c>
      <c r="M982" s="1" t="s">
        <v>44</v>
      </c>
      <c r="N982" s="3">
        <v>516.30999999999995</v>
      </c>
      <c r="O982" s="1" t="s">
        <v>2294</v>
      </c>
      <c r="P982" s="1" t="s">
        <v>2076</v>
      </c>
      <c r="Q982" s="1" t="str">
        <f>TEXT((Data[[#This Row],[Order_Date]]), "mmm")</f>
        <v>Jan</v>
      </c>
    </row>
    <row r="983" spans="4:17" x14ac:dyDescent="0.3">
      <c r="D983" s="1" t="s">
        <v>1045</v>
      </c>
      <c r="E983" s="2">
        <v>45354</v>
      </c>
      <c r="F983" s="2">
        <v>45357</v>
      </c>
      <c r="G983" s="1" t="s">
        <v>11</v>
      </c>
      <c r="H983" s="1" t="s">
        <v>12</v>
      </c>
      <c r="I983" s="1" t="s">
        <v>38</v>
      </c>
      <c r="J983" s="1" t="s">
        <v>39</v>
      </c>
      <c r="K983" s="3">
        <v>2169.04</v>
      </c>
      <c r="L983" s="1">
        <v>5</v>
      </c>
      <c r="M983" s="1" t="s">
        <v>44</v>
      </c>
      <c r="N983" s="3">
        <v>-672.54</v>
      </c>
      <c r="O983" s="1" t="s">
        <v>2074</v>
      </c>
      <c r="P983" s="1" t="s">
        <v>2071</v>
      </c>
      <c r="Q983" s="1" t="str">
        <f>TEXT((Data[[#This Row],[Order_Date]]), "mmm")</f>
        <v>Mar</v>
      </c>
    </row>
    <row r="984" spans="4:17" x14ac:dyDescent="0.3">
      <c r="D984" s="1" t="s">
        <v>1046</v>
      </c>
      <c r="E984" s="2">
        <v>45403</v>
      </c>
      <c r="F984" s="2">
        <v>45403</v>
      </c>
      <c r="G984" s="1" t="s">
        <v>36</v>
      </c>
      <c r="H984" s="1" t="s">
        <v>17</v>
      </c>
      <c r="I984" s="1" t="s">
        <v>18</v>
      </c>
      <c r="J984" s="1" t="s">
        <v>19</v>
      </c>
      <c r="K984" s="3">
        <v>2979.04</v>
      </c>
      <c r="L984" s="1">
        <v>5</v>
      </c>
      <c r="M984" s="1" t="s">
        <v>34</v>
      </c>
      <c r="N984" s="3">
        <v>393.53</v>
      </c>
      <c r="O984" s="1" t="s">
        <v>2099</v>
      </c>
      <c r="P984" s="1" t="s">
        <v>2076</v>
      </c>
      <c r="Q984" s="1" t="str">
        <f>TEXT((Data[[#This Row],[Order_Date]]), "mmm")</f>
        <v>Apr</v>
      </c>
    </row>
    <row r="985" spans="4:17" x14ac:dyDescent="0.3">
      <c r="D985" s="1" t="s">
        <v>1047</v>
      </c>
      <c r="E985" s="2">
        <v>45339</v>
      </c>
      <c r="F985" s="2">
        <v>45344</v>
      </c>
      <c r="G985" s="1" t="s">
        <v>36</v>
      </c>
      <c r="H985" s="1" t="s">
        <v>23</v>
      </c>
      <c r="I985" s="1" t="s">
        <v>65</v>
      </c>
      <c r="J985" s="1" t="s">
        <v>114</v>
      </c>
      <c r="K985" s="3">
        <v>2172.46</v>
      </c>
      <c r="L985" s="1">
        <v>13</v>
      </c>
      <c r="M985" s="1" t="s">
        <v>44</v>
      </c>
      <c r="N985" s="3">
        <v>271.62</v>
      </c>
      <c r="O985" s="1" t="s">
        <v>2306</v>
      </c>
      <c r="P985" s="1" t="s">
        <v>2071</v>
      </c>
      <c r="Q985" s="1" t="str">
        <f>TEXT((Data[[#This Row],[Order_Date]]), "mmm")</f>
        <v>Feb</v>
      </c>
    </row>
    <row r="986" spans="4:17" x14ac:dyDescent="0.3">
      <c r="D986" s="1" t="s">
        <v>1048</v>
      </c>
      <c r="E986" s="2">
        <v>45435</v>
      </c>
      <c r="F986" s="2">
        <v>45441</v>
      </c>
      <c r="G986" s="1" t="s">
        <v>11</v>
      </c>
      <c r="H986" s="1" t="s">
        <v>12</v>
      </c>
      <c r="I986" s="1" t="s">
        <v>13</v>
      </c>
      <c r="J986" s="1" t="s">
        <v>14</v>
      </c>
      <c r="K986" s="3">
        <v>3227.87</v>
      </c>
      <c r="L986" s="1">
        <v>16</v>
      </c>
      <c r="M986" s="1" t="s">
        <v>49</v>
      </c>
      <c r="N986" s="3">
        <v>1016.32</v>
      </c>
      <c r="O986" s="1" t="s">
        <v>2123</v>
      </c>
      <c r="P986" s="1" t="s">
        <v>2078</v>
      </c>
      <c r="Q986" s="1" t="str">
        <f>TEXT((Data[[#This Row],[Order_Date]]), "mmm")</f>
        <v>May</v>
      </c>
    </row>
    <row r="987" spans="4:17" x14ac:dyDescent="0.3">
      <c r="D987" s="1" t="s">
        <v>1049</v>
      </c>
      <c r="E987" s="2">
        <v>45431</v>
      </c>
      <c r="F987" s="2">
        <v>45436</v>
      </c>
      <c r="G987" s="1" t="s">
        <v>11</v>
      </c>
      <c r="H987" s="1" t="s">
        <v>12</v>
      </c>
      <c r="I987" s="1" t="s">
        <v>42</v>
      </c>
      <c r="J987" s="1" t="s">
        <v>43</v>
      </c>
      <c r="K987" s="3">
        <v>998.95</v>
      </c>
      <c r="L987" s="1">
        <v>12</v>
      </c>
      <c r="M987" s="1" t="s">
        <v>34</v>
      </c>
      <c r="N987" s="3">
        <v>319.02999999999997</v>
      </c>
      <c r="O987" s="1" t="s">
        <v>2187</v>
      </c>
      <c r="P987" s="1" t="s">
        <v>2071</v>
      </c>
      <c r="Q987" s="1" t="str">
        <f>TEXT((Data[[#This Row],[Order_Date]]), "mmm")</f>
        <v>May</v>
      </c>
    </row>
    <row r="988" spans="4:17" x14ac:dyDescent="0.3">
      <c r="D988" s="1" t="s">
        <v>1050</v>
      </c>
      <c r="E988" s="2">
        <v>45522</v>
      </c>
      <c r="F988" s="2">
        <v>45524</v>
      </c>
      <c r="G988" s="1" t="s">
        <v>11</v>
      </c>
      <c r="H988" s="1" t="s">
        <v>12</v>
      </c>
      <c r="I988" s="1" t="s">
        <v>13</v>
      </c>
      <c r="J988" s="1" t="s">
        <v>96</v>
      </c>
      <c r="K988" s="3">
        <v>1350.53</v>
      </c>
      <c r="L988" s="1">
        <v>17</v>
      </c>
      <c r="M988" s="1" t="s">
        <v>34</v>
      </c>
      <c r="N988" s="3">
        <v>-228.9</v>
      </c>
      <c r="O988" s="1" t="s">
        <v>2117</v>
      </c>
      <c r="P988" s="1" t="s">
        <v>2076</v>
      </c>
      <c r="Q988" s="1" t="str">
        <f>TEXT((Data[[#This Row],[Order_Date]]), "mmm")</f>
        <v>Aug</v>
      </c>
    </row>
    <row r="989" spans="4:17" x14ac:dyDescent="0.3">
      <c r="D989" s="1" t="s">
        <v>1051</v>
      </c>
      <c r="E989" s="2">
        <v>45457</v>
      </c>
      <c r="F989" s="2">
        <v>45463</v>
      </c>
      <c r="G989" s="1" t="s">
        <v>22</v>
      </c>
      <c r="H989" s="1" t="s">
        <v>23</v>
      </c>
      <c r="I989" s="1" t="s">
        <v>78</v>
      </c>
      <c r="J989" s="1" t="s">
        <v>118</v>
      </c>
      <c r="K989" s="3">
        <v>1056.94</v>
      </c>
      <c r="L989" s="1">
        <v>12</v>
      </c>
      <c r="M989" s="1" t="s">
        <v>34</v>
      </c>
      <c r="N989" s="3">
        <v>98.84</v>
      </c>
      <c r="O989" s="1" t="s">
        <v>2296</v>
      </c>
      <c r="P989" s="1" t="s">
        <v>2078</v>
      </c>
      <c r="Q989" s="1" t="str">
        <f>TEXT((Data[[#This Row],[Order_Date]]), "mmm")</f>
        <v>Jun</v>
      </c>
    </row>
    <row r="990" spans="4:17" x14ac:dyDescent="0.3">
      <c r="D990" s="1" t="s">
        <v>1052</v>
      </c>
      <c r="E990" s="2">
        <v>45296</v>
      </c>
      <c r="F990" s="2">
        <v>45301</v>
      </c>
      <c r="G990" s="1" t="s">
        <v>11</v>
      </c>
      <c r="H990" s="1" t="s">
        <v>12</v>
      </c>
      <c r="I990" s="1" t="s">
        <v>13</v>
      </c>
      <c r="J990" s="1" t="s">
        <v>14</v>
      </c>
      <c r="K990" s="3">
        <v>1995.16</v>
      </c>
      <c r="L990" s="1">
        <v>11</v>
      </c>
      <c r="M990" s="1" t="s">
        <v>44</v>
      </c>
      <c r="N990" s="3">
        <v>435.93</v>
      </c>
      <c r="O990" s="1" t="s">
        <v>2276</v>
      </c>
      <c r="P990" s="1" t="s">
        <v>2071</v>
      </c>
      <c r="Q990" s="1" t="str">
        <f>TEXT((Data[[#This Row],[Order_Date]]), "mmm")</f>
        <v>Jan</v>
      </c>
    </row>
    <row r="991" spans="4:17" x14ac:dyDescent="0.3">
      <c r="D991" s="1" t="s">
        <v>1053</v>
      </c>
      <c r="E991" s="2">
        <v>45600</v>
      </c>
      <c r="F991" s="2">
        <v>45603</v>
      </c>
      <c r="G991" s="1" t="s">
        <v>22</v>
      </c>
      <c r="H991" s="1" t="s">
        <v>17</v>
      </c>
      <c r="I991" s="1" t="s">
        <v>32</v>
      </c>
      <c r="J991" s="1" t="s">
        <v>33</v>
      </c>
      <c r="K991" s="3">
        <v>2936</v>
      </c>
      <c r="L991" s="1">
        <v>3</v>
      </c>
      <c r="M991" s="1" t="s">
        <v>29</v>
      </c>
      <c r="N991" s="3">
        <v>933.06</v>
      </c>
      <c r="O991" s="1" t="s">
        <v>2114</v>
      </c>
      <c r="P991" s="1" t="s">
        <v>2071</v>
      </c>
      <c r="Q991" s="1" t="str">
        <f>TEXT((Data[[#This Row],[Order_Date]]), "mmm")</f>
        <v>Nov</v>
      </c>
    </row>
    <row r="992" spans="4:17" x14ac:dyDescent="0.3">
      <c r="D992" s="1" t="s">
        <v>1054</v>
      </c>
      <c r="E992" s="2">
        <v>45514</v>
      </c>
      <c r="F992" s="2">
        <v>45519</v>
      </c>
      <c r="G992" s="1" t="s">
        <v>36</v>
      </c>
      <c r="H992" s="1" t="s">
        <v>17</v>
      </c>
      <c r="I992" s="1" t="s">
        <v>18</v>
      </c>
      <c r="J992" s="1" t="s">
        <v>19</v>
      </c>
      <c r="K992" s="3">
        <v>3260.22</v>
      </c>
      <c r="L992" s="1">
        <v>16</v>
      </c>
      <c r="M992" s="1" t="s">
        <v>20</v>
      </c>
      <c r="N992" s="3">
        <v>1131.55</v>
      </c>
      <c r="O992" s="1" t="s">
        <v>2210</v>
      </c>
      <c r="P992" s="1" t="s">
        <v>2071</v>
      </c>
      <c r="Q992" s="1" t="str">
        <f>TEXT((Data[[#This Row],[Order_Date]]), "mmm")</f>
        <v>Aug</v>
      </c>
    </row>
    <row r="993" spans="4:17" x14ac:dyDescent="0.3">
      <c r="D993" s="1" t="s">
        <v>1055</v>
      </c>
      <c r="E993" s="2">
        <v>45355</v>
      </c>
      <c r="F993" s="2">
        <v>45362</v>
      </c>
      <c r="G993" s="1" t="s">
        <v>22</v>
      </c>
      <c r="H993" s="1" t="s">
        <v>12</v>
      </c>
      <c r="I993" s="1" t="s">
        <v>13</v>
      </c>
      <c r="J993" s="1" t="s">
        <v>96</v>
      </c>
      <c r="K993" s="3">
        <v>1136.58</v>
      </c>
      <c r="L993" s="1">
        <v>1</v>
      </c>
      <c r="M993" s="1" t="s">
        <v>34</v>
      </c>
      <c r="N993" s="3">
        <v>62.91</v>
      </c>
      <c r="O993" s="1" t="s">
        <v>2294</v>
      </c>
      <c r="P993" s="1" t="s">
        <v>2076</v>
      </c>
      <c r="Q993" s="1" t="str">
        <f>TEXT((Data[[#This Row],[Order_Date]]), "mmm")</f>
        <v>Mar</v>
      </c>
    </row>
    <row r="994" spans="4:17" x14ac:dyDescent="0.3">
      <c r="D994" s="1" t="s">
        <v>1056</v>
      </c>
      <c r="E994" s="2">
        <v>45586</v>
      </c>
      <c r="F994" s="2">
        <v>45586</v>
      </c>
      <c r="G994" s="1" t="s">
        <v>31</v>
      </c>
      <c r="H994" s="1" t="s">
        <v>23</v>
      </c>
      <c r="I994" s="1" t="s">
        <v>78</v>
      </c>
      <c r="J994" s="1" t="s">
        <v>79</v>
      </c>
      <c r="K994" s="3">
        <v>388.78</v>
      </c>
      <c r="L994" s="1">
        <v>18</v>
      </c>
      <c r="M994" s="1" t="s">
        <v>29</v>
      </c>
      <c r="N994" s="3">
        <v>24</v>
      </c>
      <c r="O994" s="1" t="s">
        <v>2133</v>
      </c>
      <c r="P994" s="1" t="s">
        <v>2071</v>
      </c>
      <c r="Q994" s="1" t="str">
        <f>TEXT((Data[[#This Row],[Order_Date]]), "mmm")</f>
        <v>Oct</v>
      </c>
    </row>
    <row r="995" spans="4:17" x14ac:dyDescent="0.3">
      <c r="D995" s="1" t="s">
        <v>1057</v>
      </c>
      <c r="E995" s="2">
        <v>45327</v>
      </c>
      <c r="F995" s="2">
        <v>45334</v>
      </c>
      <c r="G995" s="1" t="s">
        <v>11</v>
      </c>
      <c r="H995" s="1" t="s">
        <v>23</v>
      </c>
      <c r="I995" s="1" t="s">
        <v>24</v>
      </c>
      <c r="J995" s="1" t="s">
        <v>93</v>
      </c>
      <c r="K995" s="3">
        <v>1439.46</v>
      </c>
      <c r="L995" s="1">
        <v>12</v>
      </c>
      <c r="M995" s="1" t="s">
        <v>49</v>
      </c>
      <c r="N995" s="3">
        <v>106.42</v>
      </c>
      <c r="O995" s="1" t="s">
        <v>2101</v>
      </c>
      <c r="P995" s="1" t="s">
        <v>2078</v>
      </c>
      <c r="Q995" s="1" t="str">
        <f>TEXT((Data[[#This Row],[Order_Date]]), "mmm")</f>
        <v>Feb</v>
      </c>
    </row>
    <row r="996" spans="4:17" x14ac:dyDescent="0.3">
      <c r="D996" s="1" t="s">
        <v>1058</v>
      </c>
      <c r="E996" s="2">
        <v>45544</v>
      </c>
      <c r="F996" s="2">
        <v>45544</v>
      </c>
      <c r="G996" s="1" t="s">
        <v>31</v>
      </c>
      <c r="H996" s="1" t="s">
        <v>23</v>
      </c>
      <c r="I996" s="1" t="s">
        <v>65</v>
      </c>
      <c r="J996" s="1" t="s">
        <v>114</v>
      </c>
      <c r="K996" s="3">
        <v>3432.52</v>
      </c>
      <c r="L996" s="1">
        <v>4</v>
      </c>
      <c r="M996" s="1" t="s">
        <v>34</v>
      </c>
      <c r="N996" s="3">
        <v>-1137.23</v>
      </c>
      <c r="O996" s="1" t="s">
        <v>2277</v>
      </c>
      <c r="P996" s="1" t="s">
        <v>2076</v>
      </c>
      <c r="Q996" s="1" t="str">
        <f>TEXT((Data[[#This Row],[Order_Date]]), "mmm")</f>
        <v>Sep</v>
      </c>
    </row>
    <row r="997" spans="4:17" x14ac:dyDescent="0.3">
      <c r="D997" s="1" t="s">
        <v>1059</v>
      </c>
      <c r="E997" s="2">
        <v>45406</v>
      </c>
      <c r="F997" s="2">
        <v>45406</v>
      </c>
      <c r="G997" s="1" t="s">
        <v>11</v>
      </c>
      <c r="H997" s="1" t="s">
        <v>17</v>
      </c>
      <c r="I997" s="1" t="s">
        <v>18</v>
      </c>
      <c r="J997" s="1" t="s">
        <v>54</v>
      </c>
      <c r="K997" s="3">
        <v>3480.21</v>
      </c>
      <c r="L997" s="1">
        <v>14</v>
      </c>
      <c r="M997" s="1" t="s">
        <v>44</v>
      </c>
      <c r="N997" s="3">
        <v>351.7</v>
      </c>
      <c r="O997" s="1" t="s">
        <v>2308</v>
      </c>
      <c r="P997" s="1" t="s">
        <v>2076</v>
      </c>
      <c r="Q997" s="1" t="str">
        <f>TEXT((Data[[#This Row],[Order_Date]]), "mmm")</f>
        <v>Apr</v>
      </c>
    </row>
    <row r="998" spans="4:17" x14ac:dyDescent="0.3">
      <c r="D998" s="1" t="s">
        <v>1060</v>
      </c>
      <c r="E998" s="2">
        <v>45480</v>
      </c>
      <c r="F998" s="2">
        <v>45480</v>
      </c>
      <c r="G998" s="1" t="s">
        <v>11</v>
      </c>
      <c r="H998" s="1" t="s">
        <v>23</v>
      </c>
      <c r="I998" s="1" t="s">
        <v>61</v>
      </c>
      <c r="J998" s="1" t="s">
        <v>76</v>
      </c>
      <c r="K998" s="3">
        <v>430.01</v>
      </c>
      <c r="L998" s="1">
        <v>10</v>
      </c>
      <c r="M998" s="1" t="s">
        <v>20</v>
      </c>
      <c r="N998" s="3">
        <v>55.52</v>
      </c>
      <c r="O998" s="1" t="s">
        <v>2195</v>
      </c>
      <c r="P998" s="1" t="s">
        <v>2076</v>
      </c>
      <c r="Q998" s="1" t="str">
        <f>TEXT((Data[[#This Row],[Order_Date]]), "mmm")</f>
        <v>Jul</v>
      </c>
    </row>
    <row r="999" spans="4:17" x14ac:dyDescent="0.3">
      <c r="D999" s="1" t="s">
        <v>1061</v>
      </c>
      <c r="E999" s="2">
        <v>45486</v>
      </c>
      <c r="F999" s="2">
        <v>45490</v>
      </c>
      <c r="G999" s="1" t="s">
        <v>22</v>
      </c>
      <c r="H999" s="1" t="s">
        <v>17</v>
      </c>
      <c r="I999" s="1" t="s">
        <v>32</v>
      </c>
      <c r="J999" s="1" t="s">
        <v>33</v>
      </c>
      <c r="K999" s="3">
        <v>699.63</v>
      </c>
      <c r="L999" s="1">
        <v>11</v>
      </c>
      <c r="M999" s="1" t="s">
        <v>44</v>
      </c>
      <c r="N999" s="3">
        <v>193.04</v>
      </c>
      <c r="O999" s="1" t="s">
        <v>2249</v>
      </c>
      <c r="P999" s="1" t="s">
        <v>2078</v>
      </c>
      <c r="Q999" s="1" t="str">
        <f>TEXT((Data[[#This Row],[Order_Date]]), "mmm")</f>
        <v>Jul</v>
      </c>
    </row>
    <row r="1000" spans="4:17" x14ac:dyDescent="0.3">
      <c r="D1000" s="1" t="s">
        <v>1062</v>
      </c>
      <c r="E1000" s="2">
        <v>45503</v>
      </c>
      <c r="F1000" s="2">
        <v>45510</v>
      </c>
      <c r="G1000" s="1" t="s">
        <v>11</v>
      </c>
      <c r="H1000" s="1" t="s">
        <v>12</v>
      </c>
      <c r="I1000" s="1" t="s">
        <v>58</v>
      </c>
      <c r="J1000" s="1" t="s">
        <v>59</v>
      </c>
      <c r="K1000" s="3">
        <v>2042.23</v>
      </c>
      <c r="L1000" s="1">
        <v>16</v>
      </c>
      <c r="M1000" s="1" t="s">
        <v>34</v>
      </c>
      <c r="N1000" s="3">
        <v>299.33999999999997</v>
      </c>
      <c r="O1000" s="1" t="s">
        <v>2140</v>
      </c>
      <c r="P1000" s="1" t="s">
        <v>2076</v>
      </c>
      <c r="Q1000" s="1" t="str">
        <f>TEXT((Data[[#This Row],[Order_Date]]), "mmm")</f>
        <v>Jul</v>
      </c>
    </row>
    <row r="1001" spans="4:17" x14ac:dyDescent="0.3">
      <c r="D1001" s="1" t="s">
        <v>1063</v>
      </c>
      <c r="E1001" s="2">
        <v>45407</v>
      </c>
      <c r="F1001" s="2">
        <v>45408</v>
      </c>
      <c r="G1001" s="1" t="s">
        <v>36</v>
      </c>
      <c r="H1001" s="1" t="s">
        <v>23</v>
      </c>
      <c r="I1001" s="1" t="s">
        <v>61</v>
      </c>
      <c r="J1001" s="1" t="s">
        <v>98</v>
      </c>
      <c r="K1001" s="3">
        <v>2344.4299999999998</v>
      </c>
      <c r="L1001" s="1">
        <v>8</v>
      </c>
      <c r="M1001" s="1" t="s">
        <v>15</v>
      </c>
      <c r="N1001" s="3">
        <v>572.37</v>
      </c>
      <c r="O1001" s="1" t="s">
        <v>2175</v>
      </c>
      <c r="P1001" s="1" t="s">
        <v>2078</v>
      </c>
      <c r="Q1001" s="1" t="str">
        <f>TEXT((Data[[#This Row],[Order_Date]]), "mmm")</f>
        <v>Apr</v>
      </c>
    </row>
    <row r="1002" spans="4:17" x14ac:dyDescent="0.3">
      <c r="D1002" s="1" t="s">
        <v>1064</v>
      </c>
      <c r="E1002" s="2">
        <v>45647</v>
      </c>
      <c r="F1002" s="2">
        <v>45648</v>
      </c>
      <c r="G1002" s="1" t="s">
        <v>11</v>
      </c>
      <c r="H1002" s="1" t="s">
        <v>23</v>
      </c>
      <c r="I1002" s="1" t="s">
        <v>61</v>
      </c>
      <c r="J1002" s="1" t="s">
        <v>76</v>
      </c>
      <c r="K1002" s="3">
        <v>299.23</v>
      </c>
      <c r="L1002" s="1">
        <v>7</v>
      </c>
      <c r="M1002" s="1" t="s">
        <v>49</v>
      </c>
      <c r="N1002" s="3">
        <v>88.44</v>
      </c>
      <c r="O1002" s="1" t="s">
        <v>2101</v>
      </c>
      <c r="P1002" s="1" t="s">
        <v>2076</v>
      </c>
      <c r="Q1002" s="1" t="str">
        <f>TEXT((Data[[#This Row],[Order_Date]]), "mmm")</f>
        <v>Dec</v>
      </c>
    </row>
    <row r="1003" spans="4:17" x14ac:dyDescent="0.3">
      <c r="D1003" s="1" t="s">
        <v>1065</v>
      </c>
      <c r="E1003" s="2">
        <v>45345</v>
      </c>
      <c r="F1003" s="2">
        <v>45350</v>
      </c>
      <c r="G1003" s="1" t="s">
        <v>22</v>
      </c>
      <c r="H1003" s="1" t="s">
        <v>12</v>
      </c>
      <c r="I1003" s="1" t="s">
        <v>13</v>
      </c>
      <c r="J1003" s="1" t="s">
        <v>129</v>
      </c>
      <c r="K1003" s="3">
        <v>2906.92</v>
      </c>
      <c r="L1003" s="1">
        <v>5</v>
      </c>
      <c r="M1003" s="1" t="s">
        <v>29</v>
      </c>
      <c r="N1003" s="3">
        <v>-237.49</v>
      </c>
      <c r="O1003" s="1" t="s">
        <v>2126</v>
      </c>
      <c r="P1003" s="1" t="s">
        <v>2078</v>
      </c>
      <c r="Q1003" s="1" t="str">
        <f>TEXT((Data[[#This Row],[Order_Date]]), "mmm")</f>
        <v>Feb</v>
      </c>
    </row>
    <row r="1004" spans="4:17" x14ac:dyDescent="0.3">
      <c r="D1004" s="1" t="s">
        <v>1066</v>
      </c>
      <c r="E1004" s="2">
        <v>45478</v>
      </c>
      <c r="F1004" s="2">
        <v>45484</v>
      </c>
      <c r="G1004" s="1" t="s">
        <v>31</v>
      </c>
      <c r="H1004" s="1" t="s">
        <v>12</v>
      </c>
      <c r="I1004" s="1" t="s">
        <v>58</v>
      </c>
      <c r="J1004" s="1" t="s">
        <v>105</v>
      </c>
      <c r="K1004" s="3">
        <v>954.83</v>
      </c>
      <c r="L1004" s="1">
        <v>9</v>
      </c>
      <c r="M1004" s="1" t="s">
        <v>49</v>
      </c>
      <c r="N1004" s="3">
        <v>94.78</v>
      </c>
      <c r="O1004" s="1" t="s">
        <v>2288</v>
      </c>
      <c r="P1004" s="1" t="s">
        <v>2071</v>
      </c>
      <c r="Q1004" s="1" t="str">
        <f>TEXT((Data[[#This Row],[Order_Date]]), "mmm")</f>
        <v>Jul</v>
      </c>
    </row>
    <row r="1005" spans="4:17" x14ac:dyDescent="0.3">
      <c r="D1005" s="1" t="s">
        <v>1067</v>
      </c>
      <c r="E1005" s="2">
        <v>45587</v>
      </c>
      <c r="F1005" s="2">
        <v>45588</v>
      </c>
      <c r="G1005" s="1" t="s">
        <v>22</v>
      </c>
      <c r="H1005" s="1" t="s">
        <v>23</v>
      </c>
      <c r="I1005" s="1" t="s">
        <v>61</v>
      </c>
      <c r="J1005" s="1" t="s">
        <v>62</v>
      </c>
      <c r="K1005" s="3">
        <v>663.25</v>
      </c>
      <c r="L1005" s="1">
        <v>1</v>
      </c>
      <c r="M1005" s="1" t="s">
        <v>49</v>
      </c>
      <c r="N1005" s="3">
        <v>-70.38</v>
      </c>
      <c r="O1005" s="1" t="s">
        <v>2107</v>
      </c>
      <c r="P1005" s="1" t="s">
        <v>2078</v>
      </c>
      <c r="Q1005" s="1" t="str">
        <f>TEXT((Data[[#This Row],[Order_Date]]), "mmm")</f>
        <v>Oct</v>
      </c>
    </row>
    <row r="1006" spans="4:17" x14ac:dyDescent="0.3">
      <c r="D1006" s="1" t="s">
        <v>1068</v>
      </c>
      <c r="E1006" s="2">
        <v>45630</v>
      </c>
      <c r="F1006" s="2">
        <v>45637</v>
      </c>
      <c r="G1006" s="1" t="s">
        <v>36</v>
      </c>
      <c r="H1006" s="1" t="s">
        <v>23</v>
      </c>
      <c r="I1006" s="1" t="s">
        <v>61</v>
      </c>
      <c r="J1006" s="1" t="s">
        <v>62</v>
      </c>
      <c r="K1006" s="3">
        <v>565.25</v>
      </c>
      <c r="L1006" s="1">
        <v>14</v>
      </c>
      <c r="M1006" s="1" t="s">
        <v>44</v>
      </c>
      <c r="N1006" s="3">
        <v>53.8</v>
      </c>
      <c r="O1006" s="1" t="s">
        <v>2096</v>
      </c>
      <c r="P1006" s="1" t="s">
        <v>2076</v>
      </c>
      <c r="Q1006" s="1" t="str">
        <f>TEXT((Data[[#This Row],[Order_Date]]), "mmm")</f>
        <v>Dec</v>
      </c>
    </row>
    <row r="1007" spans="4:17" x14ac:dyDescent="0.3">
      <c r="D1007" s="1" t="s">
        <v>1069</v>
      </c>
      <c r="E1007" s="2">
        <v>45552</v>
      </c>
      <c r="F1007" s="2">
        <v>45557</v>
      </c>
      <c r="G1007" s="1" t="s">
        <v>11</v>
      </c>
      <c r="H1007" s="1" t="s">
        <v>23</v>
      </c>
      <c r="I1007" s="1" t="s">
        <v>24</v>
      </c>
      <c r="J1007" s="1" t="s">
        <v>93</v>
      </c>
      <c r="K1007" s="3">
        <v>616.79999999999995</v>
      </c>
      <c r="L1007" s="1">
        <v>13</v>
      </c>
      <c r="M1007" s="1" t="s">
        <v>15</v>
      </c>
      <c r="N1007" s="3">
        <v>202.56</v>
      </c>
      <c r="O1007" s="1" t="s">
        <v>2241</v>
      </c>
      <c r="P1007" s="1" t="s">
        <v>2078</v>
      </c>
      <c r="Q1007" s="1" t="str">
        <f>TEXT((Data[[#This Row],[Order_Date]]), "mmm")</f>
        <v>Sep</v>
      </c>
    </row>
    <row r="1008" spans="4:17" x14ac:dyDescent="0.3">
      <c r="D1008" s="1" t="s">
        <v>1070</v>
      </c>
      <c r="E1008" s="2">
        <v>45388</v>
      </c>
      <c r="F1008" s="2">
        <v>45394</v>
      </c>
      <c r="G1008" s="1" t="s">
        <v>22</v>
      </c>
      <c r="H1008" s="1" t="s">
        <v>12</v>
      </c>
      <c r="I1008" s="1" t="s">
        <v>13</v>
      </c>
      <c r="J1008" s="1" t="s">
        <v>96</v>
      </c>
      <c r="K1008" s="3">
        <v>2194.8200000000002</v>
      </c>
      <c r="L1008" s="1">
        <v>4</v>
      </c>
      <c r="M1008" s="1" t="s">
        <v>15</v>
      </c>
      <c r="N1008" s="3">
        <v>142.58000000000001</v>
      </c>
      <c r="O1008" s="1" t="s">
        <v>2262</v>
      </c>
      <c r="P1008" s="1" t="s">
        <v>2076</v>
      </c>
      <c r="Q1008" s="1" t="str">
        <f>TEXT((Data[[#This Row],[Order_Date]]), "mmm")</f>
        <v>Apr</v>
      </c>
    </row>
    <row r="1009" spans="4:17" x14ac:dyDescent="0.3">
      <c r="D1009" s="1" t="s">
        <v>1071</v>
      </c>
      <c r="E1009" s="2">
        <v>45348</v>
      </c>
      <c r="F1009" s="2">
        <v>45351</v>
      </c>
      <c r="G1009" s="1" t="s">
        <v>11</v>
      </c>
      <c r="H1009" s="1" t="s">
        <v>17</v>
      </c>
      <c r="I1009" s="1" t="s">
        <v>18</v>
      </c>
      <c r="J1009" s="1" t="s">
        <v>90</v>
      </c>
      <c r="K1009" s="3">
        <v>1248.17</v>
      </c>
      <c r="L1009" s="1">
        <v>3</v>
      </c>
      <c r="M1009" s="1" t="s">
        <v>29</v>
      </c>
      <c r="N1009" s="3">
        <v>100.24</v>
      </c>
      <c r="O1009" s="1" t="s">
        <v>2113</v>
      </c>
      <c r="P1009" s="1" t="s">
        <v>2071</v>
      </c>
      <c r="Q1009" s="1" t="str">
        <f>TEXT((Data[[#This Row],[Order_Date]]), "mmm")</f>
        <v>Feb</v>
      </c>
    </row>
    <row r="1010" spans="4:17" x14ac:dyDescent="0.3">
      <c r="D1010" s="1" t="s">
        <v>1072</v>
      </c>
      <c r="E1010" s="2">
        <v>45609</v>
      </c>
      <c r="F1010" s="2">
        <v>45615</v>
      </c>
      <c r="G1010" s="1" t="s">
        <v>31</v>
      </c>
      <c r="H1010" s="1" t="s">
        <v>23</v>
      </c>
      <c r="I1010" s="1" t="s">
        <v>61</v>
      </c>
      <c r="J1010" s="1" t="s">
        <v>76</v>
      </c>
      <c r="K1010" s="3">
        <v>3002.22</v>
      </c>
      <c r="L1010" s="1">
        <v>9</v>
      </c>
      <c r="M1010" s="1" t="s">
        <v>49</v>
      </c>
      <c r="N1010" s="3">
        <v>335.38</v>
      </c>
      <c r="O1010" s="1" t="s">
        <v>2174</v>
      </c>
      <c r="P1010" s="1" t="s">
        <v>2078</v>
      </c>
      <c r="Q1010" s="1" t="str">
        <f>TEXT((Data[[#This Row],[Order_Date]]), "mmm")</f>
        <v>Nov</v>
      </c>
    </row>
    <row r="1011" spans="4:17" x14ac:dyDescent="0.3">
      <c r="D1011" s="1" t="s">
        <v>1073</v>
      </c>
      <c r="E1011" s="2">
        <v>45469</v>
      </c>
      <c r="F1011" s="2">
        <v>45473</v>
      </c>
      <c r="G1011" s="1" t="s">
        <v>36</v>
      </c>
      <c r="H1011" s="1" t="s">
        <v>12</v>
      </c>
      <c r="I1011" s="1" t="s">
        <v>38</v>
      </c>
      <c r="J1011" s="1" t="s">
        <v>81</v>
      </c>
      <c r="K1011" s="3">
        <v>944.05</v>
      </c>
      <c r="L1011" s="1">
        <v>20</v>
      </c>
      <c r="M1011" s="1" t="s">
        <v>49</v>
      </c>
      <c r="N1011" s="3">
        <v>256.52</v>
      </c>
      <c r="O1011" s="1" t="s">
        <v>2175</v>
      </c>
      <c r="P1011" s="1" t="s">
        <v>2078</v>
      </c>
      <c r="Q1011" s="1" t="str">
        <f>TEXT((Data[[#This Row],[Order_Date]]), "mmm")</f>
        <v>Jun</v>
      </c>
    </row>
    <row r="1012" spans="4:17" x14ac:dyDescent="0.3">
      <c r="D1012" s="1" t="s">
        <v>1074</v>
      </c>
      <c r="E1012" s="2">
        <v>45644</v>
      </c>
      <c r="F1012" s="2">
        <v>45647</v>
      </c>
      <c r="G1012" s="1" t="s">
        <v>22</v>
      </c>
      <c r="H1012" s="1" t="s">
        <v>23</v>
      </c>
      <c r="I1012" s="1" t="s">
        <v>61</v>
      </c>
      <c r="J1012" s="1" t="s">
        <v>76</v>
      </c>
      <c r="K1012" s="3">
        <v>952.54</v>
      </c>
      <c r="L1012" s="1">
        <v>15</v>
      </c>
      <c r="M1012" s="1" t="s">
        <v>44</v>
      </c>
      <c r="N1012" s="3">
        <v>322.60000000000002</v>
      </c>
      <c r="O1012" s="1" t="s">
        <v>2289</v>
      </c>
      <c r="P1012" s="1" t="s">
        <v>2071</v>
      </c>
      <c r="Q1012" s="1" t="str">
        <f>TEXT((Data[[#This Row],[Order_Date]]), "mmm")</f>
        <v>Dec</v>
      </c>
    </row>
    <row r="1013" spans="4:17" x14ac:dyDescent="0.3">
      <c r="D1013" s="1" t="s">
        <v>1075</v>
      </c>
      <c r="E1013" s="2">
        <v>45511</v>
      </c>
      <c r="F1013" s="2">
        <v>45516</v>
      </c>
      <c r="G1013" s="1" t="s">
        <v>11</v>
      </c>
      <c r="H1013" s="1" t="s">
        <v>17</v>
      </c>
      <c r="I1013" s="1" t="s">
        <v>27</v>
      </c>
      <c r="J1013" s="1" t="s">
        <v>28</v>
      </c>
      <c r="K1013" s="3">
        <v>890.22</v>
      </c>
      <c r="L1013" s="1">
        <v>1</v>
      </c>
      <c r="M1013" s="1" t="s">
        <v>29</v>
      </c>
      <c r="N1013" s="3">
        <v>138.56</v>
      </c>
      <c r="O1013" s="1" t="s">
        <v>2180</v>
      </c>
      <c r="P1013" s="1" t="s">
        <v>2078</v>
      </c>
      <c r="Q1013" s="1" t="str">
        <f>TEXT((Data[[#This Row],[Order_Date]]), "mmm")</f>
        <v>Aug</v>
      </c>
    </row>
    <row r="1014" spans="4:17" x14ac:dyDescent="0.3">
      <c r="D1014" s="1" t="s">
        <v>1076</v>
      </c>
      <c r="E1014" s="2">
        <v>45292</v>
      </c>
      <c r="F1014" s="2">
        <v>45299</v>
      </c>
      <c r="G1014" s="1" t="s">
        <v>22</v>
      </c>
      <c r="H1014" s="1" t="s">
        <v>23</v>
      </c>
      <c r="I1014" s="1" t="s">
        <v>61</v>
      </c>
      <c r="J1014" s="1" t="s">
        <v>76</v>
      </c>
      <c r="K1014" s="3">
        <v>3320.97</v>
      </c>
      <c r="L1014" s="1">
        <v>19</v>
      </c>
      <c r="M1014" s="1" t="s">
        <v>15</v>
      </c>
      <c r="N1014" s="3">
        <v>1152.79</v>
      </c>
      <c r="O1014" s="1" t="s">
        <v>2231</v>
      </c>
      <c r="P1014" s="1" t="s">
        <v>2076</v>
      </c>
      <c r="Q1014" s="1" t="str">
        <f>TEXT((Data[[#This Row],[Order_Date]]), "mmm")</f>
        <v>Jan</v>
      </c>
    </row>
    <row r="1015" spans="4:17" x14ac:dyDescent="0.3">
      <c r="D1015" s="1" t="s">
        <v>1077</v>
      </c>
      <c r="E1015" s="2">
        <v>45560</v>
      </c>
      <c r="F1015" s="2">
        <v>45562</v>
      </c>
      <c r="G1015" s="1" t="s">
        <v>22</v>
      </c>
      <c r="H1015" s="1" t="s">
        <v>17</v>
      </c>
      <c r="I1015" s="1" t="s">
        <v>18</v>
      </c>
      <c r="J1015" s="1" t="s">
        <v>54</v>
      </c>
      <c r="K1015" s="3">
        <v>3264.6</v>
      </c>
      <c r="L1015" s="1">
        <v>11</v>
      </c>
      <c r="M1015" s="1" t="s">
        <v>49</v>
      </c>
      <c r="N1015" s="3">
        <v>643.77</v>
      </c>
      <c r="O1015" s="1" t="s">
        <v>2186</v>
      </c>
      <c r="P1015" s="1" t="s">
        <v>2071</v>
      </c>
      <c r="Q1015" s="1" t="str">
        <f>TEXT((Data[[#This Row],[Order_Date]]), "mmm")</f>
        <v>Sep</v>
      </c>
    </row>
    <row r="1016" spans="4:17" x14ac:dyDescent="0.3">
      <c r="D1016" s="1" t="s">
        <v>1078</v>
      </c>
      <c r="E1016" s="2">
        <v>45571</v>
      </c>
      <c r="F1016" s="2">
        <v>45575</v>
      </c>
      <c r="G1016" s="1" t="s">
        <v>31</v>
      </c>
      <c r="H1016" s="1" t="s">
        <v>23</v>
      </c>
      <c r="I1016" s="1" t="s">
        <v>24</v>
      </c>
      <c r="J1016" s="1" t="s">
        <v>93</v>
      </c>
      <c r="K1016" s="3">
        <v>300.85000000000002</v>
      </c>
      <c r="L1016" s="1">
        <v>12</v>
      </c>
      <c r="M1016" s="1" t="s">
        <v>34</v>
      </c>
      <c r="N1016" s="3">
        <v>79.14</v>
      </c>
      <c r="O1016" s="1" t="s">
        <v>2252</v>
      </c>
      <c r="P1016" s="1" t="s">
        <v>2071</v>
      </c>
      <c r="Q1016" s="1" t="str">
        <f>TEXT((Data[[#This Row],[Order_Date]]), "mmm")</f>
        <v>Oct</v>
      </c>
    </row>
    <row r="1017" spans="4:17" x14ac:dyDescent="0.3">
      <c r="D1017" s="1" t="s">
        <v>1079</v>
      </c>
      <c r="E1017" s="2">
        <v>45631</v>
      </c>
      <c r="F1017" s="2">
        <v>45638</v>
      </c>
      <c r="G1017" s="1" t="s">
        <v>11</v>
      </c>
      <c r="H1017" s="1" t="s">
        <v>23</v>
      </c>
      <c r="I1017" s="1" t="s">
        <v>61</v>
      </c>
      <c r="J1017" s="1" t="s">
        <v>76</v>
      </c>
      <c r="K1017" s="3">
        <v>3919.89</v>
      </c>
      <c r="L1017" s="1">
        <v>8</v>
      </c>
      <c r="M1017" s="1" t="s">
        <v>15</v>
      </c>
      <c r="N1017" s="3">
        <v>1365.01</v>
      </c>
      <c r="O1017" s="1" t="s">
        <v>2196</v>
      </c>
      <c r="P1017" s="1" t="s">
        <v>2078</v>
      </c>
      <c r="Q1017" s="1" t="str">
        <f>TEXT((Data[[#This Row],[Order_Date]]), "mmm")</f>
        <v>Dec</v>
      </c>
    </row>
    <row r="1018" spans="4:17" x14ac:dyDescent="0.3">
      <c r="D1018" s="1" t="s">
        <v>1080</v>
      </c>
      <c r="E1018" s="2">
        <v>45307</v>
      </c>
      <c r="F1018" s="2">
        <v>45310</v>
      </c>
      <c r="G1018" s="1" t="s">
        <v>31</v>
      </c>
      <c r="H1018" s="1" t="s">
        <v>23</v>
      </c>
      <c r="I1018" s="1" t="s">
        <v>78</v>
      </c>
      <c r="J1018" s="1" t="s">
        <v>118</v>
      </c>
      <c r="K1018" s="3">
        <v>976.91</v>
      </c>
      <c r="L1018" s="1">
        <v>13</v>
      </c>
      <c r="M1018" s="1" t="s">
        <v>15</v>
      </c>
      <c r="N1018" s="3">
        <v>80.48</v>
      </c>
      <c r="O1018" s="1" t="s">
        <v>2117</v>
      </c>
      <c r="P1018" s="1" t="s">
        <v>2078</v>
      </c>
      <c r="Q1018" s="1" t="str">
        <f>TEXT((Data[[#This Row],[Order_Date]]), "mmm")</f>
        <v>Jan</v>
      </c>
    </row>
    <row r="1019" spans="4:17" x14ac:dyDescent="0.3">
      <c r="D1019" s="1" t="s">
        <v>1081</v>
      </c>
      <c r="E1019" s="2">
        <v>45612</v>
      </c>
      <c r="F1019" s="2">
        <v>45619</v>
      </c>
      <c r="G1019" s="1" t="s">
        <v>22</v>
      </c>
      <c r="H1019" s="1" t="s">
        <v>23</v>
      </c>
      <c r="I1019" s="1" t="s">
        <v>24</v>
      </c>
      <c r="J1019" s="1" t="s">
        <v>93</v>
      </c>
      <c r="K1019" s="3">
        <v>1716.35</v>
      </c>
      <c r="L1019" s="1">
        <v>14</v>
      </c>
      <c r="M1019" s="1" t="s">
        <v>34</v>
      </c>
      <c r="N1019" s="3">
        <v>-245.09</v>
      </c>
      <c r="O1019" s="1" t="s">
        <v>2104</v>
      </c>
      <c r="P1019" s="1" t="s">
        <v>2071</v>
      </c>
      <c r="Q1019" s="1" t="str">
        <f>TEXT((Data[[#This Row],[Order_Date]]), "mmm")</f>
        <v>Nov</v>
      </c>
    </row>
    <row r="1020" spans="4:17" x14ac:dyDescent="0.3">
      <c r="D1020" s="1" t="s">
        <v>1082</v>
      </c>
      <c r="E1020" s="2">
        <v>45558</v>
      </c>
      <c r="F1020" s="2">
        <v>45563</v>
      </c>
      <c r="G1020" s="1" t="s">
        <v>11</v>
      </c>
      <c r="H1020" s="1" t="s">
        <v>23</v>
      </c>
      <c r="I1020" s="1" t="s">
        <v>65</v>
      </c>
      <c r="J1020" s="1" t="s">
        <v>122</v>
      </c>
      <c r="K1020" s="3">
        <v>3880.57</v>
      </c>
      <c r="L1020" s="1">
        <v>12</v>
      </c>
      <c r="M1020" s="1" t="s">
        <v>34</v>
      </c>
      <c r="N1020" s="3">
        <v>-322.31</v>
      </c>
      <c r="O1020" s="1" t="s">
        <v>2151</v>
      </c>
      <c r="P1020" s="1" t="s">
        <v>2071</v>
      </c>
      <c r="Q1020" s="1" t="str">
        <f>TEXT((Data[[#This Row],[Order_Date]]), "mmm")</f>
        <v>Sep</v>
      </c>
    </row>
    <row r="1021" spans="4:17" x14ac:dyDescent="0.3">
      <c r="D1021" s="1" t="s">
        <v>1083</v>
      </c>
      <c r="E1021" s="2">
        <v>45642</v>
      </c>
      <c r="F1021" s="2">
        <v>45644</v>
      </c>
      <c r="G1021" s="1" t="s">
        <v>31</v>
      </c>
      <c r="H1021" s="1" t="s">
        <v>12</v>
      </c>
      <c r="I1021" s="1" t="s">
        <v>58</v>
      </c>
      <c r="J1021" s="1" t="s">
        <v>59</v>
      </c>
      <c r="K1021" s="3">
        <v>3875.02</v>
      </c>
      <c r="L1021" s="1">
        <v>20</v>
      </c>
      <c r="M1021" s="1" t="s">
        <v>29</v>
      </c>
      <c r="N1021" s="3">
        <v>966.03</v>
      </c>
      <c r="O1021" s="1" t="s">
        <v>2170</v>
      </c>
      <c r="P1021" s="1" t="s">
        <v>2076</v>
      </c>
      <c r="Q1021" s="1" t="str">
        <f>TEXT((Data[[#This Row],[Order_Date]]), "mmm")</f>
        <v>Dec</v>
      </c>
    </row>
    <row r="1022" spans="4:17" x14ac:dyDescent="0.3">
      <c r="D1022" s="1" t="s">
        <v>1084</v>
      </c>
      <c r="E1022" s="2">
        <v>45439</v>
      </c>
      <c r="F1022" s="2">
        <v>45440</v>
      </c>
      <c r="G1022" s="1" t="s">
        <v>36</v>
      </c>
      <c r="H1022" s="1" t="s">
        <v>17</v>
      </c>
      <c r="I1022" s="1" t="s">
        <v>27</v>
      </c>
      <c r="J1022" s="1" t="s">
        <v>28</v>
      </c>
      <c r="K1022" s="3">
        <v>1064.97</v>
      </c>
      <c r="L1022" s="1">
        <v>19</v>
      </c>
      <c r="M1022" s="1" t="s">
        <v>20</v>
      </c>
      <c r="N1022" s="3">
        <v>70.239999999999995</v>
      </c>
      <c r="O1022" s="1" t="s">
        <v>2290</v>
      </c>
      <c r="P1022" s="1" t="s">
        <v>2076</v>
      </c>
      <c r="Q1022" s="1" t="str">
        <f>TEXT((Data[[#This Row],[Order_Date]]), "mmm")</f>
        <v>May</v>
      </c>
    </row>
    <row r="1023" spans="4:17" x14ac:dyDescent="0.3">
      <c r="D1023" s="1" t="s">
        <v>1085</v>
      </c>
      <c r="E1023" s="2">
        <v>45512</v>
      </c>
      <c r="F1023" s="2">
        <v>45517</v>
      </c>
      <c r="G1023" s="1" t="s">
        <v>11</v>
      </c>
      <c r="H1023" s="1" t="s">
        <v>17</v>
      </c>
      <c r="I1023" s="1" t="s">
        <v>27</v>
      </c>
      <c r="J1023" s="1" t="s">
        <v>132</v>
      </c>
      <c r="K1023" s="3">
        <v>1563.32</v>
      </c>
      <c r="L1023" s="1">
        <v>10</v>
      </c>
      <c r="M1023" s="1" t="s">
        <v>29</v>
      </c>
      <c r="N1023" s="3">
        <v>390.2</v>
      </c>
      <c r="O1023" s="1" t="s">
        <v>2268</v>
      </c>
      <c r="P1023" s="1" t="s">
        <v>2076</v>
      </c>
      <c r="Q1023" s="1" t="str">
        <f>TEXT((Data[[#This Row],[Order_Date]]), "mmm")</f>
        <v>Aug</v>
      </c>
    </row>
    <row r="1024" spans="4:17" x14ac:dyDescent="0.3">
      <c r="D1024" s="1" t="s">
        <v>1086</v>
      </c>
      <c r="E1024" s="2">
        <v>45371</v>
      </c>
      <c r="F1024" s="2">
        <v>45372</v>
      </c>
      <c r="G1024" s="1" t="s">
        <v>36</v>
      </c>
      <c r="H1024" s="1" t="s">
        <v>17</v>
      </c>
      <c r="I1024" s="1" t="s">
        <v>32</v>
      </c>
      <c r="J1024" s="1" t="s">
        <v>56</v>
      </c>
      <c r="K1024" s="3">
        <v>1870.19</v>
      </c>
      <c r="L1024" s="1">
        <v>3</v>
      </c>
      <c r="M1024" s="1" t="s">
        <v>34</v>
      </c>
      <c r="N1024" s="3">
        <v>216.3</v>
      </c>
      <c r="O1024" s="1" t="s">
        <v>2112</v>
      </c>
      <c r="P1024" s="1" t="s">
        <v>2076</v>
      </c>
      <c r="Q1024" s="1" t="str">
        <f>TEXT((Data[[#This Row],[Order_Date]]), "mmm")</f>
        <v>Mar</v>
      </c>
    </row>
    <row r="1025" spans="4:17" x14ac:dyDescent="0.3">
      <c r="D1025" s="1" t="s">
        <v>1087</v>
      </c>
      <c r="E1025" s="2">
        <v>45473</v>
      </c>
      <c r="F1025" s="2">
        <v>45476</v>
      </c>
      <c r="G1025" s="1" t="s">
        <v>31</v>
      </c>
      <c r="H1025" s="1" t="s">
        <v>23</v>
      </c>
      <c r="I1025" s="1" t="s">
        <v>65</v>
      </c>
      <c r="J1025" s="1" t="s">
        <v>66</v>
      </c>
      <c r="K1025" s="3">
        <v>3598.88</v>
      </c>
      <c r="L1025" s="1">
        <v>10</v>
      </c>
      <c r="M1025" s="1" t="s">
        <v>29</v>
      </c>
      <c r="N1025" s="3">
        <v>515.42999999999995</v>
      </c>
      <c r="O1025" s="1" t="s">
        <v>2155</v>
      </c>
      <c r="P1025" s="1" t="s">
        <v>2078</v>
      </c>
      <c r="Q1025" s="1" t="str">
        <f>TEXT((Data[[#This Row],[Order_Date]]), "mmm")</f>
        <v>Jun</v>
      </c>
    </row>
    <row r="1026" spans="4:17" x14ac:dyDescent="0.3">
      <c r="D1026" s="1" t="s">
        <v>1088</v>
      </c>
      <c r="E1026" s="2">
        <v>45639</v>
      </c>
      <c r="F1026" s="2">
        <v>45644</v>
      </c>
      <c r="G1026" s="1" t="s">
        <v>22</v>
      </c>
      <c r="H1026" s="1" t="s">
        <v>12</v>
      </c>
      <c r="I1026" s="1" t="s">
        <v>58</v>
      </c>
      <c r="J1026" s="1" t="s">
        <v>105</v>
      </c>
      <c r="K1026" s="3">
        <v>758.84</v>
      </c>
      <c r="L1026" s="1">
        <v>18</v>
      </c>
      <c r="M1026" s="1" t="s">
        <v>44</v>
      </c>
      <c r="N1026" s="3">
        <v>-106.48</v>
      </c>
      <c r="O1026" s="1" t="s">
        <v>2149</v>
      </c>
      <c r="P1026" s="1" t="s">
        <v>2076</v>
      </c>
      <c r="Q1026" s="1" t="str">
        <f>TEXT((Data[[#This Row],[Order_Date]]), "mmm")</f>
        <v>Dec</v>
      </c>
    </row>
    <row r="1027" spans="4:17" x14ac:dyDescent="0.3">
      <c r="D1027" s="1" t="s">
        <v>1089</v>
      </c>
      <c r="E1027" s="2">
        <v>45582</v>
      </c>
      <c r="F1027" s="2">
        <v>45589</v>
      </c>
      <c r="G1027" s="1" t="s">
        <v>22</v>
      </c>
      <c r="H1027" s="1" t="s">
        <v>23</v>
      </c>
      <c r="I1027" s="1" t="s">
        <v>65</v>
      </c>
      <c r="J1027" s="1" t="s">
        <v>66</v>
      </c>
      <c r="K1027" s="3">
        <v>769.79</v>
      </c>
      <c r="L1027" s="1">
        <v>15</v>
      </c>
      <c r="M1027" s="1" t="s">
        <v>15</v>
      </c>
      <c r="N1027" s="3">
        <v>110.83</v>
      </c>
      <c r="O1027" s="1" t="s">
        <v>2302</v>
      </c>
      <c r="P1027" s="1" t="s">
        <v>2076</v>
      </c>
      <c r="Q1027" s="1" t="str">
        <f>TEXT((Data[[#This Row],[Order_Date]]), "mmm")</f>
        <v>Oct</v>
      </c>
    </row>
    <row r="1028" spans="4:17" x14ac:dyDescent="0.3">
      <c r="D1028" s="1" t="s">
        <v>1090</v>
      </c>
      <c r="E1028" s="2">
        <v>45656</v>
      </c>
      <c r="F1028" s="2">
        <v>45661</v>
      </c>
      <c r="G1028" s="1" t="s">
        <v>31</v>
      </c>
      <c r="H1028" s="1" t="s">
        <v>23</v>
      </c>
      <c r="I1028" s="1" t="s">
        <v>65</v>
      </c>
      <c r="J1028" s="1" t="s">
        <v>114</v>
      </c>
      <c r="K1028" s="3">
        <v>1826.9</v>
      </c>
      <c r="L1028" s="1">
        <v>14</v>
      </c>
      <c r="M1028" s="1" t="s">
        <v>49</v>
      </c>
      <c r="N1028" s="3">
        <v>106.51</v>
      </c>
      <c r="O1028" s="1" t="s">
        <v>2145</v>
      </c>
      <c r="P1028" s="1" t="s">
        <v>2071</v>
      </c>
      <c r="Q1028" s="1" t="str">
        <f>TEXT((Data[[#This Row],[Order_Date]]), "mmm")</f>
        <v>Dec</v>
      </c>
    </row>
    <row r="1029" spans="4:17" x14ac:dyDescent="0.3">
      <c r="D1029" s="1" t="s">
        <v>1091</v>
      </c>
      <c r="E1029" s="2">
        <v>45507</v>
      </c>
      <c r="F1029" s="2">
        <v>45508</v>
      </c>
      <c r="G1029" s="1" t="s">
        <v>22</v>
      </c>
      <c r="H1029" s="1" t="s">
        <v>12</v>
      </c>
      <c r="I1029" s="1" t="s">
        <v>13</v>
      </c>
      <c r="J1029" s="1" t="s">
        <v>14</v>
      </c>
      <c r="K1029" s="3">
        <v>2426.21</v>
      </c>
      <c r="L1029" s="1">
        <v>12</v>
      </c>
      <c r="M1029" s="1" t="s">
        <v>44</v>
      </c>
      <c r="N1029" s="3">
        <v>573.23</v>
      </c>
      <c r="O1029" s="1" t="s">
        <v>2298</v>
      </c>
      <c r="P1029" s="1" t="s">
        <v>2071</v>
      </c>
      <c r="Q1029" s="1" t="str">
        <f>TEXT((Data[[#This Row],[Order_Date]]), "mmm")</f>
        <v>Aug</v>
      </c>
    </row>
    <row r="1030" spans="4:17" x14ac:dyDescent="0.3">
      <c r="D1030" s="1" t="s">
        <v>1092</v>
      </c>
      <c r="E1030" s="2">
        <v>45442</v>
      </c>
      <c r="F1030" s="2">
        <v>45442</v>
      </c>
      <c r="G1030" s="1" t="s">
        <v>31</v>
      </c>
      <c r="H1030" s="1" t="s">
        <v>17</v>
      </c>
      <c r="I1030" s="1" t="s">
        <v>27</v>
      </c>
      <c r="J1030" s="1" t="s">
        <v>28</v>
      </c>
      <c r="K1030" s="3">
        <v>1985.53</v>
      </c>
      <c r="L1030" s="1">
        <v>17</v>
      </c>
      <c r="M1030" s="1" t="s">
        <v>49</v>
      </c>
      <c r="N1030" s="3">
        <v>-599.15</v>
      </c>
      <c r="O1030" s="1" t="s">
        <v>2082</v>
      </c>
      <c r="P1030" s="1" t="s">
        <v>2076</v>
      </c>
      <c r="Q1030" s="1" t="str">
        <f>TEXT((Data[[#This Row],[Order_Date]]), "mmm")</f>
        <v>May</v>
      </c>
    </row>
    <row r="1031" spans="4:17" x14ac:dyDescent="0.3">
      <c r="D1031" s="1" t="s">
        <v>1093</v>
      </c>
      <c r="E1031" s="2">
        <v>45430</v>
      </c>
      <c r="F1031" s="2">
        <v>45431</v>
      </c>
      <c r="G1031" s="1" t="s">
        <v>36</v>
      </c>
      <c r="H1031" s="1" t="s">
        <v>12</v>
      </c>
      <c r="I1031" s="1" t="s">
        <v>38</v>
      </c>
      <c r="J1031" s="1" t="s">
        <v>85</v>
      </c>
      <c r="K1031" s="3">
        <v>2370.41</v>
      </c>
      <c r="L1031" s="1">
        <v>11</v>
      </c>
      <c r="M1031" s="1" t="s">
        <v>20</v>
      </c>
      <c r="N1031" s="3">
        <v>204.88</v>
      </c>
      <c r="O1031" s="1" t="s">
        <v>2090</v>
      </c>
      <c r="P1031" s="1" t="s">
        <v>2071</v>
      </c>
      <c r="Q1031" s="1" t="str">
        <f>TEXT((Data[[#This Row],[Order_Date]]), "mmm")</f>
        <v>May</v>
      </c>
    </row>
    <row r="1032" spans="4:17" x14ac:dyDescent="0.3">
      <c r="D1032" s="1" t="s">
        <v>1094</v>
      </c>
      <c r="E1032" s="2">
        <v>45553</v>
      </c>
      <c r="F1032" s="2">
        <v>45553</v>
      </c>
      <c r="G1032" s="1" t="s">
        <v>22</v>
      </c>
      <c r="H1032" s="1" t="s">
        <v>12</v>
      </c>
      <c r="I1032" s="1" t="s">
        <v>58</v>
      </c>
      <c r="J1032" s="1" t="s">
        <v>59</v>
      </c>
      <c r="K1032" s="3">
        <v>3026.59</v>
      </c>
      <c r="L1032" s="1">
        <v>16</v>
      </c>
      <c r="M1032" s="1" t="s">
        <v>44</v>
      </c>
      <c r="N1032" s="3">
        <v>354.3</v>
      </c>
      <c r="O1032" s="1" t="s">
        <v>2277</v>
      </c>
      <c r="P1032" s="1" t="s">
        <v>2071</v>
      </c>
      <c r="Q1032" s="1" t="str">
        <f>TEXT((Data[[#This Row],[Order_Date]]), "mmm")</f>
        <v>Sep</v>
      </c>
    </row>
    <row r="1033" spans="4:17" x14ac:dyDescent="0.3">
      <c r="D1033" s="1" t="s">
        <v>1095</v>
      </c>
      <c r="E1033" s="2">
        <v>45371</v>
      </c>
      <c r="F1033" s="2">
        <v>45375</v>
      </c>
      <c r="G1033" s="1" t="s">
        <v>36</v>
      </c>
      <c r="H1033" s="1" t="s">
        <v>12</v>
      </c>
      <c r="I1033" s="1" t="s">
        <v>38</v>
      </c>
      <c r="J1033" s="1" t="s">
        <v>85</v>
      </c>
      <c r="K1033" s="3">
        <v>2588.7399999999998</v>
      </c>
      <c r="L1033" s="1">
        <v>7</v>
      </c>
      <c r="M1033" s="1" t="s">
        <v>20</v>
      </c>
      <c r="N1033" s="3">
        <v>181.58</v>
      </c>
      <c r="O1033" s="1" t="s">
        <v>2202</v>
      </c>
      <c r="P1033" s="1" t="s">
        <v>2076</v>
      </c>
      <c r="Q1033" s="1" t="str">
        <f>TEXT((Data[[#This Row],[Order_Date]]), "mmm")</f>
        <v>Mar</v>
      </c>
    </row>
    <row r="1034" spans="4:17" x14ac:dyDescent="0.3">
      <c r="D1034" s="1" t="s">
        <v>1096</v>
      </c>
      <c r="E1034" s="2">
        <v>45353</v>
      </c>
      <c r="F1034" s="2">
        <v>45354</v>
      </c>
      <c r="G1034" s="1" t="s">
        <v>22</v>
      </c>
      <c r="H1034" s="1" t="s">
        <v>17</v>
      </c>
      <c r="I1034" s="1" t="s">
        <v>18</v>
      </c>
      <c r="J1034" s="1" t="s">
        <v>54</v>
      </c>
      <c r="K1034" s="3">
        <v>342.46</v>
      </c>
      <c r="L1034" s="1">
        <v>17</v>
      </c>
      <c r="M1034" s="1" t="s">
        <v>49</v>
      </c>
      <c r="N1034" s="3">
        <v>57.26</v>
      </c>
      <c r="O1034" s="1" t="s">
        <v>2266</v>
      </c>
      <c r="P1034" s="1" t="s">
        <v>2071</v>
      </c>
      <c r="Q1034" s="1" t="str">
        <f>TEXT((Data[[#This Row],[Order_Date]]), "mmm")</f>
        <v>Mar</v>
      </c>
    </row>
    <row r="1035" spans="4:17" x14ac:dyDescent="0.3">
      <c r="D1035" s="1" t="s">
        <v>1097</v>
      </c>
      <c r="E1035" s="2">
        <v>45445</v>
      </c>
      <c r="F1035" s="2">
        <v>45451</v>
      </c>
      <c r="G1035" s="1" t="s">
        <v>31</v>
      </c>
      <c r="H1035" s="1" t="s">
        <v>17</v>
      </c>
      <c r="I1035" s="1" t="s">
        <v>18</v>
      </c>
      <c r="J1035" s="1" t="s">
        <v>90</v>
      </c>
      <c r="K1035" s="3">
        <v>1226.02</v>
      </c>
      <c r="L1035" s="1">
        <v>20</v>
      </c>
      <c r="M1035" s="1" t="s">
        <v>15</v>
      </c>
      <c r="N1035" s="3">
        <v>222.82</v>
      </c>
      <c r="O1035" s="1" t="s">
        <v>2219</v>
      </c>
      <c r="P1035" s="1" t="s">
        <v>2076</v>
      </c>
      <c r="Q1035" s="1" t="str">
        <f>TEXT((Data[[#This Row],[Order_Date]]), "mmm")</f>
        <v>Jun</v>
      </c>
    </row>
    <row r="1036" spans="4:17" x14ac:dyDescent="0.3">
      <c r="D1036" s="1" t="s">
        <v>1098</v>
      </c>
      <c r="E1036" s="2">
        <v>45355</v>
      </c>
      <c r="F1036" s="2">
        <v>45361</v>
      </c>
      <c r="G1036" s="1" t="s">
        <v>22</v>
      </c>
      <c r="H1036" s="1" t="s">
        <v>12</v>
      </c>
      <c r="I1036" s="1" t="s">
        <v>38</v>
      </c>
      <c r="J1036" s="1" t="s">
        <v>81</v>
      </c>
      <c r="K1036" s="3">
        <v>781.32</v>
      </c>
      <c r="L1036" s="1">
        <v>8</v>
      </c>
      <c r="M1036" s="1" t="s">
        <v>44</v>
      </c>
      <c r="N1036" s="3">
        <v>158.96</v>
      </c>
      <c r="O1036" s="1" t="s">
        <v>2190</v>
      </c>
      <c r="P1036" s="1" t="s">
        <v>2078</v>
      </c>
      <c r="Q1036" s="1" t="str">
        <f>TEXT((Data[[#This Row],[Order_Date]]), "mmm")</f>
        <v>Mar</v>
      </c>
    </row>
    <row r="1037" spans="4:17" x14ac:dyDescent="0.3">
      <c r="D1037" s="1" t="s">
        <v>1099</v>
      </c>
      <c r="E1037" s="2">
        <v>45394</v>
      </c>
      <c r="F1037" s="2">
        <v>45401</v>
      </c>
      <c r="G1037" s="1" t="s">
        <v>31</v>
      </c>
      <c r="H1037" s="1" t="s">
        <v>23</v>
      </c>
      <c r="I1037" s="1" t="s">
        <v>24</v>
      </c>
      <c r="J1037" s="1" t="s">
        <v>150</v>
      </c>
      <c r="K1037" s="3">
        <v>625.07000000000005</v>
      </c>
      <c r="L1037" s="1">
        <v>19</v>
      </c>
      <c r="M1037" s="1" t="s">
        <v>49</v>
      </c>
      <c r="N1037" s="3">
        <v>100.14</v>
      </c>
      <c r="O1037" s="1" t="s">
        <v>2220</v>
      </c>
      <c r="P1037" s="1" t="s">
        <v>2076</v>
      </c>
      <c r="Q1037" s="1" t="str">
        <f>TEXT((Data[[#This Row],[Order_Date]]), "mmm")</f>
        <v>Apr</v>
      </c>
    </row>
    <row r="1038" spans="4:17" x14ac:dyDescent="0.3">
      <c r="D1038" s="1" t="s">
        <v>1100</v>
      </c>
      <c r="E1038" s="2">
        <v>45489</v>
      </c>
      <c r="F1038" s="2">
        <v>45490</v>
      </c>
      <c r="G1038" s="1" t="s">
        <v>31</v>
      </c>
      <c r="H1038" s="1" t="s">
        <v>23</v>
      </c>
      <c r="I1038" s="1" t="s">
        <v>65</v>
      </c>
      <c r="J1038" s="1" t="s">
        <v>66</v>
      </c>
      <c r="K1038" s="3">
        <v>354.89</v>
      </c>
      <c r="L1038" s="1">
        <v>15</v>
      </c>
      <c r="M1038" s="1" t="s">
        <v>20</v>
      </c>
      <c r="N1038" s="3">
        <v>-77.81</v>
      </c>
      <c r="O1038" s="1" t="s">
        <v>2276</v>
      </c>
      <c r="P1038" s="1" t="s">
        <v>2078</v>
      </c>
      <c r="Q1038" s="1" t="str">
        <f>TEXT((Data[[#This Row],[Order_Date]]), "mmm")</f>
        <v>Jul</v>
      </c>
    </row>
    <row r="1039" spans="4:17" x14ac:dyDescent="0.3">
      <c r="D1039" s="1" t="s">
        <v>1101</v>
      </c>
      <c r="E1039" s="2">
        <v>45447</v>
      </c>
      <c r="F1039" s="2">
        <v>45447</v>
      </c>
      <c r="G1039" s="1" t="s">
        <v>31</v>
      </c>
      <c r="H1039" s="1" t="s">
        <v>17</v>
      </c>
      <c r="I1039" s="1" t="s">
        <v>27</v>
      </c>
      <c r="J1039" s="1" t="s">
        <v>132</v>
      </c>
      <c r="K1039" s="3">
        <v>2004.65</v>
      </c>
      <c r="L1039" s="1">
        <v>15</v>
      </c>
      <c r="M1039" s="1" t="s">
        <v>34</v>
      </c>
      <c r="N1039" s="3">
        <v>105.72</v>
      </c>
      <c r="O1039" s="1" t="s">
        <v>2155</v>
      </c>
      <c r="P1039" s="1" t="s">
        <v>2076</v>
      </c>
      <c r="Q1039" s="1" t="str">
        <f>TEXT((Data[[#This Row],[Order_Date]]), "mmm")</f>
        <v>Jun</v>
      </c>
    </row>
    <row r="1040" spans="4:17" x14ac:dyDescent="0.3">
      <c r="D1040" s="1" t="s">
        <v>1102</v>
      </c>
      <c r="E1040" s="2">
        <v>45548</v>
      </c>
      <c r="F1040" s="2">
        <v>45551</v>
      </c>
      <c r="G1040" s="1" t="s">
        <v>36</v>
      </c>
      <c r="H1040" s="1" t="s">
        <v>12</v>
      </c>
      <c r="I1040" s="1" t="s">
        <v>42</v>
      </c>
      <c r="J1040" s="1" t="s">
        <v>48</v>
      </c>
      <c r="K1040" s="3">
        <v>904.36</v>
      </c>
      <c r="L1040" s="1">
        <v>5</v>
      </c>
      <c r="M1040" s="1" t="s">
        <v>34</v>
      </c>
      <c r="N1040" s="3">
        <v>223.18</v>
      </c>
      <c r="O1040" s="1" t="s">
        <v>2251</v>
      </c>
      <c r="P1040" s="1" t="s">
        <v>2071</v>
      </c>
      <c r="Q1040" s="1" t="str">
        <f>TEXT((Data[[#This Row],[Order_Date]]), "mmm")</f>
        <v>Sep</v>
      </c>
    </row>
    <row r="1041" spans="4:17" x14ac:dyDescent="0.3">
      <c r="D1041" s="1" t="s">
        <v>1103</v>
      </c>
      <c r="E1041" s="2">
        <v>45527</v>
      </c>
      <c r="F1041" s="2">
        <v>45529</v>
      </c>
      <c r="G1041" s="1" t="s">
        <v>36</v>
      </c>
      <c r="H1041" s="1" t="s">
        <v>12</v>
      </c>
      <c r="I1041" s="1" t="s">
        <v>13</v>
      </c>
      <c r="J1041" s="1" t="s">
        <v>96</v>
      </c>
      <c r="K1041" s="3">
        <v>505.79</v>
      </c>
      <c r="L1041" s="1">
        <v>16</v>
      </c>
      <c r="M1041" s="1" t="s">
        <v>49</v>
      </c>
      <c r="N1041" s="3">
        <v>171.34</v>
      </c>
      <c r="O1041" s="1" t="s">
        <v>2074</v>
      </c>
      <c r="P1041" s="1" t="s">
        <v>2078</v>
      </c>
      <c r="Q1041" s="1" t="str">
        <f>TEXT((Data[[#This Row],[Order_Date]]), "mmm")</f>
        <v>Aug</v>
      </c>
    </row>
    <row r="1042" spans="4:17" x14ac:dyDescent="0.3">
      <c r="D1042" s="1" t="s">
        <v>1104</v>
      </c>
      <c r="E1042" s="2">
        <v>45384</v>
      </c>
      <c r="F1042" s="2">
        <v>45388</v>
      </c>
      <c r="G1042" s="1" t="s">
        <v>22</v>
      </c>
      <c r="H1042" s="1" t="s">
        <v>12</v>
      </c>
      <c r="I1042" s="1" t="s">
        <v>13</v>
      </c>
      <c r="J1042" s="1" t="s">
        <v>129</v>
      </c>
      <c r="K1042" s="3">
        <v>2441.85</v>
      </c>
      <c r="L1042" s="1">
        <v>13</v>
      </c>
      <c r="M1042" s="1" t="s">
        <v>20</v>
      </c>
      <c r="N1042" s="3">
        <v>155.01</v>
      </c>
      <c r="O1042" s="1" t="s">
        <v>2102</v>
      </c>
      <c r="P1042" s="1" t="s">
        <v>2071</v>
      </c>
      <c r="Q1042" s="1" t="str">
        <f>TEXT((Data[[#This Row],[Order_Date]]), "mmm")</f>
        <v>Apr</v>
      </c>
    </row>
    <row r="1043" spans="4:17" x14ac:dyDescent="0.3">
      <c r="D1043" s="1" t="s">
        <v>1105</v>
      </c>
      <c r="E1043" s="2">
        <v>45373</v>
      </c>
      <c r="F1043" s="2">
        <v>45376</v>
      </c>
      <c r="G1043" s="1" t="s">
        <v>11</v>
      </c>
      <c r="H1043" s="1" t="s">
        <v>12</v>
      </c>
      <c r="I1043" s="1" t="s">
        <v>38</v>
      </c>
      <c r="J1043" s="1" t="s">
        <v>85</v>
      </c>
      <c r="K1043" s="3">
        <v>3753.38</v>
      </c>
      <c r="L1043" s="1">
        <v>16</v>
      </c>
      <c r="M1043" s="1" t="s">
        <v>34</v>
      </c>
      <c r="N1043" s="3">
        <v>1043.3399999999999</v>
      </c>
      <c r="O1043" s="1" t="s">
        <v>2124</v>
      </c>
      <c r="P1043" s="1" t="s">
        <v>2076</v>
      </c>
      <c r="Q1043" s="1" t="str">
        <f>TEXT((Data[[#This Row],[Order_Date]]), "mmm")</f>
        <v>Mar</v>
      </c>
    </row>
    <row r="1044" spans="4:17" x14ac:dyDescent="0.3">
      <c r="D1044" s="1" t="s">
        <v>1106</v>
      </c>
      <c r="E1044" s="2">
        <v>45413</v>
      </c>
      <c r="F1044" s="2">
        <v>45414</v>
      </c>
      <c r="G1044" s="1" t="s">
        <v>22</v>
      </c>
      <c r="H1044" s="1" t="s">
        <v>12</v>
      </c>
      <c r="I1044" s="1" t="s">
        <v>42</v>
      </c>
      <c r="J1044" s="1" t="s">
        <v>43</v>
      </c>
      <c r="K1044" s="3">
        <v>3708.91</v>
      </c>
      <c r="L1044" s="1">
        <v>2</v>
      </c>
      <c r="M1044" s="1" t="s">
        <v>29</v>
      </c>
      <c r="N1044" s="3">
        <v>-464.15</v>
      </c>
      <c r="O1044" s="1" t="s">
        <v>2231</v>
      </c>
      <c r="P1044" s="1" t="s">
        <v>2076</v>
      </c>
      <c r="Q1044" s="1" t="str">
        <f>TEXT((Data[[#This Row],[Order_Date]]), "mmm")</f>
        <v>May</v>
      </c>
    </row>
    <row r="1045" spans="4:17" x14ac:dyDescent="0.3">
      <c r="D1045" s="1" t="s">
        <v>1107</v>
      </c>
      <c r="E1045" s="2">
        <v>45329</v>
      </c>
      <c r="F1045" s="2">
        <v>45336</v>
      </c>
      <c r="G1045" s="1" t="s">
        <v>36</v>
      </c>
      <c r="H1045" s="1" t="s">
        <v>12</v>
      </c>
      <c r="I1045" s="1" t="s">
        <v>38</v>
      </c>
      <c r="J1045" s="1" t="s">
        <v>81</v>
      </c>
      <c r="K1045" s="3">
        <v>1454.35</v>
      </c>
      <c r="L1045" s="1">
        <v>15</v>
      </c>
      <c r="M1045" s="1" t="s">
        <v>49</v>
      </c>
      <c r="N1045" s="3">
        <v>130.84</v>
      </c>
      <c r="O1045" s="1" t="s">
        <v>2309</v>
      </c>
      <c r="P1045" s="1" t="s">
        <v>2076</v>
      </c>
      <c r="Q1045" s="1" t="str">
        <f>TEXT((Data[[#This Row],[Order_Date]]), "mmm")</f>
        <v>Feb</v>
      </c>
    </row>
    <row r="1046" spans="4:17" x14ac:dyDescent="0.3">
      <c r="D1046" s="1" t="s">
        <v>1108</v>
      </c>
      <c r="E1046" s="2">
        <v>45576</v>
      </c>
      <c r="F1046" s="2">
        <v>45579</v>
      </c>
      <c r="G1046" s="1" t="s">
        <v>22</v>
      </c>
      <c r="H1046" s="1" t="s">
        <v>23</v>
      </c>
      <c r="I1046" s="1" t="s">
        <v>65</v>
      </c>
      <c r="J1046" s="1" t="s">
        <v>114</v>
      </c>
      <c r="K1046" s="3">
        <v>2795.68</v>
      </c>
      <c r="L1046" s="1">
        <v>8</v>
      </c>
      <c r="M1046" s="1" t="s">
        <v>44</v>
      </c>
      <c r="N1046" s="3">
        <v>762.23</v>
      </c>
      <c r="O1046" s="1" t="s">
        <v>2203</v>
      </c>
      <c r="P1046" s="1" t="s">
        <v>2078</v>
      </c>
      <c r="Q1046" s="1" t="str">
        <f>TEXT((Data[[#This Row],[Order_Date]]), "mmm")</f>
        <v>Oct</v>
      </c>
    </row>
    <row r="1047" spans="4:17" x14ac:dyDescent="0.3">
      <c r="D1047" s="1" t="s">
        <v>1109</v>
      </c>
      <c r="E1047" s="2">
        <v>45562</v>
      </c>
      <c r="F1047" s="2">
        <v>45565</v>
      </c>
      <c r="G1047" s="1" t="s">
        <v>11</v>
      </c>
      <c r="H1047" s="1" t="s">
        <v>12</v>
      </c>
      <c r="I1047" s="1" t="s">
        <v>38</v>
      </c>
      <c r="J1047" s="1" t="s">
        <v>39</v>
      </c>
      <c r="K1047" s="3">
        <v>3849.37</v>
      </c>
      <c r="L1047" s="1">
        <v>4</v>
      </c>
      <c r="M1047" s="1" t="s">
        <v>44</v>
      </c>
      <c r="N1047" s="3">
        <v>-230.85</v>
      </c>
      <c r="O1047" s="1" t="s">
        <v>2118</v>
      </c>
      <c r="P1047" s="1" t="s">
        <v>2078</v>
      </c>
      <c r="Q1047" s="1" t="str">
        <f>TEXT((Data[[#This Row],[Order_Date]]), "mmm")</f>
        <v>Sep</v>
      </c>
    </row>
    <row r="1048" spans="4:17" x14ac:dyDescent="0.3">
      <c r="D1048" s="1" t="s">
        <v>1110</v>
      </c>
      <c r="E1048" s="2">
        <v>45294</v>
      </c>
      <c r="F1048" s="2">
        <v>45299</v>
      </c>
      <c r="G1048" s="1" t="s">
        <v>31</v>
      </c>
      <c r="H1048" s="1" t="s">
        <v>12</v>
      </c>
      <c r="I1048" s="1" t="s">
        <v>38</v>
      </c>
      <c r="J1048" s="1" t="s">
        <v>85</v>
      </c>
      <c r="K1048" s="3">
        <v>944.89</v>
      </c>
      <c r="L1048" s="1">
        <v>17</v>
      </c>
      <c r="M1048" s="1" t="s">
        <v>49</v>
      </c>
      <c r="N1048" s="3">
        <v>101.14</v>
      </c>
      <c r="O1048" s="1" t="s">
        <v>2177</v>
      </c>
      <c r="P1048" s="1" t="s">
        <v>2076</v>
      </c>
      <c r="Q1048" s="1" t="str">
        <f>TEXT((Data[[#This Row],[Order_Date]]), "mmm")</f>
        <v>Jan</v>
      </c>
    </row>
    <row r="1049" spans="4:17" x14ac:dyDescent="0.3">
      <c r="D1049" s="1" t="s">
        <v>1111</v>
      </c>
      <c r="E1049" s="2">
        <v>45534</v>
      </c>
      <c r="F1049" s="2">
        <v>45539</v>
      </c>
      <c r="G1049" s="1" t="s">
        <v>36</v>
      </c>
      <c r="H1049" s="1" t="s">
        <v>12</v>
      </c>
      <c r="I1049" s="1" t="s">
        <v>58</v>
      </c>
      <c r="J1049" s="1" t="s">
        <v>120</v>
      </c>
      <c r="K1049" s="3">
        <v>1895.79</v>
      </c>
      <c r="L1049" s="1">
        <v>13</v>
      </c>
      <c r="M1049" s="1" t="s">
        <v>20</v>
      </c>
      <c r="N1049" s="3">
        <v>-418.49</v>
      </c>
      <c r="O1049" s="1" t="s">
        <v>2103</v>
      </c>
      <c r="P1049" s="1" t="s">
        <v>2071</v>
      </c>
      <c r="Q1049" s="1" t="str">
        <f>TEXT((Data[[#This Row],[Order_Date]]), "mmm")</f>
        <v>Aug</v>
      </c>
    </row>
    <row r="1050" spans="4:17" x14ac:dyDescent="0.3">
      <c r="D1050" s="1" t="s">
        <v>1112</v>
      </c>
      <c r="E1050" s="2">
        <v>45556</v>
      </c>
      <c r="F1050" s="2">
        <v>45560</v>
      </c>
      <c r="G1050" s="1" t="s">
        <v>11</v>
      </c>
      <c r="H1050" s="1" t="s">
        <v>17</v>
      </c>
      <c r="I1050" s="1" t="s">
        <v>27</v>
      </c>
      <c r="J1050" s="1" t="s">
        <v>132</v>
      </c>
      <c r="K1050" s="3">
        <v>443.05</v>
      </c>
      <c r="L1050" s="1">
        <v>18</v>
      </c>
      <c r="M1050" s="1" t="s">
        <v>34</v>
      </c>
      <c r="N1050" s="3">
        <v>25.15</v>
      </c>
      <c r="O1050" s="1" t="s">
        <v>2074</v>
      </c>
      <c r="P1050" s="1" t="s">
        <v>2078</v>
      </c>
      <c r="Q1050" s="1" t="str">
        <f>TEXT((Data[[#This Row],[Order_Date]]), "mmm")</f>
        <v>Sep</v>
      </c>
    </row>
    <row r="1051" spans="4:17" x14ac:dyDescent="0.3">
      <c r="D1051" s="1" t="s">
        <v>1113</v>
      </c>
      <c r="E1051" s="2">
        <v>45440</v>
      </c>
      <c r="F1051" s="2">
        <v>45444</v>
      </c>
      <c r="G1051" s="1" t="s">
        <v>31</v>
      </c>
      <c r="H1051" s="1" t="s">
        <v>12</v>
      </c>
      <c r="I1051" s="1" t="s">
        <v>13</v>
      </c>
      <c r="J1051" s="1" t="s">
        <v>51</v>
      </c>
      <c r="K1051" s="3">
        <v>3521.66</v>
      </c>
      <c r="L1051" s="1">
        <v>6</v>
      </c>
      <c r="M1051" s="1" t="s">
        <v>34</v>
      </c>
      <c r="N1051" s="3">
        <v>255.08</v>
      </c>
      <c r="O1051" s="1" t="s">
        <v>2290</v>
      </c>
      <c r="P1051" s="1" t="s">
        <v>2078</v>
      </c>
      <c r="Q1051" s="1" t="str">
        <f>TEXT((Data[[#This Row],[Order_Date]]), "mmm")</f>
        <v>May</v>
      </c>
    </row>
    <row r="1052" spans="4:17" x14ac:dyDescent="0.3">
      <c r="D1052" s="1" t="s">
        <v>1114</v>
      </c>
      <c r="E1052" s="2">
        <v>45557</v>
      </c>
      <c r="F1052" s="2">
        <v>45561</v>
      </c>
      <c r="G1052" s="1" t="s">
        <v>31</v>
      </c>
      <c r="H1052" s="1" t="s">
        <v>12</v>
      </c>
      <c r="I1052" s="1" t="s">
        <v>38</v>
      </c>
      <c r="J1052" s="1" t="s">
        <v>39</v>
      </c>
      <c r="K1052" s="3">
        <v>2865.69</v>
      </c>
      <c r="L1052" s="1">
        <v>4</v>
      </c>
      <c r="M1052" s="1" t="s">
        <v>29</v>
      </c>
      <c r="N1052" s="3">
        <v>548.19000000000005</v>
      </c>
      <c r="O1052" s="1" t="s">
        <v>2188</v>
      </c>
      <c r="P1052" s="1" t="s">
        <v>2071</v>
      </c>
      <c r="Q1052" s="1" t="str">
        <f>TEXT((Data[[#This Row],[Order_Date]]), "mmm")</f>
        <v>Sep</v>
      </c>
    </row>
    <row r="1053" spans="4:17" x14ac:dyDescent="0.3">
      <c r="D1053" s="1" t="s">
        <v>1115</v>
      </c>
      <c r="E1053" s="2">
        <v>45426</v>
      </c>
      <c r="F1053" s="2">
        <v>45426</v>
      </c>
      <c r="G1053" s="1" t="s">
        <v>11</v>
      </c>
      <c r="H1053" s="1" t="s">
        <v>23</v>
      </c>
      <c r="I1053" s="1" t="s">
        <v>65</v>
      </c>
      <c r="J1053" s="1" t="s">
        <v>114</v>
      </c>
      <c r="K1053" s="3">
        <v>1001.92</v>
      </c>
      <c r="L1053" s="1">
        <v>2</v>
      </c>
      <c r="M1053" s="1" t="s">
        <v>44</v>
      </c>
      <c r="N1053" s="3">
        <v>111.48</v>
      </c>
      <c r="O1053" s="1" t="s">
        <v>2107</v>
      </c>
      <c r="P1053" s="1" t="s">
        <v>2071</v>
      </c>
      <c r="Q1053" s="1" t="str">
        <f>TEXT((Data[[#This Row],[Order_Date]]), "mmm")</f>
        <v>May</v>
      </c>
    </row>
    <row r="1054" spans="4:17" x14ac:dyDescent="0.3">
      <c r="D1054" s="1" t="s">
        <v>1116</v>
      </c>
      <c r="E1054" s="2">
        <v>45460</v>
      </c>
      <c r="F1054" s="2">
        <v>45460</v>
      </c>
      <c r="G1054" s="1" t="s">
        <v>22</v>
      </c>
      <c r="H1054" s="1" t="s">
        <v>23</v>
      </c>
      <c r="I1054" s="1" t="s">
        <v>61</v>
      </c>
      <c r="J1054" s="1" t="s">
        <v>62</v>
      </c>
      <c r="K1054" s="3">
        <v>3641.21</v>
      </c>
      <c r="L1054" s="1">
        <v>2</v>
      </c>
      <c r="M1054" s="1" t="s">
        <v>34</v>
      </c>
      <c r="N1054" s="3">
        <v>1253.73</v>
      </c>
      <c r="O1054" s="1" t="s">
        <v>2308</v>
      </c>
      <c r="P1054" s="1" t="s">
        <v>2078</v>
      </c>
      <c r="Q1054" s="1" t="str">
        <f>TEXT((Data[[#This Row],[Order_Date]]), "mmm")</f>
        <v>Jun</v>
      </c>
    </row>
    <row r="1055" spans="4:17" x14ac:dyDescent="0.3">
      <c r="D1055" s="1" t="s">
        <v>1117</v>
      </c>
      <c r="E1055" s="2">
        <v>45598</v>
      </c>
      <c r="F1055" s="2">
        <v>45599</v>
      </c>
      <c r="G1055" s="1" t="s">
        <v>31</v>
      </c>
      <c r="H1055" s="1" t="s">
        <v>17</v>
      </c>
      <c r="I1055" s="1" t="s">
        <v>27</v>
      </c>
      <c r="J1055" s="1" t="s">
        <v>28</v>
      </c>
      <c r="K1055" s="3">
        <v>640.23</v>
      </c>
      <c r="L1055" s="1">
        <v>16</v>
      </c>
      <c r="M1055" s="1" t="s">
        <v>29</v>
      </c>
      <c r="N1055" s="3">
        <v>75.27</v>
      </c>
      <c r="O1055" s="1" t="s">
        <v>2256</v>
      </c>
      <c r="P1055" s="1" t="s">
        <v>2076</v>
      </c>
      <c r="Q1055" s="1" t="str">
        <f>TEXT((Data[[#This Row],[Order_Date]]), "mmm")</f>
        <v>Nov</v>
      </c>
    </row>
    <row r="1056" spans="4:17" x14ac:dyDescent="0.3">
      <c r="D1056" s="1" t="s">
        <v>1118</v>
      </c>
      <c r="E1056" s="2">
        <v>45536</v>
      </c>
      <c r="F1056" s="2">
        <v>45540</v>
      </c>
      <c r="G1056" s="1" t="s">
        <v>22</v>
      </c>
      <c r="H1056" s="1" t="s">
        <v>17</v>
      </c>
      <c r="I1056" s="1" t="s">
        <v>18</v>
      </c>
      <c r="J1056" s="1" t="s">
        <v>19</v>
      </c>
      <c r="K1056" s="3">
        <v>3151.05</v>
      </c>
      <c r="L1056" s="1">
        <v>7</v>
      </c>
      <c r="M1056" s="1" t="s">
        <v>29</v>
      </c>
      <c r="N1056" s="3">
        <v>732.44</v>
      </c>
      <c r="O1056" s="1" t="s">
        <v>2110</v>
      </c>
      <c r="P1056" s="1" t="s">
        <v>2078</v>
      </c>
      <c r="Q1056" s="1" t="str">
        <f>TEXT((Data[[#This Row],[Order_Date]]), "mmm")</f>
        <v>Sep</v>
      </c>
    </row>
    <row r="1057" spans="4:17" x14ac:dyDescent="0.3">
      <c r="D1057" s="1" t="s">
        <v>1119</v>
      </c>
      <c r="E1057" s="2">
        <v>45642</v>
      </c>
      <c r="F1057" s="2">
        <v>45642</v>
      </c>
      <c r="G1057" s="1" t="s">
        <v>31</v>
      </c>
      <c r="H1057" s="1" t="s">
        <v>17</v>
      </c>
      <c r="I1057" s="1" t="s">
        <v>27</v>
      </c>
      <c r="J1057" s="1" t="s">
        <v>108</v>
      </c>
      <c r="K1057" s="3">
        <v>2857.9</v>
      </c>
      <c r="L1057" s="1">
        <v>14</v>
      </c>
      <c r="M1057" s="1" t="s">
        <v>15</v>
      </c>
      <c r="N1057" s="3">
        <v>-508.85</v>
      </c>
      <c r="O1057" s="1" t="s">
        <v>2216</v>
      </c>
      <c r="P1057" s="1" t="s">
        <v>2076</v>
      </c>
      <c r="Q1057" s="1" t="str">
        <f>TEXT((Data[[#This Row],[Order_Date]]), "mmm")</f>
        <v>Dec</v>
      </c>
    </row>
    <row r="1058" spans="4:17" x14ac:dyDescent="0.3">
      <c r="D1058" s="1" t="s">
        <v>1120</v>
      </c>
      <c r="E1058" s="2">
        <v>45516</v>
      </c>
      <c r="F1058" s="2">
        <v>45517</v>
      </c>
      <c r="G1058" s="1" t="s">
        <v>36</v>
      </c>
      <c r="H1058" s="1" t="s">
        <v>23</v>
      </c>
      <c r="I1058" s="1" t="s">
        <v>78</v>
      </c>
      <c r="J1058" s="1" t="s">
        <v>79</v>
      </c>
      <c r="K1058" s="3">
        <v>1886.97</v>
      </c>
      <c r="L1058" s="1">
        <v>2</v>
      </c>
      <c r="M1058" s="1" t="s">
        <v>44</v>
      </c>
      <c r="N1058" s="3">
        <v>225.7</v>
      </c>
      <c r="O1058" s="1" t="s">
        <v>2158</v>
      </c>
      <c r="P1058" s="1" t="s">
        <v>2071</v>
      </c>
      <c r="Q1058" s="1" t="str">
        <f>TEXT((Data[[#This Row],[Order_Date]]), "mmm")</f>
        <v>Aug</v>
      </c>
    </row>
    <row r="1059" spans="4:17" x14ac:dyDescent="0.3">
      <c r="D1059" s="1" t="s">
        <v>1121</v>
      </c>
      <c r="E1059" s="2">
        <v>45408</v>
      </c>
      <c r="F1059" s="2">
        <v>45414</v>
      </c>
      <c r="G1059" s="1" t="s">
        <v>11</v>
      </c>
      <c r="H1059" s="1" t="s">
        <v>17</v>
      </c>
      <c r="I1059" s="1" t="s">
        <v>32</v>
      </c>
      <c r="J1059" s="1" t="s">
        <v>56</v>
      </c>
      <c r="K1059" s="3">
        <v>3297.33</v>
      </c>
      <c r="L1059" s="1">
        <v>3</v>
      </c>
      <c r="M1059" s="1" t="s">
        <v>20</v>
      </c>
      <c r="N1059" s="3">
        <v>290.20999999999998</v>
      </c>
      <c r="O1059" s="1" t="s">
        <v>2235</v>
      </c>
      <c r="P1059" s="1" t="s">
        <v>2076</v>
      </c>
      <c r="Q1059" s="1" t="str">
        <f>TEXT((Data[[#This Row],[Order_Date]]), "mmm")</f>
        <v>Apr</v>
      </c>
    </row>
    <row r="1060" spans="4:17" x14ac:dyDescent="0.3">
      <c r="D1060" s="1" t="s">
        <v>1122</v>
      </c>
      <c r="E1060" s="2">
        <v>45314</v>
      </c>
      <c r="F1060" s="2">
        <v>45319</v>
      </c>
      <c r="G1060" s="1" t="s">
        <v>36</v>
      </c>
      <c r="H1060" s="1" t="s">
        <v>12</v>
      </c>
      <c r="I1060" s="1" t="s">
        <v>58</v>
      </c>
      <c r="J1060" s="1" t="s">
        <v>105</v>
      </c>
      <c r="K1060" s="3">
        <v>736.44</v>
      </c>
      <c r="L1060" s="1">
        <v>13</v>
      </c>
      <c r="M1060" s="1" t="s">
        <v>49</v>
      </c>
      <c r="N1060" s="3">
        <v>182.1</v>
      </c>
      <c r="O1060" s="1" t="s">
        <v>2077</v>
      </c>
      <c r="P1060" s="1" t="s">
        <v>2071</v>
      </c>
      <c r="Q1060" s="1" t="str">
        <f>TEXT((Data[[#This Row],[Order_Date]]), "mmm")</f>
        <v>Jan</v>
      </c>
    </row>
    <row r="1061" spans="4:17" x14ac:dyDescent="0.3">
      <c r="D1061" s="1" t="s">
        <v>1123</v>
      </c>
      <c r="E1061" s="2">
        <v>45331</v>
      </c>
      <c r="F1061" s="2">
        <v>45335</v>
      </c>
      <c r="G1061" s="1" t="s">
        <v>22</v>
      </c>
      <c r="H1061" s="1" t="s">
        <v>23</v>
      </c>
      <c r="I1061" s="1" t="s">
        <v>24</v>
      </c>
      <c r="J1061" s="1" t="s">
        <v>25</v>
      </c>
      <c r="K1061" s="3">
        <v>1913.28</v>
      </c>
      <c r="L1061" s="1">
        <v>10</v>
      </c>
      <c r="M1061" s="1" t="s">
        <v>34</v>
      </c>
      <c r="N1061" s="3">
        <v>543.49</v>
      </c>
      <c r="O1061" s="1" t="s">
        <v>2111</v>
      </c>
      <c r="P1061" s="1" t="s">
        <v>2071</v>
      </c>
      <c r="Q1061" s="1" t="str">
        <f>TEXT((Data[[#This Row],[Order_Date]]), "mmm")</f>
        <v>Feb</v>
      </c>
    </row>
    <row r="1062" spans="4:17" x14ac:dyDescent="0.3">
      <c r="D1062" s="1" t="s">
        <v>1124</v>
      </c>
      <c r="E1062" s="2">
        <v>45626</v>
      </c>
      <c r="F1062" s="2">
        <v>45629</v>
      </c>
      <c r="G1062" s="1" t="s">
        <v>36</v>
      </c>
      <c r="H1062" s="1" t="s">
        <v>23</v>
      </c>
      <c r="I1062" s="1" t="s">
        <v>61</v>
      </c>
      <c r="J1062" s="1" t="s">
        <v>76</v>
      </c>
      <c r="K1062" s="3">
        <v>1549.88</v>
      </c>
      <c r="L1062" s="1">
        <v>14</v>
      </c>
      <c r="M1062" s="1" t="s">
        <v>15</v>
      </c>
      <c r="N1062" s="3">
        <v>519.47</v>
      </c>
      <c r="O1062" s="1" t="s">
        <v>2173</v>
      </c>
      <c r="P1062" s="1" t="s">
        <v>2071</v>
      </c>
      <c r="Q1062" s="1" t="str">
        <f>TEXT((Data[[#This Row],[Order_Date]]), "mmm")</f>
        <v>Nov</v>
      </c>
    </row>
    <row r="1063" spans="4:17" x14ac:dyDescent="0.3">
      <c r="D1063" s="1" t="s">
        <v>1125</v>
      </c>
      <c r="E1063" s="2">
        <v>45332</v>
      </c>
      <c r="F1063" s="2">
        <v>45335</v>
      </c>
      <c r="G1063" s="1" t="s">
        <v>22</v>
      </c>
      <c r="H1063" s="1" t="s">
        <v>12</v>
      </c>
      <c r="I1063" s="1" t="s">
        <v>58</v>
      </c>
      <c r="J1063" s="1" t="s">
        <v>105</v>
      </c>
      <c r="K1063" s="3">
        <v>3032.16</v>
      </c>
      <c r="L1063" s="1">
        <v>7</v>
      </c>
      <c r="M1063" s="1" t="s">
        <v>20</v>
      </c>
      <c r="N1063" s="3">
        <v>490.35</v>
      </c>
      <c r="O1063" s="1" t="s">
        <v>2225</v>
      </c>
      <c r="P1063" s="1" t="s">
        <v>2071</v>
      </c>
      <c r="Q1063" s="1" t="str">
        <f>TEXT((Data[[#This Row],[Order_Date]]), "mmm")</f>
        <v>Feb</v>
      </c>
    </row>
    <row r="1064" spans="4:17" x14ac:dyDescent="0.3">
      <c r="D1064" s="1" t="s">
        <v>1126</v>
      </c>
      <c r="E1064" s="2">
        <v>45364</v>
      </c>
      <c r="F1064" s="2">
        <v>45364</v>
      </c>
      <c r="G1064" s="1" t="s">
        <v>22</v>
      </c>
      <c r="H1064" s="1" t="s">
        <v>12</v>
      </c>
      <c r="I1064" s="1" t="s">
        <v>42</v>
      </c>
      <c r="J1064" s="1" t="s">
        <v>43</v>
      </c>
      <c r="K1064" s="3">
        <v>3823.92</v>
      </c>
      <c r="L1064" s="1">
        <v>1</v>
      </c>
      <c r="M1064" s="1" t="s">
        <v>49</v>
      </c>
      <c r="N1064" s="3">
        <v>1150.6099999999999</v>
      </c>
      <c r="O1064" s="1" t="s">
        <v>2224</v>
      </c>
      <c r="P1064" s="1" t="s">
        <v>2071</v>
      </c>
      <c r="Q1064" s="1" t="str">
        <f>TEXT((Data[[#This Row],[Order_Date]]), "mmm")</f>
        <v>Mar</v>
      </c>
    </row>
    <row r="1065" spans="4:17" x14ac:dyDescent="0.3">
      <c r="D1065" s="1" t="s">
        <v>1127</v>
      </c>
      <c r="E1065" s="2">
        <v>45593</v>
      </c>
      <c r="F1065" s="2">
        <v>45599</v>
      </c>
      <c r="G1065" s="1" t="s">
        <v>36</v>
      </c>
      <c r="H1065" s="1" t="s">
        <v>17</v>
      </c>
      <c r="I1065" s="1" t="s">
        <v>18</v>
      </c>
      <c r="J1065" s="1" t="s">
        <v>54</v>
      </c>
      <c r="K1065" s="3">
        <v>3454.65</v>
      </c>
      <c r="L1065" s="1">
        <v>13</v>
      </c>
      <c r="M1065" s="1" t="s">
        <v>49</v>
      </c>
      <c r="N1065" s="3">
        <v>192.27</v>
      </c>
      <c r="O1065" s="1" t="s">
        <v>2246</v>
      </c>
      <c r="P1065" s="1" t="s">
        <v>2076</v>
      </c>
      <c r="Q1065" s="1" t="str">
        <f>TEXT((Data[[#This Row],[Order_Date]]), "mmm")</f>
        <v>Oct</v>
      </c>
    </row>
    <row r="1066" spans="4:17" x14ac:dyDescent="0.3">
      <c r="D1066" s="1" t="s">
        <v>1128</v>
      </c>
      <c r="E1066" s="2">
        <v>45519</v>
      </c>
      <c r="F1066" s="2">
        <v>45519</v>
      </c>
      <c r="G1066" s="1" t="s">
        <v>22</v>
      </c>
      <c r="H1066" s="1" t="s">
        <v>17</v>
      </c>
      <c r="I1066" s="1" t="s">
        <v>27</v>
      </c>
      <c r="J1066" s="1" t="s">
        <v>132</v>
      </c>
      <c r="K1066" s="3">
        <v>2724.72</v>
      </c>
      <c r="L1066" s="1">
        <v>18</v>
      </c>
      <c r="M1066" s="1" t="s">
        <v>20</v>
      </c>
      <c r="N1066" s="3">
        <v>-676.06</v>
      </c>
      <c r="O1066" s="1" t="s">
        <v>2255</v>
      </c>
      <c r="P1066" s="1" t="s">
        <v>2071</v>
      </c>
      <c r="Q1066" s="1" t="str">
        <f>TEXT((Data[[#This Row],[Order_Date]]), "mmm")</f>
        <v>Aug</v>
      </c>
    </row>
    <row r="1067" spans="4:17" x14ac:dyDescent="0.3">
      <c r="D1067" s="1" t="s">
        <v>1129</v>
      </c>
      <c r="E1067" s="2">
        <v>45470</v>
      </c>
      <c r="F1067" s="2">
        <v>45470</v>
      </c>
      <c r="G1067" s="1" t="s">
        <v>36</v>
      </c>
      <c r="H1067" s="1" t="s">
        <v>23</v>
      </c>
      <c r="I1067" s="1" t="s">
        <v>78</v>
      </c>
      <c r="J1067" s="1" t="s">
        <v>118</v>
      </c>
      <c r="K1067" s="3">
        <v>1528.54</v>
      </c>
      <c r="L1067" s="1">
        <v>20</v>
      </c>
      <c r="M1067" s="1" t="s">
        <v>49</v>
      </c>
      <c r="N1067" s="3">
        <v>473.42</v>
      </c>
      <c r="O1067" s="1" t="s">
        <v>2141</v>
      </c>
      <c r="P1067" s="1" t="s">
        <v>2071</v>
      </c>
      <c r="Q1067" s="1" t="str">
        <f>TEXT((Data[[#This Row],[Order_Date]]), "mmm")</f>
        <v>Jun</v>
      </c>
    </row>
    <row r="1068" spans="4:17" x14ac:dyDescent="0.3">
      <c r="D1068" s="1" t="s">
        <v>1130</v>
      </c>
      <c r="E1068" s="2">
        <v>45321</v>
      </c>
      <c r="F1068" s="2">
        <v>45322</v>
      </c>
      <c r="G1068" s="1" t="s">
        <v>31</v>
      </c>
      <c r="H1068" s="1" t="s">
        <v>12</v>
      </c>
      <c r="I1068" s="1" t="s">
        <v>13</v>
      </c>
      <c r="J1068" s="1" t="s">
        <v>96</v>
      </c>
      <c r="K1068" s="3">
        <v>1839.38</v>
      </c>
      <c r="L1068" s="1">
        <v>19</v>
      </c>
      <c r="M1068" s="1" t="s">
        <v>29</v>
      </c>
      <c r="N1068" s="3">
        <v>235.5</v>
      </c>
      <c r="O1068" s="1" t="s">
        <v>2090</v>
      </c>
      <c r="P1068" s="1" t="s">
        <v>2076</v>
      </c>
      <c r="Q1068" s="1" t="str">
        <f>TEXT((Data[[#This Row],[Order_Date]]), "mmm")</f>
        <v>Jan</v>
      </c>
    </row>
    <row r="1069" spans="4:17" x14ac:dyDescent="0.3">
      <c r="D1069" s="1" t="s">
        <v>1131</v>
      </c>
      <c r="E1069" s="2">
        <v>45531</v>
      </c>
      <c r="F1069" s="2">
        <v>45534</v>
      </c>
      <c r="G1069" s="1" t="s">
        <v>22</v>
      </c>
      <c r="H1069" s="1" t="s">
        <v>17</v>
      </c>
      <c r="I1069" s="1" t="s">
        <v>27</v>
      </c>
      <c r="J1069" s="1" t="s">
        <v>110</v>
      </c>
      <c r="K1069" s="3">
        <v>570.76</v>
      </c>
      <c r="L1069" s="1">
        <v>8</v>
      </c>
      <c r="M1069" s="1" t="s">
        <v>29</v>
      </c>
      <c r="N1069" s="3">
        <v>79.19</v>
      </c>
      <c r="O1069" s="1" t="s">
        <v>2134</v>
      </c>
      <c r="P1069" s="1" t="s">
        <v>2076</v>
      </c>
      <c r="Q1069" s="1" t="str">
        <f>TEXT((Data[[#This Row],[Order_Date]]), "mmm")</f>
        <v>Aug</v>
      </c>
    </row>
    <row r="1070" spans="4:17" x14ac:dyDescent="0.3">
      <c r="D1070" s="1" t="s">
        <v>1132</v>
      </c>
      <c r="E1070" s="2">
        <v>45311</v>
      </c>
      <c r="F1070" s="2">
        <v>45315</v>
      </c>
      <c r="G1070" s="1" t="s">
        <v>36</v>
      </c>
      <c r="H1070" s="1" t="s">
        <v>23</v>
      </c>
      <c r="I1070" s="1" t="s">
        <v>24</v>
      </c>
      <c r="J1070" s="1" t="s">
        <v>150</v>
      </c>
      <c r="K1070" s="3">
        <v>3288.47</v>
      </c>
      <c r="L1070" s="1">
        <v>20</v>
      </c>
      <c r="M1070" s="1" t="s">
        <v>20</v>
      </c>
      <c r="N1070" s="3">
        <v>287.06</v>
      </c>
      <c r="O1070" s="1" t="s">
        <v>2131</v>
      </c>
      <c r="P1070" s="1" t="s">
        <v>2076</v>
      </c>
      <c r="Q1070" s="1" t="str">
        <f>TEXT((Data[[#This Row],[Order_Date]]), "mmm")</f>
        <v>Jan</v>
      </c>
    </row>
    <row r="1071" spans="4:17" x14ac:dyDescent="0.3">
      <c r="D1071" s="1" t="s">
        <v>1133</v>
      </c>
      <c r="E1071" s="2">
        <v>45456</v>
      </c>
      <c r="F1071" s="2">
        <v>45460</v>
      </c>
      <c r="G1071" s="1" t="s">
        <v>22</v>
      </c>
      <c r="H1071" s="1" t="s">
        <v>23</v>
      </c>
      <c r="I1071" s="1" t="s">
        <v>65</v>
      </c>
      <c r="J1071" s="1" t="s">
        <v>66</v>
      </c>
      <c r="K1071" s="3">
        <v>1899.66</v>
      </c>
      <c r="L1071" s="1">
        <v>15</v>
      </c>
      <c r="M1071" s="1" t="s">
        <v>20</v>
      </c>
      <c r="N1071" s="3">
        <v>645.44000000000005</v>
      </c>
      <c r="O1071" s="1" t="s">
        <v>2150</v>
      </c>
      <c r="P1071" s="1" t="s">
        <v>2078</v>
      </c>
      <c r="Q1071" s="1" t="str">
        <f>TEXT((Data[[#This Row],[Order_Date]]), "mmm")</f>
        <v>Jun</v>
      </c>
    </row>
    <row r="1072" spans="4:17" x14ac:dyDescent="0.3">
      <c r="D1072" s="1" t="s">
        <v>1134</v>
      </c>
      <c r="E1072" s="2">
        <v>45576</v>
      </c>
      <c r="F1072" s="2">
        <v>45579</v>
      </c>
      <c r="G1072" s="1" t="s">
        <v>31</v>
      </c>
      <c r="H1072" s="1" t="s">
        <v>17</v>
      </c>
      <c r="I1072" s="1" t="s">
        <v>32</v>
      </c>
      <c r="J1072" s="1" t="s">
        <v>56</v>
      </c>
      <c r="K1072" s="3">
        <v>1286.67</v>
      </c>
      <c r="L1072" s="1">
        <v>20</v>
      </c>
      <c r="M1072" s="1" t="s">
        <v>29</v>
      </c>
      <c r="N1072" s="3">
        <v>-185.55</v>
      </c>
      <c r="O1072" s="1" t="s">
        <v>2273</v>
      </c>
      <c r="P1072" s="1" t="s">
        <v>2071</v>
      </c>
      <c r="Q1072" s="1" t="str">
        <f>TEXT((Data[[#This Row],[Order_Date]]), "mmm")</f>
        <v>Oct</v>
      </c>
    </row>
    <row r="1073" spans="4:17" x14ac:dyDescent="0.3">
      <c r="D1073" s="1" t="s">
        <v>1135</v>
      </c>
      <c r="E1073" s="2">
        <v>45384</v>
      </c>
      <c r="F1073" s="2">
        <v>45388</v>
      </c>
      <c r="G1073" s="1" t="s">
        <v>36</v>
      </c>
      <c r="H1073" s="1" t="s">
        <v>23</v>
      </c>
      <c r="I1073" s="1" t="s">
        <v>65</v>
      </c>
      <c r="J1073" s="1" t="s">
        <v>66</v>
      </c>
      <c r="K1073" s="3">
        <v>1102.82</v>
      </c>
      <c r="L1073" s="1">
        <v>6</v>
      </c>
      <c r="M1073" s="1" t="s">
        <v>44</v>
      </c>
      <c r="N1073" s="3">
        <v>343.39</v>
      </c>
      <c r="O1073" s="1" t="s">
        <v>2140</v>
      </c>
      <c r="P1073" s="1" t="s">
        <v>2078</v>
      </c>
      <c r="Q1073" s="1" t="str">
        <f>TEXT((Data[[#This Row],[Order_Date]]), "mmm")</f>
        <v>Apr</v>
      </c>
    </row>
    <row r="1074" spans="4:17" x14ac:dyDescent="0.3">
      <c r="D1074" s="1" t="s">
        <v>1136</v>
      </c>
      <c r="E1074" s="2">
        <v>45411</v>
      </c>
      <c r="F1074" s="2">
        <v>45412</v>
      </c>
      <c r="G1074" s="1" t="s">
        <v>11</v>
      </c>
      <c r="H1074" s="1" t="s">
        <v>17</v>
      </c>
      <c r="I1074" s="1" t="s">
        <v>32</v>
      </c>
      <c r="J1074" s="1" t="s">
        <v>33</v>
      </c>
      <c r="K1074" s="3">
        <v>2424.59</v>
      </c>
      <c r="L1074" s="1">
        <v>2</v>
      </c>
      <c r="M1074" s="1" t="s">
        <v>29</v>
      </c>
      <c r="N1074" s="3">
        <v>-643.02</v>
      </c>
      <c r="O1074" s="1" t="s">
        <v>2164</v>
      </c>
      <c r="P1074" s="1" t="s">
        <v>2076</v>
      </c>
      <c r="Q1074" s="1" t="str">
        <f>TEXT((Data[[#This Row],[Order_Date]]), "mmm")</f>
        <v>Apr</v>
      </c>
    </row>
    <row r="1075" spans="4:17" x14ac:dyDescent="0.3">
      <c r="D1075" s="1" t="s">
        <v>1137</v>
      </c>
      <c r="E1075" s="2">
        <v>45657</v>
      </c>
      <c r="F1075" s="2">
        <v>45661</v>
      </c>
      <c r="G1075" s="1" t="s">
        <v>36</v>
      </c>
      <c r="H1075" s="1" t="s">
        <v>17</v>
      </c>
      <c r="I1075" s="1" t="s">
        <v>32</v>
      </c>
      <c r="J1075" s="1" t="s">
        <v>33</v>
      </c>
      <c r="K1075" s="3">
        <v>2276.66</v>
      </c>
      <c r="L1075" s="1">
        <v>2</v>
      </c>
      <c r="M1075" s="1" t="s">
        <v>29</v>
      </c>
      <c r="N1075" s="3">
        <v>-274.13</v>
      </c>
      <c r="O1075" s="1" t="s">
        <v>2129</v>
      </c>
      <c r="P1075" s="1" t="s">
        <v>2071</v>
      </c>
      <c r="Q1075" s="1" t="str">
        <f>TEXT((Data[[#This Row],[Order_Date]]), "mmm")</f>
        <v>Dec</v>
      </c>
    </row>
    <row r="1076" spans="4:17" x14ac:dyDescent="0.3">
      <c r="D1076" s="1" t="s">
        <v>1138</v>
      </c>
      <c r="E1076" s="2">
        <v>45551</v>
      </c>
      <c r="F1076" s="2">
        <v>45558</v>
      </c>
      <c r="G1076" s="1" t="s">
        <v>11</v>
      </c>
      <c r="H1076" s="1" t="s">
        <v>12</v>
      </c>
      <c r="I1076" s="1" t="s">
        <v>38</v>
      </c>
      <c r="J1076" s="1" t="s">
        <v>81</v>
      </c>
      <c r="K1076" s="3">
        <v>1015.16</v>
      </c>
      <c r="L1076" s="1">
        <v>19</v>
      </c>
      <c r="M1076" s="1" t="s">
        <v>34</v>
      </c>
      <c r="N1076" s="3">
        <v>303.27</v>
      </c>
      <c r="O1076" s="1" t="s">
        <v>2222</v>
      </c>
      <c r="P1076" s="1" t="s">
        <v>2076</v>
      </c>
      <c r="Q1076" s="1" t="str">
        <f>TEXT((Data[[#This Row],[Order_Date]]), "mmm")</f>
        <v>Sep</v>
      </c>
    </row>
    <row r="1077" spans="4:17" x14ac:dyDescent="0.3">
      <c r="D1077" s="1" t="s">
        <v>1139</v>
      </c>
      <c r="E1077" s="2">
        <v>45328</v>
      </c>
      <c r="F1077" s="2">
        <v>45334</v>
      </c>
      <c r="G1077" s="1" t="s">
        <v>36</v>
      </c>
      <c r="H1077" s="1" t="s">
        <v>17</v>
      </c>
      <c r="I1077" s="1" t="s">
        <v>18</v>
      </c>
      <c r="J1077" s="1" t="s">
        <v>54</v>
      </c>
      <c r="K1077" s="3">
        <v>2526.13</v>
      </c>
      <c r="L1077" s="1">
        <v>12</v>
      </c>
      <c r="M1077" s="1" t="s">
        <v>34</v>
      </c>
      <c r="N1077" s="3">
        <v>865.27</v>
      </c>
      <c r="O1077" s="1" t="s">
        <v>2267</v>
      </c>
      <c r="P1077" s="1" t="s">
        <v>2071</v>
      </c>
      <c r="Q1077" s="1" t="str">
        <f>TEXT((Data[[#This Row],[Order_Date]]), "mmm")</f>
        <v>Feb</v>
      </c>
    </row>
    <row r="1078" spans="4:17" x14ac:dyDescent="0.3">
      <c r="D1078" s="1" t="s">
        <v>1140</v>
      </c>
      <c r="E1078" s="2">
        <v>45483</v>
      </c>
      <c r="F1078" s="2">
        <v>45490</v>
      </c>
      <c r="G1078" s="1" t="s">
        <v>36</v>
      </c>
      <c r="H1078" s="1" t="s">
        <v>12</v>
      </c>
      <c r="I1078" s="1" t="s">
        <v>38</v>
      </c>
      <c r="J1078" s="1" t="s">
        <v>81</v>
      </c>
      <c r="K1078" s="3">
        <v>1631.13</v>
      </c>
      <c r="L1078" s="1">
        <v>10</v>
      </c>
      <c r="M1078" s="1" t="s">
        <v>44</v>
      </c>
      <c r="N1078" s="3">
        <v>-527.77</v>
      </c>
      <c r="O1078" s="1" t="s">
        <v>2190</v>
      </c>
      <c r="P1078" s="1" t="s">
        <v>2071</v>
      </c>
      <c r="Q1078" s="1" t="str">
        <f>TEXT((Data[[#This Row],[Order_Date]]), "mmm")</f>
        <v>Jul</v>
      </c>
    </row>
    <row r="1079" spans="4:17" x14ac:dyDescent="0.3">
      <c r="D1079" s="1" t="s">
        <v>1141</v>
      </c>
      <c r="E1079" s="2">
        <v>45603</v>
      </c>
      <c r="F1079" s="2">
        <v>45606</v>
      </c>
      <c r="G1079" s="1" t="s">
        <v>36</v>
      </c>
      <c r="H1079" s="1" t="s">
        <v>12</v>
      </c>
      <c r="I1079" s="1" t="s">
        <v>13</v>
      </c>
      <c r="J1079" s="1" t="s">
        <v>14</v>
      </c>
      <c r="K1079" s="3">
        <v>1670.65</v>
      </c>
      <c r="L1079" s="1">
        <v>19</v>
      </c>
      <c r="M1079" s="1" t="s">
        <v>20</v>
      </c>
      <c r="N1079" s="3">
        <v>412.85</v>
      </c>
      <c r="O1079" s="1" t="s">
        <v>2308</v>
      </c>
      <c r="P1079" s="1" t="s">
        <v>2071</v>
      </c>
      <c r="Q1079" s="1" t="str">
        <f>TEXT((Data[[#This Row],[Order_Date]]), "mmm")</f>
        <v>Nov</v>
      </c>
    </row>
    <row r="1080" spans="4:17" x14ac:dyDescent="0.3">
      <c r="D1080" s="1" t="s">
        <v>1142</v>
      </c>
      <c r="E1080" s="2">
        <v>45624</v>
      </c>
      <c r="F1080" s="2">
        <v>45625</v>
      </c>
      <c r="G1080" s="1" t="s">
        <v>11</v>
      </c>
      <c r="H1080" s="1" t="s">
        <v>17</v>
      </c>
      <c r="I1080" s="1" t="s">
        <v>32</v>
      </c>
      <c r="J1080" s="1" t="s">
        <v>33</v>
      </c>
      <c r="K1080" s="3">
        <v>2271.13</v>
      </c>
      <c r="L1080" s="1">
        <v>4</v>
      </c>
      <c r="M1080" s="1" t="s">
        <v>29</v>
      </c>
      <c r="N1080" s="3">
        <v>657.41</v>
      </c>
      <c r="O1080" s="1" t="s">
        <v>2102</v>
      </c>
      <c r="P1080" s="1" t="s">
        <v>2071</v>
      </c>
      <c r="Q1080" s="1" t="str">
        <f>TEXT((Data[[#This Row],[Order_Date]]), "mmm")</f>
        <v>Nov</v>
      </c>
    </row>
    <row r="1081" spans="4:17" x14ac:dyDescent="0.3">
      <c r="D1081" s="1" t="s">
        <v>1143</v>
      </c>
      <c r="E1081" s="2">
        <v>45629</v>
      </c>
      <c r="F1081" s="2">
        <v>45636</v>
      </c>
      <c r="G1081" s="1" t="s">
        <v>36</v>
      </c>
      <c r="H1081" s="1" t="s">
        <v>23</v>
      </c>
      <c r="I1081" s="1" t="s">
        <v>78</v>
      </c>
      <c r="J1081" s="1" t="s">
        <v>79</v>
      </c>
      <c r="K1081" s="3">
        <v>3666.51</v>
      </c>
      <c r="L1081" s="1">
        <v>11</v>
      </c>
      <c r="M1081" s="1" t="s">
        <v>44</v>
      </c>
      <c r="N1081" s="3">
        <v>1062.19</v>
      </c>
      <c r="O1081" s="1" t="s">
        <v>2296</v>
      </c>
      <c r="P1081" s="1" t="s">
        <v>2071</v>
      </c>
      <c r="Q1081" s="1" t="str">
        <f>TEXT((Data[[#This Row],[Order_Date]]), "mmm")</f>
        <v>Dec</v>
      </c>
    </row>
    <row r="1082" spans="4:17" x14ac:dyDescent="0.3">
      <c r="D1082" s="1" t="s">
        <v>1144</v>
      </c>
      <c r="E1082" s="2">
        <v>45410</v>
      </c>
      <c r="F1082" s="2">
        <v>45417</v>
      </c>
      <c r="G1082" s="1" t="s">
        <v>36</v>
      </c>
      <c r="H1082" s="1" t="s">
        <v>12</v>
      </c>
      <c r="I1082" s="1" t="s">
        <v>38</v>
      </c>
      <c r="J1082" s="1" t="s">
        <v>39</v>
      </c>
      <c r="K1082" s="3">
        <v>1153.92</v>
      </c>
      <c r="L1082" s="1">
        <v>14</v>
      </c>
      <c r="M1082" s="1" t="s">
        <v>34</v>
      </c>
      <c r="N1082" s="3">
        <v>85.28</v>
      </c>
      <c r="O1082" s="1" t="s">
        <v>2186</v>
      </c>
      <c r="P1082" s="1" t="s">
        <v>2071</v>
      </c>
      <c r="Q1082" s="1" t="str">
        <f>TEXT((Data[[#This Row],[Order_Date]]), "mmm")</f>
        <v>Apr</v>
      </c>
    </row>
    <row r="1083" spans="4:17" x14ac:dyDescent="0.3">
      <c r="D1083" s="1" t="s">
        <v>1145</v>
      </c>
      <c r="E1083" s="2">
        <v>45331</v>
      </c>
      <c r="F1083" s="2">
        <v>45336</v>
      </c>
      <c r="G1083" s="1" t="s">
        <v>31</v>
      </c>
      <c r="H1083" s="1" t="s">
        <v>12</v>
      </c>
      <c r="I1083" s="1" t="s">
        <v>58</v>
      </c>
      <c r="J1083" s="1" t="s">
        <v>105</v>
      </c>
      <c r="K1083" s="3">
        <v>3198.64</v>
      </c>
      <c r="L1083" s="1">
        <v>8</v>
      </c>
      <c r="M1083" s="1" t="s">
        <v>29</v>
      </c>
      <c r="N1083" s="3">
        <v>954.3</v>
      </c>
      <c r="O1083" s="1" t="s">
        <v>2306</v>
      </c>
      <c r="P1083" s="1" t="s">
        <v>2071</v>
      </c>
      <c r="Q1083" s="1" t="str">
        <f>TEXT((Data[[#This Row],[Order_Date]]), "mmm")</f>
        <v>Feb</v>
      </c>
    </row>
    <row r="1084" spans="4:17" x14ac:dyDescent="0.3">
      <c r="D1084" s="1" t="s">
        <v>1146</v>
      </c>
      <c r="E1084" s="2">
        <v>45567</v>
      </c>
      <c r="F1084" s="2">
        <v>45570</v>
      </c>
      <c r="G1084" s="1" t="s">
        <v>31</v>
      </c>
      <c r="H1084" s="1" t="s">
        <v>12</v>
      </c>
      <c r="I1084" s="1" t="s">
        <v>58</v>
      </c>
      <c r="J1084" s="1" t="s">
        <v>59</v>
      </c>
      <c r="K1084" s="3">
        <v>1226.05</v>
      </c>
      <c r="L1084" s="1">
        <v>10</v>
      </c>
      <c r="M1084" s="1" t="s">
        <v>34</v>
      </c>
      <c r="N1084" s="3">
        <v>-176.74</v>
      </c>
      <c r="O1084" s="1" t="s">
        <v>2286</v>
      </c>
      <c r="P1084" s="1" t="s">
        <v>2078</v>
      </c>
      <c r="Q1084" s="1" t="str">
        <f>TEXT((Data[[#This Row],[Order_Date]]), "mmm")</f>
        <v>Oct</v>
      </c>
    </row>
    <row r="1085" spans="4:17" x14ac:dyDescent="0.3">
      <c r="D1085" s="1" t="s">
        <v>1147</v>
      </c>
      <c r="E1085" s="2">
        <v>45507</v>
      </c>
      <c r="F1085" s="2">
        <v>45509</v>
      </c>
      <c r="G1085" s="1" t="s">
        <v>31</v>
      </c>
      <c r="H1085" s="1" t="s">
        <v>12</v>
      </c>
      <c r="I1085" s="1" t="s">
        <v>58</v>
      </c>
      <c r="J1085" s="1" t="s">
        <v>120</v>
      </c>
      <c r="K1085" s="3">
        <v>3536.52</v>
      </c>
      <c r="L1085" s="1">
        <v>1</v>
      </c>
      <c r="M1085" s="1" t="s">
        <v>44</v>
      </c>
      <c r="N1085" s="3">
        <v>304.98</v>
      </c>
      <c r="O1085" s="1" t="s">
        <v>2195</v>
      </c>
      <c r="P1085" s="1" t="s">
        <v>2078</v>
      </c>
      <c r="Q1085" s="1" t="str">
        <f>TEXT((Data[[#This Row],[Order_Date]]), "mmm")</f>
        <v>Aug</v>
      </c>
    </row>
    <row r="1086" spans="4:17" x14ac:dyDescent="0.3">
      <c r="D1086" s="1" t="s">
        <v>1148</v>
      </c>
      <c r="E1086" s="2">
        <v>45575</v>
      </c>
      <c r="F1086" s="2">
        <v>45582</v>
      </c>
      <c r="G1086" s="1" t="s">
        <v>11</v>
      </c>
      <c r="H1086" s="1" t="s">
        <v>17</v>
      </c>
      <c r="I1086" s="1" t="s">
        <v>18</v>
      </c>
      <c r="J1086" s="1" t="s">
        <v>54</v>
      </c>
      <c r="K1086" s="3">
        <v>339.74</v>
      </c>
      <c r="L1086" s="1">
        <v>6</v>
      </c>
      <c r="M1086" s="1" t="s">
        <v>20</v>
      </c>
      <c r="N1086" s="3">
        <v>30.48</v>
      </c>
      <c r="O1086" s="1" t="s">
        <v>2185</v>
      </c>
      <c r="P1086" s="1" t="s">
        <v>2071</v>
      </c>
      <c r="Q1086" s="1" t="str">
        <f>TEXT((Data[[#This Row],[Order_Date]]), "mmm")</f>
        <v>Oct</v>
      </c>
    </row>
    <row r="1087" spans="4:17" x14ac:dyDescent="0.3">
      <c r="D1087" s="1" t="s">
        <v>1149</v>
      </c>
      <c r="E1087" s="2">
        <v>45490</v>
      </c>
      <c r="F1087" s="2">
        <v>45496</v>
      </c>
      <c r="G1087" s="1" t="s">
        <v>36</v>
      </c>
      <c r="H1087" s="1" t="s">
        <v>17</v>
      </c>
      <c r="I1087" s="1" t="s">
        <v>27</v>
      </c>
      <c r="J1087" s="1" t="s">
        <v>132</v>
      </c>
      <c r="K1087" s="3">
        <v>2919.94</v>
      </c>
      <c r="L1087" s="1">
        <v>4</v>
      </c>
      <c r="M1087" s="1" t="s">
        <v>34</v>
      </c>
      <c r="N1087" s="3">
        <v>932.13</v>
      </c>
      <c r="O1087" s="1" t="s">
        <v>2145</v>
      </c>
      <c r="P1087" s="1" t="s">
        <v>2071</v>
      </c>
      <c r="Q1087" s="1" t="str">
        <f>TEXT((Data[[#This Row],[Order_Date]]), "mmm")</f>
        <v>Jul</v>
      </c>
    </row>
    <row r="1088" spans="4:17" x14ac:dyDescent="0.3">
      <c r="D1088" s="1" t="s">
        <v>1150</v>
      </c>
      <c r="E1088" s="2">
        <v>45594</v>
      </c>
      <c r="F1088" s="2">
        <v>45595</v>
      </c>
      <c r="G1088" s="1" t="s">
        <v>11</v>
      </c>
      <c r="H1088" s="1" t="s">
        <v>17</v>
      </c>
      <c r="I1088" s="1" t="s">
        <v>32</v>
      </c>
      <c r="J1088" s="1" t="s">
        <v>33</v>
      </c>
      <c r="K1088" s="3">
        <v>3812.2</v>
      </c>
      <c r="L1088" s="1">
        <v>14</v>
      </c>
      <c r="M1088" s="1" t="s">
        <v>15</v>
      </c>
      <c r="N1088" s="3">
        <v>704.98</v>
      </c>
      <c r="O1088" s="1" t="s">
        <v>2138</v>
      </c>
      <c r="P1088" s="1" t="s">
        <v>2076</v>
      </c>
      <c r="Q1088" s="1" t="str">
        <f>TEXT((Data[[#This Row],[Order_Date]]), "mmm")</f>
        <v>Oct</v>
      </c>
    </row>
    <row r="1089" spans="4:17" x14ac:dyDescent="0.3">
      <c r="D1089" s="1" t="s">
        <v>1151</v>
      </c>
      <c r="E1089" s="2">
        <v>45440</v>
      </c>
      <c r="F1089" s="2">
        <v>45447</v>
      </c>
      <c r="G1089" s="1" t="s">
        <v>22</v>
      </c>
      <c r="H1089" s="1" t="s">
        <v>12</v>
      </c>
      <c r="I1089" s="1" t="s">
        <v>58</v>
      </c>
      <c r="J1089" s="1" t="s">
        <v>59</v>
      </c>
      <c r="K1089" s="3">
        <v>3122.33</v>
      </c>
      <c r="L1089" s="1">
        <v>17</v>
      </c>
      <c r="M1089" s="1" t="s">
        <v>20</v>
      </c>
      <c r="N1089" s="3">
        <v>-298.73</v>
      </c>
      <c r="O1089" s="1" t="s">
        <v>2192</v>
      </c>
      <c r="P1089" s="1" t="s">
        <v>2076</v>
      </c>
      <c r="Q1089" s="1" t="str">
        <f>TEXT((Data[[#This Row],[Order_Date]]), "mmm")</f>
        <v>May</v>
      </c>
    </row>
    <row r="1090" spans="4:17" x14ac:dyDescent="0.3">
      <c r="D1090" s="1" t="s">
        <v>1152</v>
      </c>
      <c r="E1090" s="2">
        <v>45595</v>
      </c>
      <c r="F1090" s="2">
        <v>45600</v>
      </c>
      <c r="G1090" s="1" t="s">
        <v>31</v>
      </c>
      <c r="H1090" s="1" t="s">
        <v>23</v>
      </c>
      <c r="I1090" s="1" t="s">
        <v>24</v>
      </c>
      <c r="J1090" s="1" t="s">
        <v>93</v>
      </c>
      <c r="K1090" s="3">
        <v>912.71</v>
      </c>
      <c r="L1090" s="1">
        <v>19</v>
      </c>
      <c r="M1090" s="1" t="s">
        <v>34</v>
      </c>
      <c r="N1090" s="3">
        <v>-304.33</v>
      </c>
      <c r="O1090" s="1" t="s">
        <v>2307</v>
      </c>
      <c r="P1090" s="1" t="s">
        <v>2071</v>
      </c>
      <c r="Q1090" s="1" t="str">
        <f>TEXT((Data[[#This Row],[Order_Date]]), "mmm")</f>
        <v>Oct</v>
      </c>
    </row>
    <row r="1091" spans="4:17" x14ac:dyDescent="0.3">
      <c r="D1091" s="1" t="s">
        <v>1153</v>
      </c>
      <c r="E1091" s="2">
        <v>45444</v>
      </c>
      <c r="F1091" s="2">
        <v>45451</v>
      </c>
      <c r="G1091" s="1" t="s">
        <v>36</v>
      </c>
      <c r="H1091" s="1" t="s">
        <v>17</v>
      </c>
      <c r="I1091" s="1" t="s">
        <v>32</v>
      </c>
      <c r="J1091" s="1" t="s">
        <v>33</v>
      </c>
      <c r="K1091" s="3">
        <v>1319.71</v>
      </c>
      <c r="L1091" s="1">
        <v>13</v>
      </c>
      <c r="M1091" s="1" t="s">
        <v>34</v>
      </c>
      <c r="N1091" s="3">
        <v>365.81</v>
      </c>
      <c r="O1091" s="1" t="s">
        <v>2123</v>
      </c>
      <c r="P1091" s="1" t="s">
        <v>2076</v>
      </c>
      <c r="Q1091" s="1" t="str">
        <f>TEXT((Data[[#This Row],[Order_Date]]), "mmm")</f>
        <v>Jun</v>
      </c>
    </row>
    <row r="1092" spans="4:17" x14ac:dyDescent="0.3">
      <c r="D1092" s="1" t="s">
        <v>1154</v>
      </c>
      <c r="E1092" s="2">
        <v>45313</v>
      </c>
      <c r="F1092" s="2">
        <v>45316</v>
      </c>
      <c r="G1092" s="1" t="s">
        <v>31</v>
      </c>
      <c r="H1092" s="1" t="s">
        <v>12</v>
      </c>
      <c r="I1092" s="1" t="s">
        <v>13</v>
      </c>
      <c r="J1092" s="1" t="s">
        <v>129</v>
      </c>
      <c r="K1092" s="3">
        <v>623</v>
      </c>
      <c r="L1092" s="1">
        <v>10</v>
      </c>
      <c r="M1092" s="1" t="s">
        <v>44</v>
      </c>
      <c r="N1092" s="3">
        <v>53.31</v>
      </c>
      <c r="O1092" s="1" t="s">
        <v>2081</v>
      </c>
      <c r="P1092" s="1" t="s">
        <v>2071</v>
      </c>
      <c r="Q1092" s="1" t="str">
        <f>TEXT((Data[[#This Row],[Order_Date]]), "mmm")</f>
        <v>Jan</v>
      </c>
    </row>
    <row r="1093" spans="4:17" x14ac:dyDescent="0.3">
      <c r="D1093" s="1" t="s">
        <v>1155</v>
      </c>
      <c r="E1093" s="2">
        <v>45516</v>
      </c>
      <c r="F1093" s="2">
        <v>45519</v>
      </c>
      <c r="G1093" s="1" t="s">
        <v>22</v>
      </c>
      <c r="H1093" s="1" t="s">
        <v>23</v>
      </c>
      <c r="I1093" s="1" t="s">
        <v>24</v>
      </c>
      <c r="J1093" s="1" t="s">
        <v>150</v>
      </c>
      <c r="K1093" s="3">
        <v>3075.51</v>
      </c>
      <c r="L1093" s="1">
        <v>8</v>
      </c>
      <c r="M1093" s="1" t="s">
        <v>15</v>
      </c>
      <c r="N1093" s="3">
        <v>-410.85</v>
      </c>
      <c r="O1093" s="1" t="s">
        <v>2143</v>
      </c>
      <c r="P1093" s="1" t="s">
        <v>2076</v>
      </c>
      <c r="Q1093" s="1" t="str">
        <f>TEXT((Data[[#This Row],[Order_Date]]), "mmm")</f>
        <v>Aug</v>
      </c>
    </row>
    <row r="1094" spans="4:17" x14ac:dyDescent="0.3">
      <c r="D1094" s="1" t="s">
        <v>1156</v>
      </c>
      <c r="E1094" s="2">
        <v>45574</v>
      </c>
      <c r="F1094" s="2">
        <v>45576</v>
      </c>
      <c r="G1094" s="1" t="s">
        <v>11</v>
      </c>
      <c r="H1094" s="1" t="s">
        <v>12</v>
      </c>
      <c r="I1094" s="1" t="s">
        <v>38</v>
      </c>
      <c r="J1094" s="1" t="s">
        <v>39</v>
      </c>
      <c r="K1094" s="3">
        <v>2267.1799999999998</v>
      </c>
      <c r="L1094" s="1">
        <v>7</v>
      </c>
      <c r="M1094" s="1" t="s">
        <v>20</v>
      </c>
      <c r="N1094" s="3">
        <v>445.52</v>
      </c>
      <c r="O1094" s="1" t="s">
        <v>2140</v>
      </c>
      <c r="P1094" s="1" t="s">
        <v>2071</v>
      </c>
      <c r="Q1094" s="1" t="str">
        <f>TEXT((Data[[#This Row],[Order_Date]]), "mmm")</f>
        <v>Oct</v>
      </c>
    </row>
    <row r="1095" spans="4:17" x14ac:dyDescent="0.3">
      <c r="D1095" s="1" t="s">
        <v>1157</v>
      </c>
      <c r="E1095" s="2">
        <v>45481</v>
      </c>
      <c r="F1095" s="2">
        <v>45484</v>
      </c>
      <c r="G1095" s="1" t="s">
        <v>36</v>
      </c>
      <c r="H1095" s="1" t="s">
        <v>12</v>
      </c>
      <c r="I1095" s="1" t="s">
        <v>42</v>
      </c>
      <c r="J1095" s="1" t="s">
        <v>43</v>
      </c>
      <c r="K1095" s="3">
        <v>2203.35</v>
      </c>
      <c r="L1095" s="1">
        <v>15</v>
      </c>
      <c r="M1095" s="1" t="s">
        <v>34</v>
      </c>
      <c r="N1095" s="3">
        <v>716.97</v>
      </c>
      <c r="O1095" s="1" t="s">
        <v>2203</v>
      </c>
      <c r="P1095" s="1" t="s">
        <v>2071</v>
      </c>
      <c r="Q1095" s="1" t="str">
        <f>TEXT((Data[[#This Row],[Order_Date]]), "mmm")</f>
        <v>Jul</v>
      </c>
    </row>
    <row r="1096" spans="4:17" x14ac:dyDescent="0.3">
      <c r="D1096" s="1" t="s">
        <v>1158</v>
      </c>
      <c r="E1096" s="2">
        <v>45353</v>
      </c>
      <c r="F1096" s="2">
        <v>45360</v>
      </c>
      <c r="G1096" s="1" t="s">
        <v>31</v>
      </c>
      <c r="H1096" s="1" t="s">
        <v>23</v>
      </c>
      <c r="I1096" s="1" t="s">
        <v>24</v>
      </c>
      <c r="J1096" s="1" t="s">
        <v>25</v>
      </c>
      <c r="K1096" s="3">
        <v>3491.89</v>
      </c>
      <c r="L1096" s="1">
        <v>9</v>
      </c>
      <c r="M1096" s="1" t="s">
        <v>15</v>
      </c>
      <c r="N1096" s="3">
        <v>875.12</v>
      </c>
      <c r="O1096" s="1" t="s">
        <v>2090</v>
      </c>
      <c r="P1096" s="1" t="s">
        <v>2076</v>
      </c>
      <c r="Q1096" s="1" t="str">
        <f>TEXT((Data[[#This Row],[Order_Date]]), "mmm")</f>
        <v>Mar</v>
      </c>
    </row>
    <row r="1097" spans="4:17" x14ac:dyDescent="0.3">
      <c r="D1097" s="1" t="s">
        <v>1159</v>
      </c>
      <c r="E1097" s="2">
        <v>45332</v>
      </c>
      <c r="F1097" s="2">
        <v>45335</v>
      </c>
      <c r="G1097" s="1" t="s">
        <v>11</v>
      </c>
      <c r="H1097" s="1" t="s">
        <v>23</v>
      </c>
      <c r="I1097" s="1" t="s">
        <v>78</v>
      </c>
      <c r="J1097" s="1" t="s">
        <v>79</v>
      </c>
      <c r="K1097" s="3">
        <v>1285.4100000000001</v>
      </c>
      <c r="L1097" s="1">
        <v>17</v>
      </c>
      <c r="M1097" s="1" t="s">
        <v>15</v>
      </c>
      <c r="N1097" s="3">
        <v>363.92</v>
      </c>
      <c r="O1097" s="1" t="s">
        <v>2274</v>
      </c>
      <c r="P1097" s="1" t="s">
        <v>2078</v>
      </c>
      <c r="Q1097" s="1" t="str">
        <f>TEXT((Data[[#This Row],[Order_Date]]), "mmm")</f>
        <v>Feb</v>
      </c>
    </row>
    <row r="1098" spans="4:17" x14ac:dyDescent="0.3">
      <c r="D1098" s="1" t="s">
        <v>1160</v>
      </c>
      <c r="E1098" s="2">
        <v>45453</v>
      </c>
      <c r="F1098" s="2">
        <v>45453</v>
      </c>
      <c r="G1098" s="1" t="s">
        <v>31</v>
      </c>
      <c r="H1098" s="1" t="s">
        <v>17</v>
      </c>
      <c r="I1098" s="1" t="s">
        <v>32</v>
      </c>
      <c r="J1098" s="1" t="s">
        <v>33</v>
      </c>
      <c r="K1098" s="3">
        <v>964</v>
      </c>
      <c r="L1098" s="1">
        <v>18</v>
      </c>
      <c r="M1098" s="1" t="s">
        <v>15</v>
      </c>
      <c r="N1098" s="3">
        <v>290.44</v>
      </c>
      <c r="O1098" s="1" t="s">
        <v>2249</v>
      </c>
      <c r="P1098" s="1" t="s">
        <v>2078</v>
      </c>
      <c r="Q1098" s="1" t="str">
        <f>TEXT((Data[[#This Row],[Order_Date]]), "mmm")</f>
        <v>Jun</v>
      </c>
    </row>
    <row r="1099" spans="4:17" x14ac:dyDescent="0.3">
      <c r="D1099" s="1" t="s">
        <v>1161</v>
      </c>
      <c r="E1099" s="2">
        <v>45616</v>
      </c>
      <c r="F1099" s="2">
        <v>45616</v>
      </c>
      <c r="G1099" s="1" t="s">
        <v>22</v>
      </c>
      <c r="H1099" s="1" t="s">
        <v>17</v>
      </c>
      <c r="I1099" s="1" t="s">
        <v>32</v>
      </c>
      <c r="J1099" s="1" t="s">
        <v>33</v>
      </c>
      <c r="K1099" s="3">
        <v>3520.43</v>
      </c>
      <c r="L1099" s="1">
        <v>8</v>
      </c>
      <c r="M1099" s="1" t="s">
        <v>15</v>
      </c>
      <c r="N1099" s="3">
        <v>382.68</v>
      </c>
      <c r="O1099" s="1" t="s">
        <v>2295</v>
      </c>
      <c r="P1099" s="1" t="s">
        <v>2071</v>
      </c>
      <c r="Q1099" s="1" t="str">
        <f>TEXT((Data[[#This Row],[Order_Date]]), "mmm")</f>
        <v>Nov</v>
      </c>
    </row>
    <row r="1100" spans="4:17" x14ac:dyDescent="0.3">
      <c r="D1100" s="1" t="s">
        <v>1162</v>
      </c>
      <c r="E1100" s="2">
        <v>45540</v>
      </c>
      <c r="F1100" s="2">
        <v>45542</v>
      </c>
      <c r="G1100" s="1" t="s">
        <v>31</v>
      </c>
      <c r="H1100" s="1" t="s">
        <v>23</v>
      </c>
      <c r="I1100" s="1" t="s">
        <v>78</v>
      </c>
      <c r="J1100" s="1" t="s">
        <v>118</v>
      </c>
      <c r="K1100" s="3">
        <v>2630.4</v>
      </c>
      <c r="L1100" s="1">
        <v>3</v>
      </c>
      <c r="M1100" s="1" t="s">
        <v>29</v>
      </c>
      <c r="N1100" s="3">
        <v>807.92</v>
      </c>
      <c r="O1100" s="1" t="s">
        <v>2275</v>
      </c>
      <c r="P1100" s="1" t="s">
        <v>2071</v>
      </c>
      <c r="Q1100" s="1" t="str">
        <f>TEXT((Data[[#This Row],[Order_Date]]), "mmm")</f>
        <v>Sep</v>
      </c>
    </row>
    <row r="1101" spans="4:17" x14ac:dyDescent="0.3">
      <c r="D1101" s="1" t="s">
        <v>1163</v>
      </c>
      <c r="E1101" s="2">
        <v>45293</v>
      </c>
      <c r="F1101" s="2">
        <v>45299</v>
      </c>
      <c r="G1101" s="1" t="s">
        <v>11</v>
      </c>
      <c r="H1101" s="1" t="s">
        <v>23</v>
      </c>
      <c r="I1101" s="1" t="s">
        <v>78</v>
      </c>
      <c r="J1101" s="1" t="s">
        <v>118</v>
      </c>
      <c r="K1101" s="3">
        <v>395.55</v>
      </c>
      <c r="L1101" s="1">
        <v>9</v>
      </c>
      <c r="M1101" s="1" t="s">
        <v>29</v>
      </c>
      <c r="N1101" s="3">
        <v>64.900000000000006</v>
      </c>
      <c r="O1101" s="1" t="s">
        <v>2131</v>
      </c>
      <c r="P1101" s="1" t="s">
        <v>2076</v>
      </c>
      <c r="Q1101" s="1" t="str">
        <f>TEXT((Data[[#This Row],[Order_Date]]), "mmm")</f>
        <v>Jan</v>
      </c>
    </row>
    <row r="1102" spans="4:17" x14ac:dyDescent="0.3">
      <c r="D1102" s="1" t="s">
        <v>1164</v>
      </c>
      <c r="E1102" s="2">
        <v>45618</v>
      </c>
      <c r="F1102" s="2">
        <v>45623</v>
      </c>
      <c r="G1102" s="1" t="s">
        <v>31</v>
      </c>
      <c r="H1102" s="1" t="s">
        <v>12</v>
      </c>
      <c r="I1102" s="1" t="s">
        <v>58</v>
      </c>
      <c r="J1102" s="1" t="s">
        <v>105</v>
      </c>
      <c r="K1102" s="3">
        <v>3402.59</v>
      </c>
      <c r="L1102" s="1">
        <v>10</v>
      </c>
      <c r="M1102" s="1" t="s">
        <v>15</v>
      </c>
      <c r="N1102" s="3">
        <v>665.27</v>
      </c>
      <c r="O1102" s="1" t="s">
        <v>2087</v>
      </c>
      <c r="P1102" s="1" t="s">
        <v>2071</v>
      </c>
      <c r="Q1102" s="1" t="str">
        <f>TEXT((Data[[#This Row],[Order_Date]]), "mmm")</f>
        <v>Nov</v>
      </c>
    </row>
    <row r="1103" spans="4:17" x14ac:dyDescent="0.3">
      <c r="D1103" s="1" t="s">
        <v>1165</v>
      </c>
      <c r="E1103" s="2">
        <v>45492</v>
      </c>
      <c r="F1103" s="2">
        <v>45497</v>
      </c>
      <c r="G1103" s="1" t="s">
        <v>31</v>
      </c>
      <c r="H1103" s="1" t="s">
        <v>23</v>
      </c>
      <c r="I1103" s="1" t="s">
        <v>61</v>
      </c>
      <c r="J1103" s="1" t="s">
        <v>76</v>
      </c>
      <c r="K1103" s="3">
        <v>671.38</v>
      </c>
      <c r="L1103" s="1">
        <v>10</v>
      </c>
      <c r="M1103" s="1" t="s">
        <v>49</v>
      </c>
      <c r="N1103" s="3">
        <v>228.81</v>
      </c>
      <c r="O1103" s="1" t="s">
        <v>2205</v>
      </c>
      <c r="P1103" s="1" t="s">
        <v>2078</v>
      </c>
      <c r="Q1103" s="1" t="str">
        <f>TEXT((Data[[#This Row],[Order_Date]]), "mmm")</f>
        <v>Jul</v>
      </c>
    </row>
    <row r="1104" spans="4:17" x14ac:dyDescent="0.3">
      <c r="D1104" s="1" t="s">
        <v>1166</v>
      </c>
      <c r="E1104" s="2">
        <v>45631</v>
      </c>
      <c r="F1104" s="2">
        <v>45637</v>
      </c>
      <c r="G1104" s="1" t="s">
        <v>11</v>
      </c>
      <c r="H1104" s="1" t="s">
        <v>17</v>
      </c>
      <c r="I1104" s="1" t="s">
        <v>27</v>
      </c>
      <c r="J1104" s="1" t="s">
        <v>110</v>
      </c>
      <c r="K1104" s="3">
        <v>2727.3</v>
      </c>
      <c r="L1104" s="1">
        <v>12</v>
      </c>
      <c r="M1104" s="1" t="s">
        <v>15</v>
      </c>
      <c r="N1104" s="3">
        <v>-462.08</v>
      </c>
      <c r="O1104" s="1" t="s">
        <v>2220</v>
      </c>
      <c r="P1104" s="1" t="s">
        <v>2078</v>
      </c>
      <c r="Q1104" s="1" t="str">
        <f>TEXT((Data[[#This Row],[Order_Date]]), "mmm")</f>
        <v>Dec</v>
      </c>
    </row>
    <row r="1105" spans="4:17" x14ac:dyDescent="0.3">
      <c r="D1105" s="1" t="s">
        <v>1167</v>
      </c>
      <c r="E1105" s="2">
        <v>45539</v>
      </c>
      <c r="F1105" s="2">
        <v>45546</v>
      </c>
      <c r="G1105" s="1" t="s">
        <v>31</v>
      </c>
      <c r="H1105" s="1" t="s">
        <v>12</v>
      </c>
      <c r="I1105" s="1" t="s">
        <v>58</v>
      </c>
      <c r="J1105" s="1" t="s">
        <v>120</v>
      </c>
      <c r="K1105" s="3">
        <v>1340.99</v>
      </c>
      <c r="L1105" s="1">
        <v>17</v>
      </c>
      <c r="M1105" s="1" t="s">
        <v>44</v>
      </c>
      <c r="N1105" s="3">
        <v>425.02</v>
      </c>
      <c r="O1105" s="1" t="s">
        <v>2182</v>
      </c>
      <c r="P1105" s="1" t="s">
        <v>2076</v>
      </c>
      <c r="Q1105" s="1" t="str">
        <f>TEXT((Data[[#This Row],[Order_Date]]), "mmm")</f>
        <v>Sep</v>
      </c>
    </row>
    <row r="1106" spans="4:17" x14ac:dyDescent="0.3">
      <c r="D1106" s="1" t="s">
        <v>1168</v>
      </c>
      <c r="E1106" s="2">
        <v>45323</v>
      </c>
      <c r="F1106" s="2">
        <v>45328</v>
      </c>
      <c r="G1106" s="1" t="s">
        <v>36</v>
      </c>
      <c r="H1106" s="1" t="s">
        <v>12</v>
      </c>
      <c r="I1106" s="1" t="s">
        <v>13</v>
      </c>
      <c r="J1106" s="1" t="s">
        <v>96</v>
      </c>
      <c r="K1106" s="3">
        <v>1717.67</v>
      </c>
      <c r="L1106" s="1">
        <v>15</v>
      </c>
      <c r="M1106" s="1" t="s">
        <v>49</v>
      </c>
      <c r="N1106" s="3">
        <v>291.32</v>
      </c>
      <c r="O1106" s="1" t="s">
        <v>2218</v>
      </c>
      <c r="P1106" s="1" t="s">
        <v>2078</v>
      </c>
      <c r="Q1106" s="1" t="str">
        <f>TEXT((Data[[#This Row],[Order_Date]]), "mmm")</f>
        <v>Feb</v>
      </c>
    </row>
    <row r="1107" spans="4:17" x14ac:dyDescent="0.3">
      <c r="D1107" s="1" t="s">
        <v>1169</v>
      </c>
      <c r="E1107" s="2">
        <v>45429</v>
      </c>
      <c r="F1107" s="2">
        <v>45436</v>
      </c>
      <c r="G1107" s="1" t="s">
        <v>22</v>
      </c>
      <c r="H1107" s="1" t="s">
        <v>23</v>
      </c>
      <c r="I1107" s="1" t="s">
        <v>61</v>
      </c>
      <c r="J1107" s="1" t="s">
        <v>98</v>
      </c>
      <c r="K1107" s="3">
        <v>1928.64</v>
      </c>
      <c r="L1107" s="1">
        <v>8</v>
      </c>
      <c r="M1107" s="1" t="s">
        <v>29</v>
      </c>
      <c r="N1107" s="3">
        <v>603.05999999999995</v>
      </c>
      <c r="O1107" s="1" t="s">
        <v>2222</v>
      </c>
      <c r="P1107" s="1" t="s">
        <v>2071</v>
      </c>
      <c r="Q1107" s="1" t="str">
        <f>TEXT((Data[[#This Row],[Order_Date]]), "mmm")</f>
        <v>May</v>
      </c>
    </row>
    <row r="1108" spans="4:17" x14ac:dyDescent="0.3">
      <c r="D1108" s="1" t="s">
        <v>1170</v>
      </c>
      <c r="E1108" s="2">
        <v>45612</v>
      </c>
      <c r="F1108" s="2">
        <v>45613</v>
      </c>
      <c r="G1108" s="1" t="s">
        <v>36</v>
      </c>
      <c r="H1108" s="1" t="s">
        <v>17</v>
      </c>
      <c r="I1108" s="1" t="s">
        <v>32</v>
      </c>
      <c r="J1108" s="1" t="s">
        <v>56</v>
      </c>
      <c r="K1108" s="3">
        <v>3813.54</v>
      </c>
      <c r="L1108" s="1">
        <v>1</v>
      </c>
      <c r="M1108" s="1" t="s">
        <v>49</v>
      </c>
      <c r="N1108" s="3">
        <v>293.93</v>
      </c>
      <c r="O1108" s="1" t="s">
        <v>2220</v>
      </c>
      <c r="P1108" s="1" t="s">
        <v>2071</v>
      </c>
      <c r="Q1108" s="1" t="str">
        <f>TEXT((Data[[#This Row],[Order_Date]]), "mmm")</f>
        <v>Nov</v>
      </c>
    </row>
    <row r="1109" spans="4:17" x14ac:dyDescent="0.3">
      <c r="D1109" s="1" t="s">
        <v>1171</v>
      </c>
      <c r="E1109" s="2">
        <v>45472</v>
      </c>
      <c r="F1109" s="2">
        <v>45473</v>
      </c>
      <c r="G1109" s="1" t="s">
        <v>11</v>
      </c>
      <c r="H1109" s="1" t="s">
        <v>12</v>
      </c>
      <c r="I1109" s="1" t="s">
        <v>58</v>
      </c>
      <c r="J1109" s="1" t="s">
        <v>105</v>
      </c>
      <c r="K1109" s="3">
        <v>2258.02</v>
      </c>
      <c r="L1109" s="1">
        <v>6</v>
      </c>
      <c r="M1109" s="1" t="s">
        <v>29</v>
      </c>
      <c r="N1109" s="3">
        <v>380.83</v>
      </c>
      <c r="O1109" s="1" t="s">
        <v>2250</v>
      </c>
      <c r="P1109" s="1" t="s">
        <v>2071</v>
      </c>
      <c r="Q1109" s="1" t="str">
        <f>TEXT((Data[[#This Row],[Order_Date]]), "mmm")</f>
        <v>Jun</v>
      </c>
    </row>
    <row r="1110" spans="4:17" x14ac:dyDescent="0.3">
      <c r="D1110" s="1" t="s">
        <v>1172</v>
      </c>
      <c r="E1110" s="2">
        <v>45440</v>
      </c>
      <c r="F1110" s="2">
        <v>45442</v>
      </c>
      <c r="G1110" s="1" t="s">
        <v>36</v>
      </c>
      <c r="H1110" s="1" t="s">
        <v>23</v>
      </c>
      <c r="I1110" s="1" t="s">
        <v>65</v>
      </c>
      <c r="J1110" s="1" t="s">
        <v>66</v>
      </c>
      <c r="K1110" s="3">
        <v>2323.5700000000002</v>
      </c>
      <c r="L1110" s="1">
        <v>8</v>
      </c>
      <c r="M1110" s="1" t="s">
        <v>20</v>
      </c>
      <c r="N1110" s="3">
        <v>-141.33000000000001</v>
      </c>
      <c r="O1110" s="1" t="s">
        <v>2223</v>
      </c>
      <c r="P1110" s="1" t="s">
        <v>2078</v>
      </c>
      <c r="Q1110" s="1" t="str">
        <f>TEXT((Data[[#This Row],[Order_Date]]), "mmm")</f>
        <v>May</v>
      </c>
    </row>
    <row r="1111" spans="4:17" x14ac:dyDescent="0.3">
      <c r="D1111" s="1" t="s">
        <v>1173</v>
      </c>
      <c r="E1111" s="2">
        <v>45561</v>
      </c>
      <c r="F1111" s="2">
        <v>45562</v>
      </c>
      <c r="G1111" s="1" t="s">
        <v>31</v>
      </c>
      <c r="H1111" s="1" t="s">
        <v>23</v>
      </c>
      <c r="I1111" s="1" t="s">
        <v>61</v>
      </c>
      <c r="J1111" s="1" t="s">
        <v>76</v>
      </c>
      <c r="K1111" s="3">
        <v>1311.59</v>
      </c>
      <c r="L1111" s="1">
        <v>1</v>
      </c>
      <c r="M1111" s="1" t="s">
        <v>44</v>
      </c>
      <c r="N1111" s="3">
        <v>314.08</v>
      </c>
      <c r="O1111" s="1" t="s">
        <v>2288</v>
      </c>
      <c r="P1111" s="1" t="s">
        <v>2071</v>
      </c>
      <c r="Q1111" s="1" t="str">
        <f>TEXT((Data[[#This Row],[Order_Date]]), "mmm")</f>
        <v>Sep</v>
      </c>
    </row>
    <row r="1112" spans="4:17" x14ac:dyDescent="0.3">
      <c r="D1112" s="1" t="s">
        <v>1174</v>
      </c>
      <c r="E1112" s="2">
        <v>45309</v>
      </c>
      <c r="F1112" s="2">
        <v>45313</v>
      </c>
      <c r="G1112" s="1" t="s">
        <v>11</v>
      </c>
      <c r="H1112" s="1" t="s">
        <v>23</v>
      </c>
      <c r="I1112" s="1" t="s">
        <v>65</v>
      </c>
      <c r="J1112" s="1" t="s">
        <v>66</v>
      </c>
      <c r="K1112" s="3">
        <v>3318.61</v>
      </c>
      <c r="L1112" s="1">
        <v>9</v>
      </c>
      <c r="M1112" s="1" t="s">
        <v>20</v>
      </c>
      <c r="N1112" s="3">
        <v>242.12</v>
      </c>
      <c r="O1112" s="1" t="s">
        <v>2124</v>
      </c>
      <c r="P1112" s="1" t="s">
        <v>2071</v>
      </c>
      <c r="Q1112" s="1" t="str">
        <f>TEXT((Data[[#This Row],[Order_Date]]), "mmm")</f>
        <v>Jan</v>
      </c>
    </row>
    <row r="1113" spans="4:17" x14ac:dyDescent="0.3">
      <c r="D1113" s="1" t="s">
        <v>1175</v>
      </c>
      <c r="E1113" s="2">
        <v>45652</v>
      </c>
      <c r="F1113" s="2">
        <v>45658</v>
      </c>
      <c r="G1113" s="1" t="s">
        <v>11</v>
      </c>
      <c r="H1113" s="1" t="s">
        <v>17</v>
      </c>
      <c r="I1113" s="1" t="s">
        <v>32</v>
      </c>
      <c r="J1113" s="1" t="s">
        <v>56</v>
      </c>
      <c r="K1113" s="3">
        <v>608.34</v>
      </c>
      <c r="L1113" s="1">
        <v>19</v>
      </c>
      <c r="M1113" s="1" t="s">
        <v>49</v>
      </c>
      <c r="N1113" s="3">
        <v>65.87</v>
      </c>
      <c r="O1113" s="1" t="s">
        <v>2290</v>
      </c>
      <c r="P1113" s="1" t="s">
        <v>2078</v>
      </c>
      <c r="Q1113" s="1" t="str">
        <f>TEXT((Data[[#This Row],[Order_Date]]), "mmm")</f>
        <v>Dec</v>
      </c>
    </row>
    <row r="1114" spans="4:17" x14ac:dyDescent="0.3">
      <c r="D1114" s="1" t="s">
        <v>1176</v>
      </c>
      <c r="E1114" s="2">
        <v>45451</v>
      </c>
      <c r="F1114" s="2">
        <v>45456</v>
      </c>
      <c r="G1114" s="1" t="s">
        <v>31</v>
      </c>
      <c r="H1114" s="1" t="s">
        <v>12</v>
      </c>
      <c r="I1114" s="1" t="s">
        <v>38</v>
      </c>
      <c r="J1114" s="1" t="s">
        <v>85</v>
      </c>
      <c r="K1114" s="3">
        <v>1277.69</v>
      </c>
      <c r="L1114" s="1">
        <v>7</v>
      </c>
      <c r="M1114" s="1" t="s">
        <v>20</v>
      </c>
      <c r="N1114" s="3">
        <v>165.18</v>
      </c>
      <c r="O1114" s="1" t="s">
        <v>2221</v>
      </c>
      <c r="P1114" s="1" t="s">
        <v>2078</v>
      </c>
      <c r="Q1114" s="1" t="str">
        <f>TEXT((Data[[#This Row],[Order_Date]]), "mmm")</f>
        <v>Jun</v>
      </c>
    </row>
    <row r="1115" spans="4:17" x14ac:dyDescent="0.3">
      <c r="D1115" s="1" t="s">
        <v>1177</v>
      </c>
      <c r="E1115" s="2">
        <v>45533</v>
      </c>
      <c r="F1115" s="2">
        <v>45539</v>
      </c>
      <c r="G1115" s="1" t="s">
        <v>36</v>
      </c>
      <c r="H1115" s="1" t="s">
        <v>23</v>
      </c>
      <c r="I1115" s="1" t="s">
        <v>61</v>
      </c>
      <c r="J1115" s="1" t="s">
        <v>76</v>
      </c>
      <c r="K1115" s="3">
        <v>3875.82</v>
      </c>
      <c r="L1115" s="1">
        <v>18</v>
      </c>
      <c r="M1115" s="1" t="s">
        <v>34</v>
      </c>
      <c r="N1115" s="3">
        <v>755.8</v>
      </c>
      <c r="O1115" s="1" t="s">
        <v>2073</v>
      </c>
      <c r="P1115" s="1" t="s">
        <v>2076</v>
      </c>
      <c r="Q1115" s="1" t="str">
        <f>TEXT((Data[[#This Row],[Order_Date]]), "mmm")</f>
        <v>Aug</v>
      </c>
    </row>
    <row r="1116" spans="4:17" x14ac:dyDescent="0.3">
      <c r="D1116" s="1" t="s">
        <v>1178</v>
      </c>
      <c r="E1116" s="2">
        <v>45565</v>
      </c>
      <c r="F1116" s="2">
        <v>45568</v>
      </c>
      <c r="G1116" s="1" t="s">
        <v>31</v>
      </c>
      <c r="H1116" s="1" t="s">
        <v>17</v>
      </c>
      <c r="I1116" s="1" t="s">
        <v>27</v>
      </c>
      <c r="J1116" s="1" t="s">
        <v>108</v>
      </c>
      <c r="K1116" s="3">
        <v>3817.97</v>
      </c>
      <c r="L1116" s="1">
        <v>18</v>
      </c>
      <c r="M1116" s="1" t="s">
        <v>15</v>
      </c>
      <c r="N1116" s="3">
        <v>314.95</v>
      </c>
      <c r="O1116" s="1" t="s">
        <v>2230</v>
      </c>
      <c r="P1116" s="1" t="s">
        <v>2076</v>
      </c>
      <c r="Q1116" s="1" t="str">
        <f>TEXT((Data[[#This Row],[Order_Date]]), "mmm")</f>
        <v>Sep</v>
      </c>
    </row>
    <row r="1117" spans="4:17" x14ac:dyDescent="0.3">
      <c r="D1117" s="1" t="s">
        <v>1179</v>
      </c>
      <c r="E1117" s="2">
        <v>45304</v>
      </c>
      <c r="F1117" s="2">
        <v>45310</v>
      </c>
      <c r="G1117" s="1" t="s">
        <v>22</v>
      </c>
      <c r="H1117" s="1" t="s">
        <v>23</v>
      </c>
      <c r="I1117" s="1" t="s">
        <v>24</v>
      </c>
      <c r="J1117" s="1" t="s">
        <v>93</v>
      </c>
      <c r="K1117" s="3">
        <v>2361.8200000000002</v>
      </c>
      <c r="L1117" s="1">
        <v>10</v>
      </c>
      <c r="M1117" s="1" t="s">
        <v>34</v>
      </c>
      <c r="N1117" s="3">
        <v>219.96</v>
      </c>
      <c r="O1117" s="1" t="s">
        <v>2154</v>
      </c>
      <c r="P1117" s="1" t="s">
        <v>2078</v>
      </c>
      <c r="Q1117" s="1" t="str">
        <f>TEXT((Data[[#This Row],[Order_Date]]), "mmm")</f>
        <v>Jan</v>
      </c>
    </row>
    <row r="1118" spans="4:17" x14ac:dyDescent="0.3">
      <c r="D1118" s="1" t="s">
        <v>1180</v>
      </c>
      <c r="E1118" s="2">
        <v>45334</v>
      </c>
      <c r="F1118" s="2">
        <v>45335</v>
      </c>
      <c r="G1118" s="1" t="s">
        <v>22</v>
      </c>
      <c r="H1118" s="1" t="s">
        <v>17</v>
      </c>
      <c r="I1118" s="1" t="s">
        <v>27</v>
      </c>
      <c r="J1118" s="1" t="s">
        <v>132</v>
      </c>
      <c r="K1118" s="3">
        <v>564.58000000000004</v>
      </c>
      <c r="L1118" s="1">
        <v>13</v>
      </c>
      <c r="M1118" s="1" t="s">
        <v>29</v>
      </c>
      <c r="N1118" s="3">
        <v>170.18</v>
      </c>
      <c r="O1118" s="1" t="s">
        <v>2225</v>
      </c>
      <c r="P1118" s="1" t="s">
        <v>2078</v>
      </c>
      <c r="Q1118" s="1" t="str">
        <f>TEXT((Data[[#This Row],[Order_Date]]), "mmm")</f>
        <v>Feb</v>
      </c>
    </row>
    <row r="1119" spans="4:17" x14ac:dyDescent="0.3">
      <c r="D1119" s="1" t="s">
        <v>1181</v>
      </c>
      <c r="E1119" s="2">
        <v>45582</v>
      </c>
      <c r="F1119" s="2">
        <v>45585</v>
      </c>
      <c r="G1119" s="1" t="s">
        <v>11</v>
      </c>
      <c r="H1119" s="1" t="s">
        <v>23</v>
      </c>
      <c r="I1119" s="1" t="s">
        <v>24</v>
      </c>
      <c r="J1119" s="1" t="s">
        <v>93</v>
      </c>
      <c r="K1119" s="3">
        <v>1417.96</v>
      </c>
      <c r="L1119" s="1">
        <v>11</v>
      </c>
      <c r="M1119" s="1" t="s">
        <v>44</v>
      </c>
      <c r="N1119" s="3">
        <v>86.43</v>
      </c>
      <c r="O1119" s="1" t="s">
        <v>2230</v>
      </c>
      <c r="P1119" s="1" t="s">
        <v>2076</v>
      </c>
      <c r="Q1119" s="1" t="str">
        <f>TEXT((Data[[#This Row],[Order_Date]]), "mmm")</f>
        <v>Oct</v>
      </c>
    </row>
    <row r="1120" spans="4:17" x14ac:dyDescent="0.3">
      <c r="D1120" s="1" t="s">
        <v>1182</v>
      </c>
      <c r="E1120" s="2">
        <v>45598</v>
      </c>
      <c r="F1120" s="2">
        <v>45604</v>
      </c>
      <c r="G1120" s="1" t="s">
        <v>11</v>
      </c>
      <c r="H1120" s="1" t="s">
        <v>23</v>
      </c>
      <c r="I1120" s="1" t="s">
        <v>78</v>
      </c>
      <c r="J1120" s="1" t="s">
        <v>79</v>
      </c>
      <c r="K1120" s="3">
        <v>2295.96</v>
      </c>
      <c r="L1120" s="1">
        <v>11</v>
      </c>
      <c r="M1120" s="1" t="s">
        <v>15</v>
      </c>
      <c r="N1120" s="3">
        <v>277.17</v>
      </c>
      <c r="O1120" s="1" t="s">
        <v>2303</v>
      </c>
      <c r="P1120" s="1" t="s">
        <v>2071</v>
      </c>
      <c r="Q1120" s="1" t="str">
        <f>TEXT((Data[[#This Row],[Order_Date]]), "mmm")</f>
        <v>Nov</v>
      </c>
    </row>
    <row r="1121" spans="4:17" x14ac:dyDescent="0.3">
      <c r="D1121" s="1" t="s">
        <v>1183</v>
      </c>
      <c r="E1121" s="2">
        <v>45539</v>
      </c>
      <c r="F1121" s="2">
        <v>45540</v>
      </c>
      <c r="G1121" s="1" t="s">
        <v>11</v>
      </c>
      <c r="H1121" s="1" t="s">
        <v>23</v>
      </c>
      <c r="I1121" s="1" t="s">
        <v>61</v>
      </c>
      <c r="J1121" s="1" t="s">
        <v>98</v>
      </c>
      <c r="K1121" s="3">
        <v>727.31</v>
      </c>
      <c r="L1121" s="1">
        <v>1</v>
      </c>
      <c r="M1121" s="1" t="s">
        <v>44</v>
      </c>
      <c r="N1121" s="3">
        <v>-149.81</v>
      </c>
      <c r="O1121" s="1" t="s">
        <v>2155</v>
      </c>
      <c r="P1121" s="1" t="s">
        <v>2078</v>
      </c>
      <c r="Q1121" s="1" t="str">
        <f>TEXT((Data[[#This Row],[Order_Date]]), "mmm")</f>
        <v>Sep</v>
      </c>
    </row>
    <row r="1122" spans="4:17" x14ac:dyDescent="0.3">
      <c r="D1122" s="1" t="s">
        <v>1184</v>
      </c>
      <c r="E1122" s="2">
        <v>45393</v>
      </c>
      <c r="F1122" s="2">
        <v>45400</v>
      </c>
      <c r="G1122" s="1" t="s">
        <v>11</v>
      </c>
      <c r="H1122" s="1" t="s">
        <v>17</v>
      </c>
      <c r="I1122" s="1" t="s">
        <v>27</v>
      </c>
      <c r="J1122" s="1" t="s">
        <v>108</v>
      </c>
      <c r="K1122" s="3">
        <v>890.21</v>
      </c>
      <c r="L1122" s="1">
        <v>17</v>
      </c>
      <c r="M1122" s="1" t="s">
        <v>49</v>
      </c>
      <c r="N1122" s="3">
        <v>81.86</v>
      </c>
      <c r="O1122" s="1" t="s">
        <v>2310</v>
      </c>
      <c r="P1122" s="1" t="s">
        <v>2071</v>
      </c>
      <c r="Q1122" s="1" t="str">
        <f>TEXT((Data[[#This Row],[Order_Date]]), "mmm")</f>
        <v>Apr</v>
      </c>
    </row>
    <row r="1123" spans="4:17" x14ac:dyDescent="0.3">
      <c r="D1123" s="1" t="s">
        <v>1185</v>
      </c>
      <c r="E1123" s="2">
        <v>45506</v>
      </c>
      <c r="F1123" s="2">
        <v>45512</v>
      </c>
      <c r="G1123" s="1" t="s">
        <v>11</v>
      </c>
      <c r="H1123" s="1" t="s">
        <v>23</v>
      </c>
      <c r="I1123" s="1" t="s">
        <v>61</v>
      </c>
      <c r="J1123" s="1" t="s">
        <v>98</v>
      </c>
      <c r="K1123" s="3">
        <v>3984.04</v>
      </c>
      <c r="L1123" s="1">
        <v>9</v>
      </c>
      <c r="M1123" s="1" t="s">
        <v>29</v>
      </c>
      <c r="N1123" s="3">
        <v>584.52</v>
      </c>
      <c r="O1123" s="1" t="s">
        <v>2211</v>
      </c>
      <c r="P1123" s="1" t="s">
        <v>2078</v>
      </c>
      <c r="Q1123" s="1" t="str">
        <f>TEXT((Data[[#This Row],[Order_Date]]), "mmm")</f>
        <v>Aug</v>
      </c>
    </row>
    <row r="1124" spans="4:17" x14ac:dyDescent="0.3">
      <c r="D1124" s="1" t="s">
        <v>1186</v>
      </c>
      <c r="E1124" s="2">
        <v>45580</v>
      </c>
      <c r="F1124" s="2">
        <v>45582</v>
      </c>
      <c r="G1124" s="1" t="s">
        <v>22</v>
      </c>
      <c r="H1124" s="1" t="s">
        <v>23</v>
      </c>
      <c r="I1124" s="1" t="s">
        <v>78</v>
      </c>
      <c r="J1124" s="1" t="s">
        <v>79</v>
      </c>
      <c r="K1124" s="3">
        <v>2197.67</v>
      </c>
      <c r="L1124" s="1">
        <v>9</v>
      </c>
      <c r="M1124" s="1" t="s">
        <v>49</v>
      </c>
      <c r="N1124" s="3">
        <v>415.06</v>
      </c>
      <c r="O1124" s="1" t="s">
        <v>2273</v>
      </c>
      <c r="P1124" s="1" t="s">
        <v>2078</v>
      </c>
      <c r="Q1124" s="1" t="str">
        <f>TEXT((Data[[#This Row],[Order_Date]]), "mmm")</f>
        <v>Oct</v>
      </c>
    </row>
    <row r="1125" spans="4:17" x14ac:dyDescent="0.3">
      <c r="D1125" s="1" t="s">
        <v>1187</v>
      </c>
      <c r="E1125" s="2">
        <v>45361</v>
      </c>
      <c r="F1125" s="2">
        <v>45363</v>
      </c>
      <c r="G1125" s="1" t="s">
        <v>31</v>
      </c>
      <c r="H1125" s="1" t="s">
        <v>17</v>
      </c>
      <c r="I1125" s="1" t="s">
        <v>27</v>
      </c>
      <c r="J1125" s="1" t="s">
        <v>108</v>
      </c>
      <c r="K1125" s="3">
        <v>922.1</v>
      </c>
      <c r="L1125" s="1">
        <v>16</v>
      </c>
      <c r="M1125" s="1" t="s">
        <v>20</v>
      </c>
      <c r="N1125" s="3">
        <v>-320.88</v>
      </c>
      <c r="O1125" s="1" t="s">
        <v>2147</v>
      </c>
      <c r="P1125" s="1" t="s">
        <v>2071</v>
      </c>
      <c r="Q1125" s="1" t="str">
        <f>TEXT((Data[[#This Row],[Order_Date]]), "mmm")</f>
        <v>Mar</v>
      </c>
    </row>
    <row r="1126" spans="4:17" x14ac:dyDescent="0.3">
      <c r="D1126" s="1" t="s">
        <v>1188</v>
      </c>
      <c r="E1126" s="2">
        <v>45651</v>
      </c>
      <c r="F1126" s="2">
        <v>45654</v>
      </c>
      <c r="G1126" s="1" t="s">
        <v>22</v>
      </c>
      <c r="H1126" s="1" t="s">
        <v>12</v>
      </c>
      <c r="I1126" s="1" t="s">
        <v>38</v>
      </c>
      <c r="J1126" s="1" t="s">
        <v>39</v>
      </c>
      <c r="K1126" s="3">
        <v>1969.73</v>
      </c>
      <c r="L1126" s="1">
        <v>4</v>
      </c>
      <c r="M1126" s="1" t="s">
        <v>20</v>
      </c>
      <c r="N1126" s="3">
        <v>467.79</v>
      </c>
      <c r="O1126" s="1" t="s">
        <v>2128</v>
      </c>
      <c r="P1126" s="1" t="s">
        <v>2076</v>
      </c>
      <c r="Q1126" s="1" t="str">
        <f>TEXT((Data[[#This Row],[Order_Date]]), "mmm")</f>
        <v>Dec</v>
      </c>
    </row>
    <row r="1127" spans="4:17" x14ac:dyDescent="0.3">
      <c r="D1127" s="1" t="s">
        <v>1189</v>
      </c>
      <c r="E1127" s="2">
        <v>45326</v>
      </c>
      <c r="F1127" s="2">
        <v>45331</v>
      </c>
      <c r="G1127" s="1" t="s">
        <v>22</v>
      </c>
      <c r="H1127" s="1" t="s">
        <v>23</v>
      </c>
      <c r="I1127" s="1" t="s">
        <v>61</v>
      </c>
      <c r="J1127" s="1" t="s">
        <v>76</v>
      </c>
      <c r="K1127" s="3">
        <v>1279.68</v>
      </c>
      <c r="L1127" s="1">
        <v>14</v>
      </c>
      <c r="M1127" s="1" t="s">
        <v>29</v>
      </c>
      <c r="N1127" s="3">
        <v>343.97</v>
      </c>
      <c r="O1127" s="1" t="s">
        <v>2269</v>
      </c>
      <c r="P1127" s="1" t="s">
        <v>2078</v>
      </c>
      <c r="Q1127" s="1" t="str">
        <f>TEXT((Data[[#This Row],[Order_Date]]), "mmm")</f>
        <v>Feb</v>
      </c>
    </row>
    <row r="1128" spans="4:17" x14ac:dyDescent="0.3">
      <c r="D1128" s="1" t="s">
        <v>1190</v>
      </c>
      <c r="E1128" s="2">
        <v>45498</v>
      </c>
      <c r="F1128" s="2">
        <v>45502</v>
      </c>
      <c r="G1128" s="1" t="s">
        <v>22</v>
      </c>
      <c r="H1128" s="1" t="s">
        <v>17</v>
      </c>
      <c r="I1128" s="1" t="s">
        <v>32</v>
      </c>
      <c r="J1128" s="1" t="s">
        <v>56</v>
      </c>
      <c r="K1128" s="3">
        <v>636.16</v>
      </c>
      <c r="L1128" s="1">
        <v>7</v>
      </c>
      <c r="M1128" s="1" t="s">
        <v>34</v>
      </c>
      <c r="N1128" s="3">
        <v>65.84</v>
      </c>
      <c r="O1128" s="1" t="s">
        <v>2215</v>
      </c>
      <c r="P1128" s="1" t="s">
        <v>2078</v>
      </c>
      <c r="Q1128" s="1" t="str">
        <f>TEXT((Data[[#This Row],[Order_Date]]), "mmm")</f>
        <v>Jul</v>
      </c>
    </row>
    <row r="1129" spans="4:17" x14ac:dyDescent="0.3">
      <c r="D1129" s="1" t="s">
        <v>1191</v>
      </c>
      <c r="E1129" s="2">
        <v>45356</v>
      </c>
      <c r="F1129" s="2">
        <v>45362</v>
      </c>
      <c r="G1129" s="1" t="s">
        <v>36</v>
      </c>
      <c r="H1129" s="1" t="s">
        <v>12</v>
      </c>
      <c r="I1129" s="1" t="s">
        <v>13</v>
      </c>
      <c r="J1129" s="1" t="s">
        <v>96</v>
      </c>
      <c r="K1129" s="3">
        <v>1034.9000000000001</v>
      </c>
      <c r="L1129" s="1">
        <v>1</v>
      </c>
      <c r="M1129" s="1" t="s">
        <v>44</v>
      </c>
      <c r="N1129" s="3">
        <v>-358.83</v>
      </c>
      <c r="O1129" s="1" t="s">
        <v>2174</v>
      </c>
      <c r="P1129" s="1" t="s">
        <v>2071</v>
      </c>
      <c r="Q1129" s="1" t="str">
        <f>TEXT((Data[[#This Row],[Order_Date]]), "mmm")</f>
        <v>Mar</v>
      </c>
    </row>
    <row r="1130" spans="4:17" x14ac:dyDescent="0.3">
      <c r="D1130" s="1" t="s">
        <v>1192</v>
      </c>
      <c r="E1130" s="2">
        <v>45606</v>
      </c>
      <c r="F1130" s="2">
        <v>45608</v>
      </c>
      <c r="G1130" s="1" t="s">
        <v>22</v>
      </c>
      <c r="H1130" s="1" t="s">
        <v>17</v>
      </c>
      <c r="I1130" s="1" t="s">
        <v>27</v>
      </c>
      <c r="J1130" s="1" t="s">
        <v>28</v>
      </c>
      <c r="K1130" s="3">
        <v>1462.52</v>
      </c>
      <c r="L1130" s="1">
        <v>2</v>
      </c>
      <c r="M1130" s="1" t="s">
        <v>44</v>
      </c>
      <c r="N1130" s="3">
        <v>297.64</v>
      </c>
      <c r="O1130" s="1" t="s">
        <v>2129</v>
      </c>
      <c r="P1130" s="1" t="s">
        <v>2076</v>
      </c>
      <c r="Q1130" s="1" t="str">
        <f>TEXT((Data[[#This Row],[Order_Date]]), "mmm")</f>
        <v>Nov</v>
      </c>
    </row>
    <row r="1131" spans="4:17" x14ac:dyDescent="0.3">
      <c r="D1131" s="1" t="s">
        <v>1193</v>
      </c>
      <c r="E1131" s="2">
        <v>45632</v>
      </c>
      <c r="F1131" s="2">
        <v>45639</v>
      </c>
      <c r="G1131" s="1" t="s">
        <v>36</v>
      </c>
      <c r="H1131" s="1" t="s">
        <v>23</v>
      </c>
      <c r="I1131" s="1" t="s">
        <v>61</v>
      </c>
      <c r="J1131" s="1" t="s">
        <v>76</v>
      </c>
      <c r="K1131" s="3">
        <v>2350.54</v>
      </c>
      <c r="L1131" s="1">
        <v>13</v>
      </c>
      <c r="M1131" s="1" t="s">
        <v>49</v>
      </c>
      <c r="N1131" s="3">
        <v>615.54</v>
      </c>
      <c r="O1131" s="1" t="s">
        <v>2084</v>
      </c>
      <c r="P1131" s="1" t="s">
        <v>2078</v>
      </c>
      <c r="Q1131" s="1" t="str">
        <f>TEXT((Data[[#This Row],[Order_Date]]), "mmm")</f>
        <v>Dec</v>
      </c>
    </row>
    <row r="1132" spans="4:17" x14ac:dyDescent="0.3">
      <c r="D1132" s="1" t="s">
        <v>1194</v>
      </c>
      <c r="E1132" s="2">
        <v>45559</v>
      </c>
      <c r="F1132" s="2">
        <v>45564</v>
      </c>
      <c r="G1132" s="1" t="s">
        <v>11</v>
      </c>
      <c r="H1132" s="1" t="s">
        <v>12</v>
      </c>
      <c r="I1132" s="1" t="s">
        <v>58</v>
      </c>
      <c r="J1132" s="1" t="s">
        <v>120</v>
      </c>
      <c r="K1132" s="3">
        <v>3795.59</v>
      </c>
      <c r="L1132" s="1">
        <v>9</v>
      </c>
      <c r="M1132" s="1" t="s">
        <v>15</v>
      </c>
      <c r="N1132" s="3">
        <v>352.48</v>
      </c>
      <c r="O1132" s="1" t="s">
        <v>2272</v>
      </c>
      <c r="P1132" s="1" t="s">
        <v>2078</v>
      </c>
      <c r="Q1132" s="1" t="str">
        <f>TEXT((Data[[#This Row],[Order_Date]]), "mmm")</f>
        <v>Sep</v>
      </c>
    </row>
    <row r="1133" spans="4:17" x14ac:dyDescent="0.3">
      <c r="D1133" s="1" t="s">
        <v>1195</v>
      </c>
      <c r="E1133" s="2">
        <v>45518</v>
      </c>
      <c r="F1133" s="2">
        <v>45525</v>
      </c>
      <c r="G1133" s="1" t="s">
        <v>36</v>
      </c>
      <c r="H1133" s="1" t="s">
        <v>12</v>
      </c>
      <c r="I1133" s="1" t="s">
        <v>38</v>
      </c>
      <c r="J1133" s="1" t="s">
        <v>39</v>
      </c>
      <c r="K1133" s="3">
        <v>3624.11</v>
      </c>
      <c r="L1133" s="1">
        <v>12</v>
      </c>
      <c r="M1133" s="1" t="s">
        <v>44</v>
      </c>
      <c r="N1133" s="3">
        <v>208.71</v>
      </c>
      <c r="O1133" s="1" t="s">
        <v>2134</v>
      </c>
      <c r="P1133" s="1" t="s">
        <v>2071</v>
      </c>
      <c r="Q1133" s="1" t="str">
        <f>TEXT((Data[[#This Row],[Order_Date]]), "mmm")</f>
        <v>Aug</v>
      </c>
    </row>
    <row r="1134" spans="4:17" x14ac:dyDescent="0.3">
      <c r="D1134" s="1" t="s">
        <v>1196</v>
      </c>
      <c r="E1134" s="2">
        <v>45530</v>
      </c>
      <c r="F1134" s="2">
        <v>45535</v>
      </c>
      <c r="G1134" s="1" t="s">
        <v>31</v>
      </c>
      <c r="H1134" s="1" t="s">
        <v>17</v>
      </c>
      <c r="I1134" s="1" t="s">
        <v>32</v>
      </c>
      <c r="J1134" s="1" t="s">
        <v>56</v>
      </c>
      <c r="K1134" s="3">
        <v>1684.22</v>
      </c>
      <c r="L1134" s="1">
        <v>6</v>
      </c>
      <c r="M1134" s="1" t="s">
        <v>15</v>
      </c>
      <c r="N1134" s="3">
        <v>587.16999999999996</v>
      </c>
      <c r="O1134" s="1" t="s">
        <v>2302</v>
      </c>
      <c r="P1134" s="1" t="s">
        <v>2078</v>
      </c>
      <c r="Q1134" s="1" t="str">
        <f>TEXT((Data[[#This Row],[Order_Date]]), "mmm")</f>
        <v>Aug</v>
      </c>
    </row>
    <row r="1135" spans="4:17" x14ac:dyDescent="0.3">
      <c r="D1135" s="1" t="s">
        <v>1197</v>
      </c>
      <c r="E1135" s="2">
        <v>45476</v>
      </c>
      <c r="F1135" s="2">
        <v>45479</v>
      </c>
      <c r="G1135" s="1" t="s">
        <v>11</v>
      </c>
      <c r="H1135" s="1" t="s">
        <v>12</v>
      </c>
      <c r="I1135" s="1" t="s">
        <v>13</v>
      </c>
      <c r="J1135" s="1" t="s">
        <v>129</v>
      </c>
      <c r="K1135" s="3">
        <v>602.91</v>
      </c>
      <c r="L1135" s="1">
        <v>12</v>
      </c>
      <c r="M1135" s="1" t="s">
        <v>34</v>
      </c>
      <c r="N1135" s="3">
        <v>-121.09</v>
      </c>
      <c r="O1135" s="1" t="s">
        <v>2276</v>
      </c>
      <c r="P1135" s="1" t="s">
        <v>2076</v>
      </c>
      <c r="Q1135" s="1" t="str">
        <f>TEXT((Data[[#This Row],[Order_Date]]), "mmm")</f>
        <v>Jul</v>
      </c>
    </row>
    <row r="1136" spans="4:17" x14ac:dyDescent="0.3">
      <c r="D1136" s="1" t="s">
        <v>1198</v>
      </c>
      <c r="E1136" s="2">
        <v>45431</v>
      </c>
      <c r="F1136" s="2">
        <v>45431</v>
      </c>
      <c r="G1136" s="1" t="s">
        <v>36</v>
      </c>
      <c r="H1136" s="1" t="s">
        <v>12</v>
      </c>
      <c r="I1136" s="1" t="s">
        <v>42</v>
      </c>
      <c r="J1136" s="1" t="s">
        <v>43</v>
      </c>
      <c r="K1136" s="3">
        <v>414.69</v>
      </c>
      <c r="L1136" s="1">
        <v>9</v>
      </c>
      <c r="M1136" s="1" t="s">
        <v>34</v>
      </c>
      <c r="N1136" s="3">
        <v>98.52</v>
      </c>
      <c r="O1136" s="1" t="s">
        <v>2186</v>
      </c>
      <c r="P1136" s="1" t="s">
        <v>2076</v>
      </c>
      <c r="Q1136" s="1" t="str">
        <f>TEXT((Data[[#This Row],[Order_Date]]), "mmm")</f>
        <v>May</v>
      </c>
    </row>
    <row r="1137" spans="4:17" x14ac:dyDescent="0.3">
      <c r="D1137" s="1" t="s">
        <v>1199</v>
      </c>
      <c r="E1137" s="2">
        <v>45307</v>
      </c>
      <c r="F1137" s="2">
        <v>45314</v>
      </c>
      <c r="G1137" s="1" t="s">
        <v>31</v>
      </c>
      <c r="H1137" s="1" t="s">
        <v>23</v>
      </c>
      <c r="I1137" s="1" t="s">
        <v>78</v>
      </c>
      <c r="J1137" s="1" t="s">
        <v>79</v>
      </c>
      <c r="K1137" s="3">
        <v>3062.26</v>
      </c>
      <c r="L1137" s="1">
        <v>18</v>
      </c>
      <c r="M1137" s="1" t="s">
        <v>20</v>
      </c>
      <c r="N1137" s="3">
        <v>-188.2</v>
      </c>
      <c r="O1137" s="1" t="s">
        <v>2187</v>
      </c>
      <c r="P1137" s="1" t="s">
        <v>2071</v>
      </c>
      <c r="Q1137" s="1" t="str">
        <f>TEXT((Data[[#This Row],[Order_Date]]), "mmm")</f>
        <v>Jan</v>
      </c>
    </row>
    <row r="1138" spans="4:17" x14ac:dyDescent="0.3">
      <c r="D1138" s="1" t="s">
        <v>1200</v>
      </c>
      <c r="E1138" s="2">
        <v>45657</v>
      </c>
      <c r="F1138" s="2">
        <v>45659</v>
      </c>
      <c r="G1138" s="1" t="s">
        <v>22</v>
      </c>
      <c r="H1138" s="1" t="s">
        <v>17</v>
      </c>
      <c r="I1138" s="1" t="s">
        <v>18</v>
      </c>
      <c r="J1138" s="1" t="s">
        <v>54</v>
      </c>
      <c r="K1138" s="3">
        <v>3377.74</v>
      </c>
      <c r="L1138" s="1">
        <v>4</v>
      </c>
      <c r="M1138" s="1" t="s">
        <v>20</v>
      </c>
      <c r="N1138" s="3">
        <v>618.16999999999996</v>
      </c>
      <c r="O1138" s="1" t="s">
        <v>2080</v>
      </c>
      <c r="P1138" s="1" t="s">
        <v>2078</v>
      </c>
      <c r="Q1138" s="1" t="str">
        <f>TEXT((Data[[#This Row],[Order_Date]]), "mmm")</f>
        <v>Dec</v>
      </c>
    </row>
    <row r="1139" spans="4:17" x14ac:dyDescent="0.3">
      <c r="D1139" s="1" t="s">
        <v>1201</v>
      </c>
      <c r="E1139" s="2">
        <v>45452</v>
      </c>
      <c r="F1139" s="2">
        <v>45453</v>
      </c>
      <c r="G1139" s="1" t="s">
        <v>36</v>
      </c>
      <c r="H1139" s="1" t="s">
        <v>17</v>
      </c>
      <c r="I1139" s="1" t="s">
        <v>32</v>
      </c>
      <c r="J1139" s="1" t="s">
        <v>56</v>
      </c>
      <c r="K1139" s="3">
        <v>1497.49</v>
      </c>
      <c r="L1139" s="1">
        <v>11</v>
      </c>
      <c r="M1139" s="1" t="s">
        <v>15</v>
      </c>
      <c r="N1139" s="3">
        <v>150.88999999999999</v>
      </c>
      <c r="O1139" s="1" t="s">
        <v>2287</v>
      </c>
      <c r="P1139" s="1" t="s">
        <v>2078</v>
      </c>
      <c r="Q1139" s="1" t="str">
        <f>TEXT((Data[[#This Row],[Order_Date]]), "mmm")</f>
        <v>Jun</v>
      </c>
    </row>
    <row r="1140" spans="4:17" x14ac:dyDescent="0.3">
      <c r="D1140" s="1" t="s">
        <v>1202</v>
      </c>
      <c r="E1140" s="2">
        <v>45479</v>
      </c>
      <c r="F1140" s="2">
        <v>45479</v>
      </c>
      <c r="G1140" s="1" t="s">
        <v>31</v>
      </c>
      <c r="H1140" s="1" t="s">
        <v>23</v>
      </c>
      <c r="I1140" s="1" t="s">
        <v>61</v>
      </c>
      <c r="J1140" s="1" t="s">
        <v>76</v>
      </c>
      <c r="K1140" s="3">
        <v>973.52</v>
      </c>
      <c r="L1140" s="1">
        <v>17</v>
      </c>
      <c r="M1140" s="1" t="s">
        <v>44</v>
      </c>
      <c r="N1140" s="3">
        <v>-261.57</v>
      </c>
      <c r="O1140" s="1" t="s">
        <v>2120</v>
      </c>
      <c r="P1140" s="1" t="s">
        <v>2076</v>
      </c>
      <c r="Q1140" s="1" t="str">
        <f>TEXT((Data[[#This Row],[Order_Date]]), "mmm")</f>
        <v>Jul</v>
      </c>
    </row>
    <row r="1141" spans="4:17" x14ac:dyDescent="0.3">
      <c r="D1141" s="1" t="s">
        <v>1203</v>
      </c>
      <c r="E1141" s="2">
        <v>45519</v>
      </c>
      <c r="F1141" s="2">
        <v>45519</v>
      </c>
      <c r="G1141" s="1" t="s">
        <v>36</v>
      </c>
      <c r="H1141" s="1" t="s">
        <v>12</v>
      </c>
      <c r="I1141" s="1" t="s">
        <v>58</v>
      </c>
      <c r="J1141" s="1" t="s">
        <v>59</v>
      </c>
      <c r="K1141" s="3">
        <v>2145.5</v>
      </c>
      <c r="L1141" s="1">
        <v>6</v>
      </c>
      <c r="M1141" s="1" t="s">
        <v>15</v>
      </c>
      <c r="N1141" s="3">
        <v>587.97</v>
      </c>
      <c r="O1141" s="1" t="s">
        <v>2099</v>
      </c>
      <c r="P1141" s="1" t="s">
        <v>2076</v>
      </c>
      <c r="Q1141" s="1" t="str">
        <f>TEXT((Data[[#This Row],[Order_Date]]), "mmm")</f>
        <v>Aug</v>
      </c>
    </row>
    <row r="1142" spans="4:17" x14ac:dyDescent="0.3">
      <c r="D1142" s="1" t="s">
        <v>1204</v>
      </c>
      <c r="E1142" s="2">
        <v>45293</v>
      </c>
      <c r="F1142" s="2">
        <v>45297</v>
      </c>
      <c r="G1142" s="1" t="s">
        <v>36</v>
      </c>
      <c r="H1142" s="1" t="s">
        <v>12</v>
      </c>
      <c r="I1142" s="1" t="s">
        <v>13</v>
      </c>
      <c r="J1142" s="1" t="s">
        <v>51</v>
      </c>
      <c r="K1142" s="3">
        <v>1530.45</v>
      </c>
      <c r="L1142" s="1">
        <v>19</v>
      </c>
      <c r="M1142" s="1" t="s">
        <v>15</v>
      </c>
      <c r="N1142" s="3">
        <v>116.05</v>
      </c>
      <c r="O1142" s="1" t="s">
        <v>2193</v>
      </c>
      <c r="P1142" s="1" t="s">
        <v>2078</v>
      </c>
      <c r="Q1142" s="1" t="str">
        <f>TEXT((Data[[#This Row],[Order_Date]]), "mmm")</f>
        <v>Jan</v>
      </c>
    </row>
    <row r="1143" spans="4:17" x14ac:dyDescent="0.3">
      <c r="D1143" s="1" t="s">
        <v>1205</v>
      </c>
      <c r="E1143" s="2">
        <v>45337</v>
      </c>
      <c r="F1143" s="2">
        <v>45338</v>
      </c>
      <c r="G1143" s="1" t="s">
        <v>11</v>
      </c>
      <c r="H1143" s="1" t="s">
        <v>17</v>
      </c>
      <c r="I1143" s="1" t="s">
        <v>32</v>
      </c>
      <c r="J1143" s="1" t="s">
        <v>56</v>
      </c>
      <c r="K1143" s="3">
        <v>946.22</v>
      </c>
      <c r="L1143" s="1">
        <v>19</v>
      </c>
      <c r="M1143" s="1" t="s">
        <v>15</v>
      </c>
      <c r="N1143" s="3">
        <v>321.45999999999998</v>
      </c>
      <c r="O1143" s="1" t="s">
        <v>2166</v>
      </c>
      <c r="P1143" s="1" t="s">
        <v>2078</v>
      </c>
      <c r="Q1143" s="1" t="str">
        <f>TEXT((Data[[#This Row],[Order_Date]]), "mmm")</f>
        <v>Feb</v>
      </c>
    </row>
    <row r="1144" spans="4:17" x14ac:dyDescent="0.3">
      <c r="D1144" s="1" t="s">
        <v>1206</v>
      </c>
      <c r="E1144" s="2">
        <v>45297</v>
      </c>
      <c r="F1144" s="2">
        <v>45300</v>
      </c>
      <c r="G1144" s="1" t="s">
        <v>36</v>
      </c>
      <c r="H1144" s="1" t="s">
        <v>23</v>
      </c>
      <c r="I1144" s="1" t="s">
        <v>61</v>
      </c>
      <c r="J1144" s="1" t="s">
        <v>62</v>
      </c>
      <c r="K1144" s="3">
        <v>3787.14</v>
      </c>
      <c r="L1144" s="1">
        <v>10</v>
      </c>
      <c r="M1144" s="1" t="s">
        <v>15</v>
      </c>
      <c r="N1144" s="3">
        <v>919.12</v>
      </c>
      <c r="O1144" s="1" t="s">
        <v>2291</v>
      </c>
      <c r="P1144" s="1" t="s">
        <v>2078</v>
      </c>
      <c r="Q1144" s="1" t="str">
        <f>TEXT((Data[[#This Row],[Order_Date]]), "mmm")</f>
        <v>Jan</v>
      </c>
    </row>
    <row r="1145" spans="4:17" x14ac:dyDescent="0.3">
      <c r="D1145" s="1" t="s">
        <v>1207</v>
      </c>
      <c r="E1145" s="2">
        <v>45389</v>
      </c>
      <c r="F1145" s="2">
        <v>45391</v>
      </c>
      <c r="G1145" s="1" t="s">
        <v>36</v>
      </c>
      <c r="H1145" s="1" t="s">
        <v>17</v>
      </c>
      <c r="I1145" s="1" t="s">
        <v>27</v>
      </c>
      <c r="J1145" s="1" t="s">
        <v>110</v>
      </c>
      <c r="K1145" s="3">
        <v>917.52</v>
      </c>
      <c r="L1145" s="1">
        <v>5</v>
      </c>
      <c r="M1145" s="1" t="s">
        <v>29</v>
      </c>
      <c r="N1145" s="3">
        <v>132.72999999999999</v>
      </c>
      <c r="O1145" s="1" t="s">
        <v>2165</v>
      </c>
      <c r="P1145" s="1" t="s">
        <v>2076</v>
      </c>
      <c r="Q1145" s="1" t="str">
        <f>TEXT((Data[[#This Row],[Order_Date]]), "mmm")</f>
        <v>Apr</v>
      </c>
    </row>
    <row r="1146" spans="4:17" x14ac:dyDescent="0.3">
      <c r="D1146" s="1" t="s">
        <v>1208</v>
      </c>
      <c r="E1146" s="2">
        <v>45388</v>
      </c>
      <c r="F1146" s="2">
        <v>45392</v>
      </c>
      <c r="G1146" s="1" t="s">
        <v>22</v>
      </c>
      <c r="H1146" s="1" t="s">
        <v>17</v>
      </c>
      <c r="I1146" s="1" t="s">
        <v>27</v>
      </c>
      <c r="J1146" s="1" t="s">
        <v>110</v>
      </c>
      <c r="K1146" s="3">
        <v>2865.84</v>
      </c>
      <c r="L1146" s="1">
        <v>9</v>
      </c>
      <c r="M1146" s="1" t="s">
        <v>20</v>
      </c>
      <c r="N1146" s="3">
        <v>564.47</v>
      </c>
      <c r="O1146" s="1" t="s">
        <v>2233</v>
      </c>
      <c r="P1146" s="1" t="s">
        <v>2076</v>
      </c>
      <c r="Q1146" s="1" t="str">
        <f>TEXT((Data[[#This Row],[Order_Date]]), "mmm")</f>
        <v>Apr</v>
      </c>
    </row>
    <row r="1147" spans="4:17" x14ac:dyDescent="0.3">
      <c r="D1147" s="1" t="s">
        <v>1209</v>
      </c>
      <c r="E1147" s="2">
        <v>45470</v>
      </c>
      <c r="F1147" s="2">
        <v>45477</v>
      </c>
      <c r="G1147" s="1" t="s">
        <v>22</v>
      </c>
      <c r="H1147" s="1" t="s">
        <v>17</v>
      </c>
      <c r="I1147" s="1" t="s">
        <v>32</v>
      </c>
      <c r="J1147" s="1" t="s">
        <v>33</v>
      </c>
      <c r="K1147" s="3">
        <v>833.89</v>
      </c>
      <c r="L1147" s="1">
        <v>19</v>
      </c>
      <c r="M1147" s="1" t="s">
        <v>44</v>
      </c>
      <c r="N1147" s="3">
        <v>290.3</v>
      </c>
      <c r="O1147" s="1" t="s">
        <v>2137</v>
      </c>
      <c r="P1147" s="1" t="s">
        <v>2076</v>
      </c>
      <c r="Q1147" s="1" t="str">
        <f>TEXT((Data[[#This Row],[Order_Date]]), "mmm")</f>
        <v>Jun</v>
      </c>
    </row>
    <row r="1148" spans="4:17" x14ac:dyDescent="0.3">
      <c r="D1148" s="1" t="s">
        <v>1210</v>
      </c>
      <c r="E1148" s="2">
        <v>45622</v>
      </c>
      <c r="F1148" s="2">
        <v>45626</v>
      </c>
      <c r="G1148" s="1" t="s">
        <v>22</v>
      </c>
      <c r="H1148" s="1" t="s">
        <v>23</v>
      </c>
      <c r="I1148" s="1" t="s">
        <v>24</v>
      </c>
      <c r="J1148" s="1" t="s">
        <v>25</v>
      </c>
      <c r="K1148" s="3">
        <v>2174.77</v>
      </c>
      <c r="L1148" s="1">
        <v>7</v>
      </c>
      <c r="M1148" s="1" t="s">
        <v>34</v>
      </c>
      <c r="N1148" s="3">
        <v>251.13</v>
      </c>
      <c r="O1148" s="1" t="s">
        <v>2258</v>
      </c>
      <c r="P1148" s="1" t="s">
        <v>2076</v>
      </c>
      <c r="Q1148" s="1" t="str">
        <f>TEXT((Data[[#This Row],[Order_Date]]), "mmm")</f>
        <v>Nov</v>
      </c>
    </row>
    <row r="1149" spans="4:17" x14ac:dyDescent="0.3">
      <c r="D1149" s="1" t="s">
        <v>1211</v>
      </c>
      <c r="E1149" s="2">
        <v>45351</v>
      </c>
      <c r="F1149" s="2">
        <v>45353</v>
      </c>
      <c r="G1149" s="1" t="s">
        <v>31</v>
      </c>
      <c r="H1149" s="1" t="s">
        <v>17</v>
      </c>
      <c r="I1149" s="1" t="s">
        <v>27</v>
      </c>
      <c r="J1149" s="1" t="s">
        <v>110</v>
      </c>
      <c r="K1149" s="3">
        <v>1646.06</v>
      </c>
      <c r="L1149" s="1">
        <v>13</v>
      </c>
      <c r="M1149" s="1" t="s">
        <v>15</v>
      </c>
      <c r="N1149" s="3">
        <v>-372.86</v>
      </c>
      <c r="O1149" s="1" t="s">
        <v>2120</v>
      </c>
      <c r="P1149" s="1" t="s">
        <v>2071</v>
      </c>
      <c r="Q1149" s="1" t="str">
        <f>TEXT((Data[[#This Row],[Order_Date]]), "mmm")</f>
        <v>Feb</v>
      </c>
    </row>
    <row r="1150" spans="4:17" x14ac:dyDescent="0.3">
      <c r="D1150" s="1" t="s">
        <v>1212</v>
      </c>
      <c r="E1150" s="2">
        <v>45651</v>
      </c>
      <c r="F1150" s="2">
        <v>45652</v>
      </c>
      <c r="G1150" s="1" t="s">
        <v>36</v>
      </c>
      <c r="H1150" s="1" t="s">
        <v>17</v>
      </c>
      <c r="I1150" s="1" t="s">
        <v>18</v>
      </c>
      <c r="J1150" s="1" t="s">
        <v>54</v>
      </c>
      <c r="K1150" s="3">
        <v>2033.11</v>
      </c>
      <c r="L1150" s="1">
        <v>11</v>
      </c>
      <c r="M1150" s="1" t="s">
        <v>15</v>
      </c>
      <c r="N1150" s="3">
        <v>652.41</v>
      </c>
      <c r="O1150" s="1" t="s">
        <v>2135</v>
      </c>
      <c r="P1150" s="1" t="s">
        <v>2078</v>
      </c>
      <c r="Q1150" s="1" t="str">
        <f>TEXT((Data[[#This Row],[Order_Date]]), "mmm")</f>
        <v>Dec</v>
      </c>
    </row>
    <row r="1151" spans="4:17" x14ac:dyDescent="0.3">
      <c r="D1151" s="1" t="s">
        <v>1213</v>
      </c>
      <c r="E1151" s="2">
        <v>45475</v>
      </c>
      <c r="F1151" s="2">
        <v>45479</v>
      </c>
      <c r="G1151" s="1" t="s">
        <v>22</v>
      </c>
      <c r="H1151" s="1" t="s">
        <v>23</v>
      </c>
      <c r="I1151" s="1" t="s">
        <v>78</v>
      </c>
      <c r="J1151" s="1" t="s">
        <v>118</v>
      </c>
      <c r="K1151" s="3">
        <v>1896.28</v>
      </c>
      <c r="L1151" s="1">
        <v>20</v>
      </c>
      <c r="M1151" s="1" t="s">
        <v>49</v>
      </c>
      <c r="N1151" s="3">
        <v>432.49</v>
      </c>
      <c r="O1151" s="1" t="s">
        <v>2108</v>
      </c>
      <c r="P1151" s="1" t="s">
        <v>2076</v>
      </c>
      <c r="Q1151" s="1" t="str">
        <f>TEXT((Data[[#This Row],[Order_Date]]), "mmm")</f>
        <v>Jul</v>
      </c>
    </row>
    <row r="1152" spans="4:17" x14ac:dyDescent="0.3">
      <c r="D1152" s="1" t="s">
        <v>1214</v>
      </c>
      <c r="E1152" s="2">
        <v>45496</v>
      </c>
      <c r="F1152" s="2">
        <v>45503</v>
      </c>
      <c r="G1152" s="1" t="s">
        <v>22</v>
      </c>
      <c r="H1152" s="1" t="s">
        <v>23</v>
      </c>
      <c r="I1152" s="1" t="s">
        <v>24</v>
      </c>
      <c r="J1152" s="1" t="s">
        <v>150</v>
      </c>
      <c r="K1152" s="3">
        <v>1517.04</v>
      </c>
      <c r="L1152" s="1">
        <v>13</v>
      </c>
      <c r="M1152" s="1" t="s">
        <v>34</v>
      </c>
      <c r="N1152" s="3">
        <v>94.12</v>
      </c>
      <c r="O1152" s="1" t="s">
        <v>2292</v>
      </c>
      <c r="P1152" s="1" t="s">
        <v>2078</v>
      </c>
      <c r="Q1152" s="1" t="str">
        <f>TEXT((Data[[#This Row],[Order_Date]]), "mmm")</f>
        <v>Jul</v>
      </c>
    </row>
    <row r="1153" spans="4:17" x14ac:dyDescent="0.3">
      <c r="D1153" s="1" t="s">
        <v>1215</v>
      </c>
      <c r="E1153" s="2">
        <v>45411</v>
      </c>
      <c r="F1153" s="2">
        <v>45412</v>
      </c>
      <c r="G1153" s="1" t="s">
        <v>31</v>
      </c>
      <c r="H1153" s="1" t="s">
        <v>23</v>
      </c>
      <c r="I1153" s="1" t="s">
        <v>24</v>
      </c>
      <c r="J1153" s="1" t="s">
        <v>150</v>
      </c>
      <c r="K1153" s="3">
        <v>1752.81</v>
      </c>
      <c r="L1153" s="1">
        <v>1</v>
      </c>
      <c r="M1153" s="1" t="s">
        <v>44</v>
      </c>
      <c r="N1153" s="3">
        <v>356.98</v>
      </c>
      <c r="O1153" s="1" t="s">
        <v>2283</v>
      </c>
      <c r="P1153" s="1" t="s">
        <v>2078</v>
      </c>
      <c r="Q1153" s="1" t="str">
        <f>TEXT((Data[[#This Row],[Order_Date]]), "mmm")</f>
        <v>Apr</v>
      </c>
    </row>
    <row r="1154" spans="4:17" x14ac:dyDescent="0.3">
      <c r="D1154" s="1" t="s">
        <v>1216</v>
      </c>
      <c r="E1154" s="2">
        <v>45597</v>
      </c>
      <c r="F1154" s="2">
        <v>45600</v>
      </c>
      <c r="G1154" s="1" t="s">
        <v>22</v>
      </c>
      <c r="H1154" s="1" t="s">
        <v>17</v>
      </c>
      <c r="I1154" s="1" t="s">
        <v>32</v>
      </c>
      <c r="J1154" s="1" t="s">
        <v>33</v>
      </c>
      <c r="K1154" s="3">
        <v>3207.14</v>
      </c>
      <c r="L1154" s="1">
        <v>2</v>
      </c>
      <c r="M1154" s="1" t="s">
        <v>20</v>
      </c>
      <c r="N1154" s="3">
        <v>457.92</v>
      </c>
      <c r="O1154" s="1" t="s">
        <v>2185</v>
      </c>
      <c r="P1154" s="1" t="s">
        <v>2078</v>
      </c>
      <c r="Q1154" s="1" t="str">
        <f>TEXT((Data[[#This Row],[Order_Date]]), "mmm")</f>
        <v>Nov</v>
      </c>
    </row>
    <row r="1155" spans="4:17" x14ac:dyDescent="0.3">
      <c r="D1155" s="1" t="s">
        <v>1217</v>
      </c>
      <c r="E1155" s="2">
        <v>45469</v>
      </c>
      <c r="F1155" s="2">
        <v>45476</v>
      </c>
      <c r="G1155" s="1" t="s">
        <v>31</v>
      </c>
      <c r="H1155" s="1" t="s">
        <v>17</v>
      </c>
      <c r="I1155" s="1" t="s">
        <v>27</v>
      </c>
      <c r="J1155" s="1" t="s">
        <v>28</v>
      </c>
      <c r="K1155" s="3">
        <v>2719.78</v>
      </c>
      <c r="L1155" s="1">
        <v>7</v>
      </c>
      <c r="M1155" s="1" t="s">
        <v>44</v>
      </c>
      <c r="N1155" s="3">
        <v>-381.82</v>
      </c>
      <c r="O1155" s="1" t="s">
        <v>2158</v>
      </c>
      <c r="P1155" s="1" t="s">
        <v>2078</v>
      </c>
      <c r="Q1155" s="1" t="str">
        <f>TEXT((Data[[#This Row],[Order_Date]]), "mmm")</f>
        <v>Jun</v>
      </c>
    </row>
    <row r="1156" spans="4:17" x14ac:dyDescent="0.3">
      <c r="D1156" s="1" t="s">
        <v>1218</v>
      </c>
      <c r="E1156" s="2">
        <v>45412</v>
      </c>
      <c r="F1156" s="2">
        <v>45415</v>
      </c>
      <c r="G1156" s="1" t="s">
        <v>31</v>
      </c>
      <c r="H1156" s="1" t="s">
        <v>17</v>
      </c>
      <c r="I1156" s="1" t="s">
        <v>32</v>
      </c>
      <c r="J1156" s="1" t="s">
        <v>56</v>
      </c>
      <c r="K1156" s="3">
        <v>828.02</v>
      </c>
      <c r="L1156" s="1">
        <v>18</v>
      </c>
      <c r="M1156" s="1" t="s">
        <v>34</v>
      </c>
      <c r="N1156" s="3">
        <v>42.63</v>
      </c>
      <c r="O1156" s="1" t="s">
        <v>2169</v>
      </c>
      <c r="P1156" s="1" t="s">
        <v>2078</v>
      </c>
      <c r="Q1156" s="1" t="str">
        <f>TEXT((Data[[#This Row],[Order_Date]]), "mmm")</f>
        <v>Apr</v>
      </c>
    </row>
    <row r="1157" spans="4:17" x14ac:dyDescent="0.3">
      <c r="D1157" s="1" t="s">
        <v>1219</v>
      </c>
      <c r="E1157" s="2">
        <v>45343</v>
      </c>
      <c r="F1157" s="2">
        <v>45350</v>
      </c>
      <c r="G1157" s="1" t="s">
        <v>31</v>
      </c>
      <c r="H1157" s="1" t="s">
        <v>12</v>
      </c>
      <c r="I1157" s="1" t="s">
        <v>58</v>
      </c>
      <c r="J1157" s="1" t="s">
        <v>105</v>
      </c>
      <c r="K1157" s="3">
        <v>2756.64</v>
      </c>
      <c r="L1157" s="1">
        <v>15</v>
      </c>
      <c r="M1157" s="1" t="s">
        <v>15</v>
      </c>
      <c r="N1157" s="3">
        <v>338.58</v>
      </c>
      <c r="O1157" s="1" t="s">
        <v>2092</v>
      </c>
      <c r="P1157" s="1" t="s">
        <v>2076</v>
      </c>
      <c r="Q1157" s="1" t="str">
        <f>TEXT((Data[[#This Row],[Order_Date]]), "mmm")</f>
        <v>Feb</v>
      </c>
    </row>
    <row r="1158" spans="4:17" x14ac:dyDescent="0.3">
      <c r="D1158" s="1" t="s">
        <v>1220</v>
      </c>
      <c r="E1158" s="2">
        <v>45490</v>
      </c>
      <c r="F1158" s="2">
        <v>45492</v>
      </c>
      <c r="G1158" s="1" t="s">
        <v>36</v>
      </c>
      <c r="H1158" s="1" t="s">
        <v>17</v>
      </c>
      <c r="I1158" s="1" t="s">
        <v>27</v>
      </c>
      <c r="J1158" s="1" t="s">
        <v>110</v>
      </c>
      <c r="K1158" s="3">
        <v>3617.58</v>
      </c>
      <c r="L1158" s="1">
        <v>14</v>
      </c>
      <c r="M1158" s="1" t="s">
        <v>29</v>
      </c>
      <c r="N1158" s="3">
        <v>-608.30999999999995</v>
      </c>
      <c r="O1158" s="1" t="s">
        <v>2121</v>
      </c>
      <c r="P1158" s="1" t="s">
        <v>2078</v>
      </c>
      <c r="Q1158" s="1" t="str">
        <f>TEXT((Data[[#This Row],[Order_Date]]), "mmm")</f>
        <v>Jul</v>
      </c>
    </row>
    <row r="1159" spans="4:17" x14ac:dyDescent="0.3">
      <c r="D1159" s="1" t="s">
        <v>1221</v>
      </c>
      <c r="E1159" s="2">
        <v>45542</v>
      </c>
      <c r="F1159" s="2">
        <v>45542</v>
      </c>
      <c r="G1159" s="1" t="s">
        <v>22</v>
      </c>
      <c r="H1159" s="1" t="s">
        <v>12</v>
      </c>
      <c r="I1159" s="1" t="s">
        <v>58</v>
      </c>
      <c r="J1159" s="1" t="s">
        <v>120</v>
      </c>
      <c r="K1159" s="3">
        <v>1634.25</v>
      </c>
      <c r="L1159" s="1">
        <v>11</v>
      </c>
      <c r="M1159" s="1" t="s">
        <v>29</v>
      </c>
      <c r="N1159" s="3">
        <v>485.33</v>
      </c>
      <c r="O1159" s="1" t="s">
        <v>2183</v>
      </c>
      <c r="P1159" s="1" t="s">
        <v>2076</v>
      </c>
      <c r="Q1159" s="1" t="str">
        <f>TEXT((Data[[#This Row],[Order_Date]]), "mmm")</f>
        <v>Sep</v>
      </c>
    </row>
    <row r="1160" spans="4:17" x14ac:dyDescent="0.3">
      <c r="D1160" s="1" t="s">
        <v>1222</v>
      </c>
      <c r="E1160" s="2">
        <v>45495</v>
      </c>
      <c r="F1160" s="2">
        <v>45496</v>
      </c>
      <c r="G1160" s="1" t="s">
        <v>22</v>
      </c>
      <c r="H1160" s="1" t="s">
        <v>17</v>
      </c>
      <c r="I1160" s="1" t="s">
        <v>27</v>
      </c>
      <c r="J1160" s="1" t="s">
        <v>132</v>
      </c>
      <c r="K1160" s="3">
        <v>415.93</v>
      </c>
      <c r="L1160" s="1">
        <v>10</v>
      </c>
      <c r="M1160" s="1" t="s">
        <v>49</v>
      </c>
      <c r="N1160" s="3">
        <v>32.380000000000003</v>
      </c>
      <c r="O1160" s="1" t="s">
        <v>2099</v>
      </c>
      <c r="P1160" s="1" t="s">
        <v>2078</v>
      </c>
      <c r="Q1160" s="1" t="str">
        <f>TEXT((Data[[#This Row],[Order_Date]]), "mmm")</f>
        <v>Jul</v>
      </c>
    </row>
    <row r="1161" spans="4:17" x14ac:dyDescent="0.3">
      <c r="D1161" s="1" t="s">
        <v>1223</v>
      </c>
      <c r="E1161" s="2">
        <v>45384</v>
      </c>
      <c r="F1161" s="2">
        <v>45390</v>
      </c>
      <c r="G1161" s="1" t="s">
        <v>22</v>
      </c>
      <c r="H1161" s="1" t="s">
        <v>23</v>
      </c>
      <c r="I1161" s="1" t="s">
        <v>24</v>
      </c>
      <c r="J1161" s="1" t="s">
        <v>93</v>
      </c>
      <c r="K1161" s="3">
        <v>2782.27</v>
      </c>
      <c r="L1161" s="1">
        <v>16</v>
      </c>
      <c r="M1161" s="1" t="s">
        <v>20</v>
      </c>
      <c r="N1161" s="3">
        <v>356.98</v>
      </c>
      <c r="O1161" s="1" t="s">
        <v>2249</v>
      </c>
      <c r="P1161" s="1" t="s">
        <v>2076</v>
      </c>
      <c r="Q1161" s="1" t="str">
        <f>TEXT((Data[[#This Row],[Order_Date]]), "mmm")</f>
        <v>Apr</v>
      </c>
    </row>
    <row r="1162" spans="4:17" x14ac:dyDescent="0.3">
      <c r="D1162" s="1" t="s">
        <v>1224</v>
      </c>
      <c r="E1162" s="2">
        <v>45383</v>
      </c>
      <c r="F1162" s="2">
        <v>45385</v>
      </c>
      <c r="G1162" s="1" t="s">
        <v>31</v>
      </c>
      <c r="H1162" s="1" t="s">
        <v>12</v>
      </c>
      <c r="I1162" s="1" t="s">
        <v>38</v>
      </c>
      <c r="J1162" s="1" t="s">
        <v>85</v>
      </c>
      <c r="K1162" s="3">
        <v>3273.36</v>
      </c>
      <c r="L1162" s="1">
        <v>12</v>
      </c>
      <c r="M1162" s="1" t="s">
        <v>15</v>
      </c>
      <c r="N1162" s="3">
        <v>883.16</v>
      </c>
      <c r="O1162" s="1" t="s">
        <v>2101</v>
      </c>
      <c r="P1162" s="1" t="s">
        <v>2071</v>
      </c>
      <c r="Q1162" s="1" t="str">
        <f>TEXT((Data[[#This Row],[Order_Date]]), "mmm")</f>
        <v>Apr</v>
      </c>
    </row>
    <row r="1163" spans="4:17" x14ac:dyDescent="0.3">
      <c r="D1163" s="1" t="s">
        <v>1225</v>
      </c>
      <c r="E1163" s="2">
        <v>45499</v>
      </c>
      <c r="F1163" s="2">
        <v>45499</v>
      </c>
      <c r="G1163" s="1" t="s">
        <v>22</v>
      </c>
      <c r="H1163" s="1" t="s">
        <v>23</v>
      </c>
      <c r="I1163" s="1" t="s">
        <v>78</v>
      </c>
      <c r="J1163" s="1" t="s">
        <v>79</v>
      </c>
      <c r="K1163" s="3">
        <v>2823.62</v>
      </c>
      <c r="L1163" s="1">
        <v>1</v>
      </c>
      <c r="M1163" s="1" t="s">
        <v>49</v>
      </c>
      <c r="N1163" s="3">
        <v>695.02</v>
      </c>
      <c r="O1163" s="1" t="s">
        <v>2073</v>
      </c>
      <c r="P1163" s="1" t="s">
        <v>2078</v>
      </c>
      <c r="Q1163" s="1" t="str">
        <f>TEXT((Data[[#This Row],[Order_Date]]), "mmm")</f>
        <v>Jul</v>
      </c>
    </row>
    <row r="1164" spans="4:17" x14ac:dyDescent="0.3">
      <c r="D1164" s="1" t="s">
        <v>1226</v>
      </c>
      <c r="E1164" s="2">
        <v>45508</v>
      </c>
      <c r="F1164" s="2">
        <v>45508</v>
      </c>
      <c r="G1164" s="1" t="s">
        <v>36</v>
      </c>
      <c r="H1164" s="1" t="s">
        <v>23</v>
      </c>
      <c r="I1164" s="1" t="s">
        <v>24</v>
      </c>
      <c r="J1164" s="1" t="s">
        <v>150</v>
      </c>
      <c r="K1164" s="3">
        <v>2627.94</v>
      </c>
      <c r="L1164" s="1">
        <v>20</v>
      </c>
      <c r="M1164" s="1" t="s">
        <v>49</v>
      </c>
      <c r="N1164" s="3">
        <v>527.21</v>
      </c>
      <c r="O1164" s="1" t="s">
        <v>2075</v>
      </c>
      <c r="P1164" s="1" t="s">
        <v>2078</v>
      </c>
      <c r="Q1164" s="1" t="str">
        <f>TEXT((Data[[#This Row],[Order_Date]]), "mmm")</f>
        <v>Aug</v>
      </c>
    </row>
    <row r="1165" spans="4:17" x14ac:dyDescent="0.3">
      <c r="D1165" s="1" t="s">
        <v>1227</v>
      </c>
      <c r="E1165" s="2">
        <v>45656</v>
      </c>
      <c r="F1165" s="2">
        <v>45661</v>
      </c>
      <c r="G1165" s="1" t="s">
        <v>36</v>
      </c>
      <c r="H1165" s="1" t="s">
        <v>17</v>
      </c>
      <c r="I1165" s="1" t="s">
        <v>18</v>
      </c>
      <c r="J1165" s="1" t="s">
        <v>54</v>
      </c>
      <c r="K1165" s="3">
        <v>2243.92</v>
      </c>
      <c r="L1165" s="1">
        <v>13</v>
      </c>
      <c r="M1165" s="1" t="s">
        <v>15</v>
      </c>
      <c r="N1165" s="3">
        <v>-166.06</v>
      </c>
      <c r="O1165" s="1" t="s">
        <v>2098</v>
      </c>
      <c r="P1165" s="1" t="s">
        <v>2078</v>
      </c>
      <c r="Q1165" s="1" t="str">
        <f>TEXT((Data[[#This Row],[Order_Date]]), "mmm")</f>
        <v>Dec</v>
      </c>
    </row>
    <row r="1166" spans="4:17" x14ac:dyDescent="0.3">
      <c r="D1166" s="1" t="s">
        <v>1228</v>
      </c>
      <c r="E1166" s="2">
        <v>45654</v>
      </c>
      <c r="F1166" s="2">
        <v>45658</v>
      </c>
      <c r="G1166" s="1" t="s">
        <v>22</v>
      </c>
      <c r="H1166" s="1" t="s">
        <v>12</v>
      </c>
      <c r="I1166" s="1" t="s">
        <v>42</v>
      </c>
      <c r="J1166" s="1" t="s">
        <v>43</v>
      </c>
      <c r="K1166" s="3">
        <v>432.04</v>
      </c>
      <c r="L1166" s="1">
        <v>10</v>
      </c>
      <c r="M1166" s="1" t="s">
        <v>20</v>
      </c>
      <c r="N1166" s="3">
        <v>37.36</v>
      </c>
      <c r="O1166" s="1" t="s">
        <v>2271</v>
      </c>
      <c r="P1166" s="1" t="s">
        <v>2071</v>
      </c>
      <c r="Q1166" s="1" t="str">
        <f>TEXT((Data[[#This Row],[Order_Date]]), "mmm")</f>
        <v>Dec</v>
      </c>
    </row>
    <row r="1167" spans="4:17" x14ac:dyDescent="0.3">
      <c r="D1167" s="1" t="s">
        <v>1229</v>
      </c>
      <c r="E1167" s="2">
        <v>45479</v>
      </c>
      <c r="F1167" s="2">
        <v>45479</v>
      </c>
      <c r="G1167" s="1" t="s">
        <v>36</v>
      </c>
      <c r="H1167" s="1" t="s">
        <v>23</v>
      </c>
      <c r="I1167" s="1" t="s">
        <v>65</v>
      </c>
      <c r="J1167" s="1" t="s">
        <v>114</v>
      </c>
      <c r="K1167" s="3">
        <v>2781.24</v>
      </c>
      <c r="L1167" s="1">
        <v>1</v>
      </c>
      <c r="M1167" s="1" t="s">
        <v>29</v>
      </c>
      <c r="N1167" s="3">
        <v>362.04</v>
      </c>
      <c r="O1167" s="1" t="s">
        <v>2082</v>
      </c>
      <c r="P1167" s="1" t="s">
        <v>2071</v>
      </c>
      <c r="Q1167" s="1" t="str">
        <f>TEXT((Data[[#This Row],[Order_Date]]), "mmm")</f>
        <v>Jul</v>
      </c>
    </row>
    <row r="1168" spans="4:17" x14ac:dyDescent="0.3">
      <c r="D1168" s="1" t="s">
        <v>1230</v>
      </c>
      <c r="E1168" s="2">
        <v>45505</v>
      </c>
      <c r="F1168" s="2">
        <v>45505</v>
      </c>
      <c r="G1168" s="1" t="s">
        <v>31</v>
      </c>
      <c r="H1168" s="1" t="s">
        <v>23</v>
      </c>
      <c r="I1168" s="1" t="s">
        <v>24</v>
      </c>
      <c r="J1168" s="1" t="s">
        <v>150</v>
      </c>
      <c r="K1168" s="3">
        <v>383.56</v>
      </c>
      <c r="L1168" s="1">
        <v>4</v>
      </c>
      <c r="M1168" s="1" t="s">
        <v>34</v>
      </c>
      <c r="N1168" s="3">
        <v>103.4</v>
      </c>
      <c r="O1168" s="1" t="s">
        <v>2273</v>
      </c>
      <c r="P1168" s="1" t="s">
        <v>2076</v>
      </c>
      <c r="Q1168" s="1" t="str">
        <f>TEXT((Data[[#This Row],[Order_Date]]), "mmm")</f>
        <v>Aug</v>
      </c>
    </row>
    <row r="1169" spans="4:17" x14ac:dyDescent="0.3">
      <c r="D1169" s="1" t="s">
        <v>1231</v>
      </c>
      <c r="E1169" s="2">
        <v>45494</v>
      </c>
      <c r="F1169" s="2">
        <v>45497</v>
      </c>
      <c r="G1169" s="1" t="s">
        <v>22</v>
      </c>
      <c r="H1169" s="1" t="s">
        <v>17</v>
      </c>
      <c r="I1169" s="1" t="s">
        <v>32</v>
      </c>
      <c r="J1169" s="1" t="s">
        <v>56</v>
      </c>
      <c r="K1169" s="3">
        <v>722.7</v>
      </c>
      <c r="L1169" s="1">
        <v>5</v>
      </c>
      <c r="M1169" s="1" t="s">
        <v>15</v>
      </c>
      <c r="N1169" s="3">
        <v>143.12</v>
      </c>
      <c r="O1169" s="1" t="s">
        <v>2108</v>
      </c>
      <c r="P1169" s="1" t="s">
        <v>2078</v>
      </c>
      <c r="Q1169" s="1" t="str">
        <f>TEXT((Data[[#This Row],[Order_Date]]), "mmm")</f>
        <v>Jul</v>
      </c>
    </row>
    <row r="1170" spans="4:17" x14ac:dyDescent="0.3">
      <c r="D1170" s="1" t="s">
        <v>1232</v>
      </c>
      <c r="E1170" s="2">
        <v>45468</v>
      </c>
      <c r="F1170" s="2">
        <v>45475</v>
      </c>
      <c r="G1170" s="1" t="s">
        <v>22</v>
      </c>
      <c r="H1170" s="1" t="s">
        <v>12</v>
      </c>
      <c r="I1170" s="1" t="s">
        <v>42</v>
      </c>
      <c r="J1170" s="1" t="s">
        <v>48</v>
      </c>
      <c r="K1170" s="3">
        <v>537.01</v>
      </c>
      <c r="L1170" s="1">
        <v>12</v>
      </c>
      <c r="M1170" s="1" t="s">
        <v>20</v>
      </c>
      <c r="N1170" s="3">
        <v>50.49</v>
      </c>
      <c r="O1170" s="1" t="s">
        <v>2152</v>
      </c>
      <c r="P1170" s="1" t="s">
        <v>2076</v>
      </c>
      <c r="Q1170" s="1" t="str">
        <f>TEXT((Data[[#This Row],[Order_Date]]), "mmm")</f>
        <v>Jun</v>
      </c>
    </row>
    <row r="1171" spans="4:17" x14ac:dyDescent="0.3">
      <c r="D1171" s="1" t="s">
        <v>1233</v>
      </c>
      <c r="E1171" s="2">
        <v>45618</v>
      </c>
      <c r="F1171" s="2">
        <v>45619</v>
      </c>
      <c r="G1171" s="1" t="s">
        <v>31</v>
      </c>
      <c r="H1171" s="1" t="s">
        <v>12</v>
      </c>
      <c r="I1171" s="1" t="s">
        <v>38</v>
      </c>
      <c r="J1171" s="1" t="s">
        <v>85</v>
      </c>
      <c r="K1171" s="3">
        <v>3727.9</v>
      </c>
      <c r="L1171" s="1">
        <v>10</v>
      </c>
      <c r="M1171" s="1" t="s">
        <v>49</v>
      </c>
      <c r="N1171" s="3">
        <v>634.57000000000005</v>
      </c>
      <c r="O1171" s="1" t="s">
        <v>2096</v>
      </c>
      <c r="P1171" s="1" t="s">
        <v>2078</v>
      </c>
      <c r="Q1171" s="1" t="str">
        <f>TEXT((Data[[#This Row],[Order_Date]]), "mmm")</f>
        <v>Nov</v>
      </c>
    </row>
    <row r="1172" spans="4:17" x14ac:dyDescent="0.3">
      <c r="D1172" s="1" t="s">
        <v>1234</v>
      </c>
      <c r="E1172" s="2">
        <v>45423</v>
      </c>
      <c r="F1172" s="2">
        <v>45424</v>
      </c>
      <c r="G1172" s="1" t="s">
        <v>31</v>
      </c>
      <c r="H1172" s="1" t="s">
        <v>17</v>
      </c>
      <c r="I1172" s="1" t="s">
        <v>18</v>
      </c>
      <c r="J1172" s="1" t="s">
        <v>90</v>
      </c>
      <c r="K1172" s="3">
        <v>1228.6600000000001</v>
      </c>
      <c r="L1172" s="1">
        <v>10</v>
      </c>
      <c r="M1172" s="1" t="s">
        <v>29</v>
      </c>
      <c r="N1172" s="3">
        <v>250.91</v>
      </c>
      <c r="O1172" s="1" t="s">
        <v>2274</v>
      </c>
      <c r="P1172" s="1" t="s">
        <v>2078</v>
      </c>
      <c r="Q1172" s="1" t="str">
        <f>TEXT((Data[[#This Row],[Order_Date]]), "mmm")</f>
        <v>May</v>
      </c>
    </row>
    <row r="1173" spans="4:17" x14ac:dyDescent="0.3">
      <c r="D1173" s="1" t="s">
        <v>1235</v>
      </c>
      <c r="E1173" s="2">
        <v>45416</v>
      </c>
      <c r="F1173" s="2">
        <v>45416</v>
      </c>
      <c r="G1173" s="1" t="s">
        <v>36</v>
      </c>
      <c r="H1173" s="1" t="s">
        <v>12</v>
      </c>
      <c r="I1173" s="1" t="s">
        <v>42</v>
      </c>
      <c r="J1173" s="1" t="s">
        <v>72</v>
      </c>
      <c r="K1173" s="3">
        <v>3102.7</v>
      </c>
      <c r="L1173" s="1">
        <v>14</v>
      </c>
      <c r="M1173" s="1" t="s">
        <v>34</v>
      </c>
      <c r="N1173" s="3">
        <v>850.33</v>
      </c>
      <c r="O1173" s="1" t="s">
        <v>2297</v>
      </c>
      <c r="P1173" s="1" t="s">
        <v>2076</v>
      </c>
      <c r="Q1173" s="1" t="str">
        <f>TEXT((Data[[#This Row],[Order_Date]]), "mmm")</f>
        <v>May</v>
      </c>
    </row>
    <row r="1174" spans="4:17" x14ac:dyDescent="0.3">
      <c r="D1174" s="1" t="s">
        <v>1236</v>
      </c>
      <c r="E1174" s="2">
        <v>45433</v>
      </c>
      <c r="F1174" s="2">
        <v>45433</v>
      </c>
      <c r="G1174" s="1" t="s">
        <v>31</v>
      </c>
      <c r="H1174" s="1" t="s">
        <v>17</v>
      </c>
      <c r="I1174" s="1" t="s">
        <v>32</v>
      </c>
      <c r="J1174" s="1" t="s">
        <v>33</v>
      </c>
      <c r="K1174" s="3">
        <v>1272.55</v>
      </c>
      <c r="L1174" s="1">
        <v>14</v>
      </c>
      <c r="M1174" s="1" t="s">
        <v>44</v>
      </c>
      <c r="N1174" s="3">
        <v>70.77</v>
      </c>
      <c r="O1174" s="1" t="s">
        <v>2137</v>
      </c>
      <c r="P1174" s="1" t="s">
        <v>2076</v>
      </c>
      <c r="Q1174" s="1" t="str">
        <f>TEXT((Data[[#This Row],[Order_Date]]), "mmm")</f>
        <v>May</v>
      </c>
    </row>
    <row r="1175" spans="4:17" x14ac:dyDescent="0.3">
      <c r="D1175" s="1" t="s">
        <v>1237</v>
      </c>
      <c r="E1175" s="2">
        <v>45358</v>
      </c>
      <c r="F1175" s="2">
        <v>45362</v>
      </c>
      <c r="G1175" s="1" t="s">
        <v>36</v>
      </c>
      <c r="H1175" s="1" t="s">
        <v>23</v>
      </c>
      <c r="I1175" s="1" t="s">
        <v>24</v>
      </c>
      <c r="J1175" s="1" t="s">
        <v>25</v>
      </c>
      <c r="K1175" s="3">
        <v>1079.96</v>
      </c>
      <c r="L1175" s="1">
        <v>1</v>
      </c>
      <c r="M1175" s="1" t="s">
        <v>15</v>
      </c>
      <c r="N1175" s="3">
        <v>-159.16999999999999</v>
      </c>
      <c r="O1175" s="1" t="s">
        <v>2090</v>
      </c>
      <c r="P1175" s="1" t="s">
        <v>2076</v>
      </c>
      <c r="Q1175" s="1" t="str">
        <f>TEXT((Data[[#This Row],[Order_Date]]), "mmm")</f>
        <v>Mar</v>
      </c>
    </row>
    <row r="1176" spans="4:17" x14ac:dyDescent="0.3">
      <c r="D1176" s="1" t="s">
        <v>1238</v>
      </c>
      <c r="E1176" s="2">
        <v>45439</v>
      </c>
      <c r="F1176" s="2">
        <v>45446</v>
      </c>
      <c r="G1176" s="1" t="s">
        <v>31</v>
      </c>
      <c r="H1176" s="1" t="s">
        <v>12</v>
      </c>
      <c r="I1176" s="1" t="s">
        <v>13</v>
      </c>
      <c r="J1176" s="1" t="s">
        <v>96</v>
      </c>
      <c r="K1176" s="3">
        <v>2033.51</v>
      </c>
      <c r="L1176" s="1">
        <v>18</v>
      </c>
      <c r="M1176" s="1" t="s">
        <v>20</v>
      </c>
      <c r="N1176" s="3">
        <v>310.89</v>
      </c>
      <c r="O1176" s="1" t="s">
        <v>2296</v>
      </c>
      <c r="P1176" s="1" t="s">
        <v>2078</v>
      </c>
      <c r="Q1176" s="1" t="str">
        <f>TEXT((Data[[#This Row],[Order_Date]]), "mmm")</f>
        <v>May</v>
      </c>
    </row>
    <row r="1177" spans="4:17" x14ac:dyDescent="0.3">
      <c r="D1177" s="1" t="s">
        <v>1239</v>
      </c>
      <c r="E1177" s="2">
        <v>45519</v>
      </c>
      <c r="F1177" s="2">
        <v>45521</v>
      </c>
      <c r="G1177" s="1" t="s">
        <v>31</v>
      </c>
      <c r="H1177" s="1" t="s">
        <v>12</v>
      </c>
      <c r="I1177" s="1" t="s">
        <v>42</v>
      </c>
      <c r="J1177" s="1" t="s">
        <v>72</v>
      </c>
      <c r="K1177" s="3">
        <v>2245.9</v>
      </c>
      <c r="L1177" s="1">
        <v>6</v>
      </c>
      <c r="M1177" s="1" t="s">
        <v>15</v>
      </c>
      <c r="N1177" s="3">
        <v>375.11</v>
      </c>
      <c r="O1177" s="1" t="s">
        <v>2271</v>
      </c>
      <c r="P1177" s="1" t="s">
        <v>2078</v>
      </c>
      <c r="Q1177" s="1" t="str">
        <f>TEXT((Data[[#This Row],[Order_Date]]), "mmm")</f>
        <v>Aug</v>
      </c>
    </row>
    <row r="1178" spans="4:17" x14ac:dyDescent="0.3">
      <c r="D1178" s="1" t="s">
        <v>1240</v>
      </c>
      <c r="E1178" s="2">
        <v>45630</v>
      </c>
      <c r="F1178" s="2">
        <v>45631</v>
      </c>
      <c r="G1178" s="1" t="s">
        <v>31</v>
      </c>
      <c r="H1178" s="1" t="s">
        <v>12</v>
      </c>
      <c r="I1178" s="1" t="s">
        <v>13</v>
      </c>
      <c r="J1178" s="1" t="s">
        <v>51</v>
      </c>
      <c r="K1178" s="3">
        <v>1028.32</v>
      </c>
      <c r="L1178" s="1">
        <v>17</v>
      </c>
      <c r="M1178" s="1" t="s">
        <v>34</v>
      </c>
      <c r="N1178" s="3">
        <v>145.21</v>
      </c>
      <c r="O1178" s="1" t="s">
        <v>2171</v>
      </c>
      <c r="P1178" s="1" t="s">
        <v>2071</v>
      </c>
      <c r="Q1178" s="1" t="str">
        <f>TEXT((Data[[#This Row],[Order_Date]]), "mmm")</f>
        <v>Dec</v>
      </c>
    </row>
    <row r="1179" spans="4:17" x14ac:dyDescent="0.3">
      <c r="D1179" s="1" t="s">
        <v>1241</v>
      </c>
      <c r="E1179" s="2">
        <v>45523</v>
      </c>
      <c r="F1179" s="2">
        <v>45530</v>
      </c>
      <c r="G1179" s="1" t="s">
        <v>11</v>
      </c>
      <c r="H1179" s="1" t="s">
        <v>17</v>
      </c>
      <c r="I1179" s="1" t="s">
        <v>32</v>
      </c>
      <c r="J1179" s="1" t="s">
        <v>56</v>
      </c>
      <c r="K1179" s="3">
        <v>2590.9899999999998</v>
      </c>
      <c r="L1179" s="1">
        <v>19</v>
      </c>
      <c r="M1179" s="1" t="s">
        <v>49</v>
      </c>
      <c r="N1179" s="3">
        <v>452.43</v>
      </c>
      <c r="O1179" s="1" t="s">
        <v>2168</v>
      </c>
      <c r="P1179" s="1" t="s">
        <v>2071</v>
      </c>
      <c r="Q1179" s="1" t="str">
        <f>TEXT((Data[[#This Row],[Order_Date]]), "mmm")</f>
        <v>Aug</v>
      </c>
    </row>
    <row r="1180" spans="4:17" x14ac:dyDescent="0.3">
      <c r="D1180" s="1" t="s">
        <v>1242</v>
      </c>
      <c r="E1180" s="2">
        <v>45437</v>
      </c>
      <c r="F1180" s="2">
        <v>45444</v>
      </c>
      <c r="G1180" s="1" t="s">
        <v>22</v>
      </c>
      <c r="H1180" s="1" t="s">
        <v>23</v>
      </c>
      <c r="I1180" s="1" t="s">
        <v>78</v>
      </c>
      <c r="J1180" s="1" t="s">
        <v>79</v>
      </c>
      <c r="K1180" s="3">
        <v>2526.71</v>
      </c>
      <c r="L1180" s="1">
        <v>4</v>
      </c>
      <c r="M1180" s="1" t="s">
        <v>20</v>
      </c>
      <c r="N1180" s="3">
        <v>426.32</v>
      </c>
      <c r="O1180" s="1" t="s">
        <v>2259</v>
      </c>
      <c r="P1180" s="1" t="s">
        <v>2078</v>
      </c>
      <c r="Q1180" s="1" t="str">
        <f>TEXT((Data[[#This Row],[Order_Date]]), "mmm")</f>
        <v>May</v>
      </c>
    </row>
    <row r="1181" spans="4:17" x14ac:dyDescent="0.3">
      <c r="D1181" s="1" t="s">
        <v>1243</v>
      </c>
      <c r="E1181" s="2">
        <v>45348</v>
      </c>
      <c r="F1181" s="2">
        <v>45352</v>
      </c>
      <c r="G1181" s="1" t="s">
        <v>22</v>
      </c>
      <c r="H1181" s="1" t="s">
        <v>17</v>
      </c>
      <c r="I1181" s="1" t="s">
        <v>32</v>
      </c>
      <c r="J1181" s="1" t="s">
        <v>33</v>
      </c>
      <c r="K1181" s="3">
        <v>2312.7600000000002</v>
      </c>
      <c r="L1181" s="1">
        <v>12</v>
      </c>
      <c r="M1181" s="1" t="s">
        <v>44</v>
      </c>
      <c r="N1181" s="3">
        <v>405.78</v>
      </c>
      <c r="O1181" s="1" t="s">
        <v>2195</v>
      </c>
      <c r="P1181" s="1" t="s">
        <v>2076</v>
      </c>
      <c r="Q1181" s="1" t="str">
        <f>TEXT((Data[[#This Row],[Order_Date]]), "mmm")</f>
        <v>Feb</v>
      </c>
    </row>
    <row r="1182" spans="4:17" x14ac:dyDescent="0.3">
      <c r="D1182" s="1" t="s">
        <v>1244</v>
      </c>
      <c r="E1182" s="2">
        <v>45455</v>
      </c>
      <c r="F1182" s="2">
        <v>45460</v>
      </c>
      <c r="G1182" s="1" t="s">
        <v>11</v>
      </c>
      <c r="H1182" s="1" t="s">
        <v>12</v>
      </c>
      <c r="I1182" s="1" t="s">
        <v>13</v>
      </c>
      <c r="J1182" s="1" t="s">
        <v>96</v>
      </c>
      <c r="K1182" s="3">
        <v>1094.1199999999999</v>
      </c>
      <c r="L1182" s="1">
        <v>13</v>
      </c>
      <c r="M1182" s="1" t="s">
        <v>49</v>
      </c>
      <c r="N1182" s="3">
        <v>303.12</v>
      </c>
      <c r="O1182" s="1" t="s">
        <v>2160</v>
      </c>
      <c r="P1182" s="1" t="s">
        <v>2076</v>
      </c>
      <c r="Q1182" s="1" t="str">
        <f>TEXT((Data[[#This Row],[Order_Date]]), "mmm")</f>
        <v>Jun</v>
      </c>
    </row>
    <row r="1183" spans="4:17" x14ac:dyDescent="0.3">
      <c r="D1183" s="1" t="s">
        <v>1245</v>
      </c>
      <c r="E1183" s="2">
        <v>45522</v>
      </c>
      <c r="F1183" s="2">
        <v>45524</v>
      </c>
      <c r="G1183" s="1" t="s">
        <v>22</v>
      </c>
      <c r="H1183" s="1" t="s">
        <v>23</v>
      </c>
      <c r="I1183" s="1" t="s">
        <v>24</v>
      </c>
      <c r="J1183" s="1" t="s">
        <v>25</v>
      </c>
      <c r="K1183" s="3">
        <v>2247.5</v>
      </c>
      <c r="L1183" s="1">
        <v>11</v>
      </c>
      <c r="M1183" s="1" t="s">
        <v>49</v>
      </c>
      <c r="N1183" s="3">
        <v>554.80999999999995</v>
      </c>
      <c r="O1183" s="1" t="s">
        <v>2272</v>
      </c>
      <c r="P1183" s="1" t="s">
        <v>2076</v>
      </c>
      <c r="Q1183" s="1" t="str">
        <f>TEXT((Data[[#This Row],[Order_Date]]), "mmm")</f>
        <v>Aug</v>
      </c>
    </row>
    <row r="1184" spans="4:17" x14ac:dyDescent="0.3">
      <c r="D1184" s="1" t="s">
        <v>1246</v>
      </c>
      <c r="E1184" s="2">
        <v>45342</v>
      </c>
      <c r="F1184" s="2">
        <v>45348</v>
      </c>
      <c r="G1184" s="1" t="s">
        <v>31</v>
      </c>
      <c r="H1184" s="1" t="s">
        <v>23</v>
      </c>
      <c r="I1184" s="1" t="s">
        <v>65</v>
      </c>
      <c r="J1184" s="1" t="s">
        <v>66</v>
      </c>
      <c r="K1184" s="3">
        <v>2636.56</v>
      </c>
      <c r="L1184" s="1">
        <v>20</v>
      </c>
      <c r="M1184" s="1" t="s">
        <v>44</v>
      </c>
      <c r="N1184" s="3">
        <v>241.43</v>
      </c>
      <c r="O1184" s="1" t="s">
        <v>2118</v>
      </c>
      <c r="P1184" s="1" t="s">
        <v>2078</v>
      </c>
      <c r="Q1184" s="1" t="str">
        <f>TEXT((Data[[#This Row],[Order_Date]]), "mmm")</f>
        <v>Feb</v>
      </c>
    </row>
    <row r="1185" spans="4:17" x14ac:dyDescent="0.3">
      <c r="D1185" s="1" t="s">
        <v>1247</v>
      </c>
      <c r="E1185" s="2">
        <v>45333</v>
      </c>
      <c r="F1185" s="2">
        <v>45339</v>
      </c>
      <c r="G1185" s="1" t="s">
        <v>11</v>
      </c>
      <c r="H1185" s="1" t="s">
        <v>23</v>
      </c>
      <c r="I1185" s="1" t="s">
        <v>78</v>
      </c>
      <c r="J1185" s="1" t="s">
        <v>118</v>
      </c>
      <c r="K1185" s="3">
        <v>2384.9</v>
      </c>
      <c r="L1185" s="1">
        <v>16</v>
      </c>
      <c r="M1185" s="1" t="s">
        <v>15</v>
      </c>
      <c r="N1185" s="3">
        <v>184.33</v>
      </c>
      <c r="O1185" s="1" t="s">
        <v>2181</v>
      </c>
      <c r="P1185" s="1" t="s">
        <v>2078</v>
      </c>
      <c r="Q1185" s="1" t="str">
        <f>TEXT((Data[[#This Row],[Order_Date]]), "mmm")</f>
        <v>Feb</v>
      </c>
    </row>
    <row r="1186" spans="4:17" x14ac:dyDescent="0.3">
      <c r="D1186" s="1" t="s">
        <v>1248</v>
      </c>
      <c r="E1186" s="2">
        <v>45599</v>
      </c>
      <c r="F1186" s="2">
        <v>45605</v>
      </c>
      <c r="G1186" s="1" t="s">
        <v>22</v>
      </c>
      <c r="H1186" s="1" t="s">
        <v>17</v>
      </c>
      <c r="I1186" s="1" t="s">
        <v>27</v>
      </c>
      <c r="J1186" s="1" t="s">
        <v>110</v>
      </c>
      <c r="K1186" s="3">
        <v>2961.48</v>
      </c>
      <c r="L1186" s="1">
        <v>8</v>
      </c>
      <c r="M1186" s="1" t="s">
        <v>44</v>
      </c>
      <c r="N1186" s="3">
        <v>567.57000000000005</v>
      </c>
      <c r="O1186" s="1" t="s">
        <v>2084</v>
      </c>
      <c r="P1186" s="1" t="s">
        <v>2071</v>
      </c>
      <c r="Q1186" s="1" t="str">
        <f>TEXT((Data[[#This Row],[Order_Date]]), "mmm")</f>
        <v>Nov</v>
      </c>
    </row>
    <row r="1187" spans="4:17" x14ac:dyDescent="0.3">
      <c r="D1187" s="1" t="s">
        <v>1249</v>
      </c>
      <c r="E1187" s="2">
        <v>45394</v>
      </c>
      <c r="F1187" s="2">
        <v>45399</v>
      </c>
      <c r="G1187" s="1" t="s">
        <v>22</v>
      </c>
      <c r="H1187" s="1" t="s">
        <v>23</v>
      </c>
      <c r="I1187" s="1" t="s">
        <v>61</v>
      </c>
      <c r="J1187" s="1" t="s">
        <v>76</v>
      </c>
      <c r="K1187" s="3">
        <v>1026.28</v>
      </c>
      <c r="L1187" s="1">
        <v>15</v>
      </c>
      <c r="M1187" s="1" t="s">
        <v>49</v>
      </c>
      <c r="N1187" s="3">
        <v>126.76</v>
      </c>
      <c r="O1187" s="1" t="s">
        <v>2201</v>
      </c>
      <c r="P1187" s="1" t="s">
        <v>2071</v>
      </c>
      <c r="Q1187" s="1" t="str">
        <f>TEXT((Data[[#This Row],[Order_Date]]), "mmm")</f>
        <v>Apr</v>
      </c>
    </row>
    <row r="1188" spans="4:17" x14ac:dyDescent="0.3">
      <c r="D1188" s="1" t="s">
        <v>1250</v>
      </c>
      <c r="E1188" s="2">
        <v>45415</v>
      </c>
      <c r="F1188" s="2">
        <v>45417</v>
      </c>
      <c r="G1188" s="1" t="s">
        <v>31</v>
      </c>
      <c r="H1188" s="1" t="s">
        <v>12</v>
      </c>
      <c r="I1188" s="1" t="s">
        <v>38</v>
      </c>
      <c r="J1188" s="1" t="s">
        <v>39</v>
      </c>
      <c r="K1188" s="3">
        <v>3392.03</v>
      </c>
      <c r="L1188" s="1">
        <v>6</v>
      </c>
      <c r="M1188" s="1" t="s">
        <v>44</v>
      </c>
      <c r="N1188" s="3">
        <v>639.95000000000005</v>
      </c>
      <c r="O1188" s="1" t="s">
        <v>2261</v>
      </c>
      <c r="P1188" s="1" t="s">
        <v>2071</v>
      </c>
      <c r="Q1188" s="1" t="str">
        <f>TEXT((Data[[#This Row],[Order_Date]]), "mmm")</f>
        <v>May</v>
      </c>
    </row>
    <row r="1189" spans="4:17" x14ac:dyDescent="0.3">
      <c r="D1189" s="1" t="s">
        <v>1251</v>
      </c>
      <c r="E1189" s="2">
        <v>45295</v>
      </c>
      <c r="F1189" s="2">
        <v>45295</v>
      </c>
      <c r="G1189" s="1" t="s">
        <v>31</v>
      </c>
      <c r="H1189" s="1" t="s">
        <v>12</v>
      </c>
      <c r="I1189" s="1" t="s">
        <v>42</v>
      </c>
      <c r="J1189" s="1" t="s">
        <v>43</v>
      </c>
      <c r="K1189" s="3">
        <v>513.87</v>
      </c>
      <c r="L1189" s="1">
        <v>14</v>
      </c>
      <c r="M1189" s="1" t="s">
        <v>34</v>
      </c>
      <c r="N1189" s="3">
        <v>161.87</v>
      </c>
      <c r="O1189" s="1" t="s">
        <v>2207</v>
      </c>
      <c r="P1189" s="1" t="s">
        <v>2071</v>
      </c>
      <c r="Q1189" s="1" t="str">
        <f>TEXT((Data[[#This Row],[Order_Date]]), "mmm")</f>
        <v>Jan</v>
      </c>
    </row>
    <row r="1190" spans="4:17" x14ac:dyDescent="0.3">
      <c r="D1190" s="1" t="s">
        <v>1252</v>
      </c>
      <c r="E1190" s="2">
        <v>45602</v>
      </c>
      <c r="F1190" s="2">
        <v>45602</v>
      </c>
      <c r="G1190" s="1" t="s">
        <v>31</v>
      </c>
      <c r="H1190" s="1" t="s">
        <v>23</v>
      </c>
      <c r="I1190" s="1" t="s">
        <v>61</v>
      </c>
      <c r="J1190" s="1" t="s">
        <v>98</v>
      </c>
      <c r="K1190" s="3">
        <v>3293.73</v>
      </c>
      <c r="L1190" s="1">
        <v>2</v>
      </c>
      <c r="M1190" s="1" t="s">
        <v>34</v>
      </c>
      <c r="N1190" s="3">
        <v>559.37</v>
      </c>
      <c r="O1190" s="1" t="s">
        <v>2262</v>
      </c>
      <c r="P1190" s="1" t="s">
        <v>2078</v>
      </c>
      <c r="Q1190" s="1" t="str">
        <f>TEXT((Data[[#This Row],[Order_Date]]), "mmm")</f>
        <v>Nov</v>
      </c>
    </row>
    <row r="1191" spans="4:17" x14ac:dyDescent="0.3">
      <c r="D1191" s="1" t="s">
        <v>1253</v>
      </c>
      <c r="E1191" s="2">
        <v>45614</v>
      </c>
      <c r="F1191" s="2">
        <v>45621</v>
      </c>
      <c r="G1191" s="1" t="s">
        <v>31</v>
      </c>
      <c r="H1191" s="1" t="s">
        <v>17</v>
      </c>
      <c r="I1191" s="1" t="s">
        <v>18</v>
      </c>
      <c r="J1191" s="1" t="s">
        <v>19</v>
      </c>
      <c r="K1191" s="3">
        <v>3426.51</v>
      </c>
      <c r="L1191" s="1">
        <v>19</v>
      </c>
      <c r="M1191" s="1" t="s">
        <v>20</v>
      </c>
      <c r="N1191" s="3">
        <v>913.5</v>
      </c>
      <c r="O1191" s="1" t="s">
        <v>2259</v>
      </c>
      <c r="P1191" s="1" t="s">
        <v>2071</v>
      </c>
      <c r="Q1191" s="1" t="str">
        <f>TEXT((Data[[#This Row],[Order_Date]]), "mmm")</f>
        <v>Nov</v>
      </c>
    </row>
    <row r="1192" spans="4:17" x14ac:dyDescent="0.3">
      <c r="D1192" s="1" t="s">
        <v>1254</v>
      </c>
      <c r="E1192" s="2">
        <v>45628</v>
      </c>
      <c r="F1192" s="2">
        <v>45633</v>
      </c>
      <c r="G1192" s="1" t="s">
        <v>22</v>
      </c>
      <c r="H1192" s="1" t="s">
        <v>17</v>
      </c>
      <c r="I1192" s="1" t="s">
        <v>27</v>
      </c>
      <c r="J1192" s="1" t="s">
        <v>132</v>
      </c>
      <c r="K1192" s="3">
        <v>1241.9000000000001</v>
      </c>
      <c r="L1192" s="1">
        <v>11</v>
      </c>
      <c r="M1192" s="1" t="s">
        <v>15</v>
      </c>
      <c r="N1192" s="3">
        <v>320.55</v>
      </c>
      <c r="O1192" s="1" t="s">
        <v>2136</v>
      </c>
      <c r="P1192" s="1" t="s">
        <v>2071</v>
      </c>
      <c r="Q1192" s="1" t="str">
        <f>TEXT((Data[[#This Row],[Order_Date]]), "mmm")</f>
        <v>Dec</v>
      </c>
    </row>
    <row r="1193" spans="4:17" x14ac:dyDescent="0.3">
      <c r="D1193" s="1" t="s">
        <v>1255</v>
      </c>
      <c r="E1193" s="2">
        <v>45655</v>
      </c>
      <c r="F1193" s="2">
        <v>45662</v>
      </c>
      <c r="G1193" s="1" t="s">
        <v>22</v>
      </c>
      <c r="H1193" s="1" t="s">
        <v>23</v>
      </c>
      <c r="I1193" s="1" t="s">
        <v>24</v>
      </c>
      <c r="J1193" s="1" t="s">
        <v>93</v>
      </c>
      <c r="K1193" s="3">
        <v>2834.48</v>
      </c>
      <c r="L1193" s="1">
        <v>11</v>
      </c>
      <c r="M1193" s="1" t="s">
        <v>49</v>
      </c>
      <c r="N1193" s="3">
        <v>736.59</v>
      </c>
      <c r="O1193" s="1" t="s">
        <v>2311</v>
      </c>
      <c r="P1193" s="1" t="s">
        <v>2071</v>
      </c>
      <c r="Q1193" s="1" t="str">
        <f>TEXT((Data[[#This Row],[Order_Date]]), "mmm")</f>
        <v>Dec</v>
      </c>
    </row>
    <row r="1194" spans="4:17" x14ac:dyDescent="0.3">
      <c r="D1194" s="1" t="s">
        <v>1256</v>
      </c>
      <c r="E1194" s="2">
        <v>45596</v>
      </c>
      <c r="F1194" s="2">
        <v>45596</v>
      </c>
      <c r="G1194" s="1" t="s">
        <v>22</v>
      </c>
      <c r="H1194" s="1" t="s">
        <v>17</v>
      </c>
      <c r="I1194" s="1" t="s">
        <v>32</v>
      </c>
      <c r="J1194" s="1" t="s">
        <v>33</v>
      </c>
      <c r="K1194" s="3">
        <v>347.28</v>
      </c>
      <c r="L1194" s="1">
        <v>12</v>
      </c>
      <c r="M1194" s="1" t="s">
        <v>29</v>
      </c>
      <c r="N1194" s="3">
        <v>55.15</v>
      </c>
      <c r="O1194" s="1" t="s">
        <v>2151</v>
      </c>
      <c r="P1194" s="1" t="s">
        <v>2076</v>
      </c>
      <c r="Q1194" s="1" t="str">
        <f>TEXT((Data[[#This Row],[Order_Date]]), "mmm")</f>
        <v>Oct</v>
      </c>
    </row>
    <row r="1195" spans="4:17" x14ac:dyDescent="0.3">
      <c r="D1195" s="1" t="s">
        <v>1257</v>
      </c>
      <c r="E1195" s="2">
        <v>45373</v>
      </c>
      <c r="F1195" s="2">
        <v>45377</v>
      </c>
      <c r="G1195" s="1" t="s">
        <v>31</v>
      </c>
      <c r="H1195" s="1" t="s">
        <v>12</v>
      </c>
      <c r="I1195" s="1" t="s">
        <v>42</v>
      </c>
      <c r="J1195" s="1" t="s">
        <v>46</v>
      </c>
      <c r="K1195" s="3">
        <v>829.15</v>
      </c>
      <c r="L1195" s="1">
        <v>5</v>
      </c>
      <c r="M1195" s="1" t="s">
        <v>44</v>
      </c>
      <c r="N1195" s="3">
        <v>192.56</v>
      </c>
      <c r="O1195" s="1" t="s">
        <v>2305</v>
      </c>
      <c r="P1195" s="1" t="s">
        <v>2071</v>
      </c>
      <c r="Q1195" s="1" t="str">
        <f>TEXT((Data[[#This Row],[Order_Date]]), "mmm")</f>
        <v>Mar</v>
      </c>
    </row>
    <row r="1196" spans="4:17" x14ac:dyDescent="0.3">
      <c r="D1196" s="1" t="s">
        <v>1258</v>
      </c>
      <c r="E1196" s="2">
        <v>45423</v>
      </c>
      <c r="F1196" s="2">
        <v>45426</v>
      </c>
      <c r="G1196" s="1" t="s">
        <v>11</v>
      </c>
      <c r="H1196" s="1" t="s">
        <v>17</v>
      </c>
      <c r="I1196" s="1" t="s">
        <v>32</v>
      </c>
      <c r="J1196" s="1" t="s">
        <v>33</v>
      </c>
      <c r="K1196" s="3">
        <v>806.36</v>
      </c>
      <c r="L1196" s="1">
        <v>1</v>
      </c>
      <c r="M1196" s="1" t="s">
        <v>34</v>
      </c>
      <c r="N1196" s="3">
        <v>128.41</v>
      </c>
      <c r="O1196" s="1" t="s">
        <v>2101</v>
      </c>
      <c r="P1196" s="1" t="s">
        <v>2071</v>
      </c>
      <c r="Q1196" s="1" t="str">
        <f>TEXT((Data[[#This Row],[Order_Date]]), "mmm")</f>
        <v>May</v>
      </c>
    </row>
    <row r="1197" spans="4:17" x14ac:dyDescent="0.3">
      <c r="D1197" s="1" t="s">
        <v>1259</v>
      </c>
      <c r="E1197" s="2">
        <v>45556</v>
      </c>
      <c r="F1197" s="2">
        <v>45562</v>
      </c>
      <c r="G1197" s="1" t="s">
        <v>31</v>
      </c>
      <c r="H1197" s="1" t="s">
        <v>12</v>
      </c>
      <c r="I1197" s="1" t="s">
        <v>58</v>
      </c>
      <c r="J1197" s="1" t="s">
        <v>105</v>
      </c>
      <c r="K1197" s="3">
        <v>2664.44</v>
      </c>
      <c r="L1197" s="1">
        <v>19</v>
      </c>
      <c r="M1197" s="1" t="s">
        <v>29</v>
      </c>
      <c r="N1197" s="3">
        <v>384.45</v>
      </c>
      <c r="O1197" s="1" t="s">
        <v>2312</v>
      </c>
      <c r="P1197" s="1" t="s">
        <v>2076</v>
      </c>
      <c r="Q1197" s="1" t="str">
        <f>TEXT((Data[[#This Row],[Order_Date]]), "mmm")</f>
        <v>Sep</v>
      </c>
    </row>
    <row r="1198" spans="4:17" x14ac:dyDescent="0.3">
      <c r="D1198" s="1" t="s">
        <v>1260</v>
      </c>
      <c r="E1198" s="2">
        <v>45540</v>
      </c>
      <c r="F1198" s="2">
        <v>45542</v>
      </c>
      <c r="G1198" s="1" t="s">
        <v>31</v>
      </c>
      <c r="H1198" s="1" t="s">
        <v>17</v>
      </c>
      <c r="I1198" s="1" t="s">
        <v>27</v>
      </c>
      <c r="J1198" s="1" t="s">
        <v>108</v>
      </c>
      <c r="K1198" s="3">
        <v>303.37</v>
      </c>
      <c r="L1198" s="1">
        <v>3</v>
      </c>
      <c r="M1198" s="1" t="s">
        <v>34</v>
      </c>
      <c r="N1198" s="3">
        <v>35.630000000000003</v>
      </c>
      <c r="O1198" s="1" t="s">
        <v>2271</v>
      </c>
      <c r="P1198" s="1" t="s">
        <v>2078</v>
      </c>
      <c r="Q1198" s="1" t="str">
        <f>TEXT((Data[[#This Row],[Order_Date]]), "mmm")</f>
        <v>Sep</v>
      </c>
    </row>
    <row r="1199" spans="4:17" x14ac:dyDescent="0.3">
      <c r="D1199" s="1" t="s">
        <v>1261</v>
      </c>
      <c r="E1199" s="2">
        <v>45368</v>
      </c>
      <c r="F1199" s="2">
        <v>45372</v>
      </c>
      <c r="G1199" s="1" t="s">
        <v>11</v>
      </c>
      <c r="H1199" s="1" t="s">
        <v>12</v>
      </c>
      <c r="I1199" s="1" t="s">
        <v>58</v>
      </c>
      <c r="J1199" s="1" t="s">
        <v>105</v>
      </c>
      <c r="K1199" s="3">
        <v>2120.46</v>
      </c>
      <c r="L1199" s="1">
        <v>19</v>
      </c>
      <c r="M1199" s="1" t="s">
        <v>15</v>
      </c>
      <c r="N1199" s="3">
        <v>682.56</v>
      </c>
      <c r="O1199" s="1" t="s">
        <v>2108</v>
      </c>
      <c r="P1199" s="1" t="s">
        <v>2078</v>
      </c>
      <c r="Q1199" s="1" t="str">
        <f>TEXT((Data[[#This Row],[Order_Date]]), "mmm")</f>
        <v>Mar</v>
      </c>
    </row>
    <row r="1200" spans="4:17" x14ac:dyDescent="0.3">
      <c r="D1200" s="1" t="s">
        <v>1262</v>
      </c>
      <c r="E1200" s="2">
        <v>45560</v>
      </c>
      <c r="F1200" s="2">
        <v>45563</v>
      </c>
      <c r="G1200" s="1" t="s">
        <v>22</v>
      </c>
      <c r="H1200" s="1" t="s">
        <v>23</v>
      </c>
      <c r="I1200" s="1" t="s">
        <v>61</v>
      </c>
      <c r="J1200" s="1" t="s">
        <v>98</v>
      </c>
      <c r="K1200" s="3">
        <v>2599.0100000000002</v>
      </c>
      <c r="L1200" s="1">
        <v>11</v>
      </c>
      <c r="M1200" s="1" t="s">
        <v>29</v>
      </c>
      <c r="N1200" s="3">
        <v>182.34</v>
      </c>
      <c r="O1200" s="1" t="s">
        <v>2217</v>
      </c>
      <c r="P1200" s="1" t="s">
        <v>2071</v>
      </c>
      <c r="Q1200" s="1" t="str">
        <f>TEXT((Data[[#This Row],[Order_Date]]), "mmm")</f>
        <v>Sep</v>
      </c>
    </row>
    <row r="1201" spans="4:17" x14ac:dyDescent="0.3">
      <c r="D1201" s="1" t="s">
        <v>1263</v>
      </c>
      <c r="E1201" s="2">
        <v>45565</v>
      </c>
      <c r="F1201" s="2">
        <v>45566</v>
      </c>
      <c r="G1201" s="1" t="s">
        <v>11</v>
      </c>
      <c r="H1201" s="1" t="s">
        <v>23</v>
      </c>
      <c r="I1201" s="1" t="s">
        <v>78</v>
      </c>
      <c r="J1201" s="1" t="s">
        <v>118</v>
      </c>
      <c r="K1201" s="3">
        <v>1210.27</v>
      </c>
      <c r="L1201" s="1">
        <v>6</v>
      </c>
      <c r="M1201" s="1" t="s">
        <v>15</v>
      </c>
      <c r="N1201" s="3">
        <v>400.48</v>
      </c>
      <c r="O1201" s="1" t="s">
        <v>2291</v>
      </c>
      <c r="P1201" s="1" t="s">
        <v>2078</v>
      </c>
      <c r="Q1201" s="1" t="str">
        <f>TEXT((Data[[#This Row],[Order_Date]]), "mmm")</f>
        <v>Sep</v>
      </c>
    </row>
    <row r="1202" spans="4:17" x14ac:dyDescent="0.3">
      <c r="D1202" s="1" t="s">
        <v>1264</v>
      </c>
      <c r="E1202" s="2">
        <v>45408</v>
      </c>
      <c r="F1202" s="2">
        <v>45415</v>
      </c>
      <c r="G1202" s="1" t="s">
        <v>22</v>
      </c>
      <c r="H1202" s="1" t="s">
        <v>17</v>
      </c>
      <c r="I1202" s="1" t="s">
        <v>32</v>
      </c>
      <c r="J1202" s="1" t="s">
        <v>33</v>
      </c>
      <c r="K1202" s="3">
        <v>2319.91</v>
      </c>
      <c r="L1202" s="1">
        <v>3</v>
      </c>
      <c r="M1202" s="1" t="s">
        <v>15</v>
      </c>
      <c r="N1202" s="3">
        <v>248.24</v>
      </c>
      <c r="O1202" s="1" t="s">
        <v>2259</v>
      </c>
      <c r="P1202" s="1" t="s">
        <v>2071</v>
      </c>
      <c r="Q1202" s="1" t="str">
        <f>TEXT((Data[[#This Row],[Order_Date]]), "mmm")</f>
        <v>Apr</v>
      </c>
    </row>
    <row r="1203" spans="4:17" x14ac:dyDescent="0.3">
      <c r="D1203" s="1" t="s">
        <v>1265</v>
      </c>
      <c r="E1203" s="2">
        <v>45324</v>
      </c>
      <c r="F1203" s="2">
        <v>45326</v>
      </c>
      <c r="G1203" s="1" t="s">
        <v>36</v>
      </c>
      <c r="H1203" s="1" t="s">
        <v>17</v>
      </c>
      <c r="I1203" s="1" t="s">
        <v>18</v>
      </c>
      <c r="J1203" s="1" t="s">
        <v>19</v>
      </c>
      <c r="K1203" s="3">
        <v>1164.78</v>
      </c>
      <c r="L1203" s="1">
        <v>19</v>
      </c>
      <c r="M1203" s="1" t="s">
        <v>49</v>
      </c>
      <c r="N1203" s="3">
        <v>220.47</v>
      </c>
      <c r="O1203" s="1" t="s">
        <v>2163</v>
      </c>
      <c r="P1203" s="1" t="s">
        <v>2076</v>
      </c>
      <c r="Q1203" s="1" t="str">
        <f>TEXT((Data[[#This Row],[Order_Date]]), "mmm")</f>
        <v>Feb</v>
      </c>
    </row>
    <row r="1204" spans="4:17" x14ac:dyDescent="0.3">
      <c r="D1204" s="1" t="s">
        <v>1266</v>
      </c>
      <c r="E1204" s="2">
        <v>45318</v>
      </c>
      <c r="F1204" s="2">
        <v>45323</v>
      </c>
      <c r="G1204" s="1" t="s">
        <v>11</v>
      </c>
      <c r="H1204" s="1" t="s">
        <v>17</v>
      </c>
      <c r="I1204" s="1" t="s">
        <v>27</v>
      </c>
      <c r="J1204" s="1" t="s">
        <v>28</v>
      </c>
      <c r="K1204" s="3">
        <v>1907.12</v>
      </c>
      <c r="L1204" s="1">
        <v>16</v>
      </c>
      <c r="M1204" s="1" t="s">
        <v>44</v>
      </c>
      <c r="N1204" s="3">
        <v>152.5</v>
      </c>
      <c r="O1204" s="1" t="s">
        <v>2289</v>
      </c>
      <c r="P1204" s="1" t="s">
        <v>2076</v>
      </c>
      <c r="Q1204" s="1" t="str">
        <f>TEXT((Data[[#This Row],[Order_Date]]), "mmm")</f>
        <v>Jan</v>
      </c>
    </row>
    <row r="1205" spans="4:17" x14ac:dyDescent="0.3">
      <c r="D1205" s="1" t="s">
        <v>1267</v>
      </c>
      <c r="E1205" s="2">
        <v>45598</v>
      </c>
      <c r="F1205" s="2">
        <v>45605</v>
      </c>
      <c r="G1205" s="1" t="s">
        <v>36</v>
      </c>
      <c r="H1205" s="1" t="s">
        <v>12</v>
      </c>
      <c r="I1205" s="1" t="s">
        <v>38</v>
      </c>
      <c r="J1205" s="1" t="s">
        <v>39</v>
      </c>
      <c r="K1205" s="3">
        <v>1861.58</v>
      </c>
      <c r="L1205" s="1">
        <v>4</v>
      </c>
      <c r="M1205" s="1" t="s">
        <v>15</v>
      </c>
      <c r="N1205" s="3">
        <v>588.17999999999995</v>
      </c>
      <c r="O1205" s="1" t="s">
        <v>2274</v>
      </c>
      <c r="P1205" s="1" t="s">
        <v>2078</v>
      </c>
      <c r="Q1205" s="1" t="str">
        <f>TEXT((Data[[#This Row],[Order_Date]]), "mmm")</f>
        <v>Nov</v>
      </c>
    </row>
    <row r="1206" spans="4:17" x14ac:dyDescent="0.3">
      <c r="D1206" s="1" t="s">
        <v>1268</v>
      </c>
      <c r="E1206" s="2">
        <v>45391</v>
      </c>
      <c r="F1206" s="2">
        <v>45398</v>
      </c>
      <c r="G1206" s="1" t="s">
        <v>11</v>
      </c>
      <c r="H1206" s="1" t="s">
        <v>23</v>
      </c>
      <c r="I1206" s="1" t="s">
        <v>65</v>
      </c>
      <c r="J1206" s="1" t="s">
        <v>122</v>
      </c>
      <c r="K1206" s="3">
        <v>1265.29</v>
      </c>
      <c r="L1206" s="1">
        <v>6</v>
      </c>
      <c r="M1206" s="1" t="s">
        <v>34</v>
      </c>
      <c r="N1206" s="3">
        <v>255.83</v>
      </c>
      <c r="O1206" s="1" t="s">
        <v>2261</v>
      </c>
      <c r="P1206" s="1" t="s">
        <v>2071</v>
      </c>
      <c r="Q1206" s="1" t="str">
        <f>TEXT((Data[[#This Row],[Order_Date]]), "mmm")</f>
        <v>Apr</v>
      </c>
    </row>
    <row r="1207" spans="4:17" x14ac:dyDescent="0.3">
      <c r="D1207" s="1" t="s">
        <v>1269</v>
      </c>
      <c r="E1207" s="2">
        <v>45622</v>
      </c>
      <c r="F1207" s="2">
        <v>45626</v>
      </c>
      <c r="G1207" s="1" t="s">
        <v>36</v>
      </c>
      <c r="H1207" s="1" t="s">
        <v>12</v>
      </c>
      <c r="I1207" s="1" t="s">
        <v>58</v>
      </c>
      <c r="J1207" s="1" t="s">
        <v>105</v>
      </c>
      <c r="K1207" s="3">
        <v>1282.33</v>
      </c>
      <c r="L1207" s="1">
        <v>18</v>
      </c>
      <c r="M1207" s="1" t="s">
        <v>29</v>
      </c>
      <c r="N1207" s="3">
        <v>182.91</v>
      </c>
      <c r="O1207" s="1" t="s">
        <v>2261</v>
      </c>
      <c r="P1207" s="1" t="s">
        <v>2076</v>
      </c>
      <c r="Q1207" s="1" t="str">
        <f>TEXT((Data[[#This Row],[Order_Date]]), "mmm")</f>
        <v>Nov</v>
      </c>
    </row>
    <row r="1208" spans="4:17" x14ac:dyDescent="0.3">
      <c r="D1208" s="1" t="s">
        <v>1270</v>
      </c>
      <c r="E1208" s="2">
        <v>45385</v>
      </c>
      <c r="F1208" s="2">
        <v>45392</v>
      </c>
      <c r="G1208" s="1" t="s">
        <v>11</v>
      </c>
      <c r="H1208" s="1" t="s">
        <v>23</v>
      </c>
      <c r="I1208" s="1" t="s">
        <v>65</v>
      </c>
      <c r="J1208" s="1" t="s">
        <v>114</v>
      </c>
      <c r="K1208" s="3">
        <v>861.74</v>
      </c>
      <c r="L1208" s="1">
        <v>3</v>
      </c>
      <c r="M1208" s="1" t="s">
        <v>49</v>
      </c>
      <c r="N1208" s="3">
        <v>-217.07</v>
      </c>
      <c r="O1208" s="1" t="s">
        <v>2218</v>
      </c>
      <c r="P1208" s="1" t="s">
        <v>2071</v>
      </c>
      <c r="Q1208" s="1" t="str">
        <f>TEXT((Data[[#This Row],[Order_Date]]), "mmm")</f>
        <v>Apr</v>
      </c>
    </row>
    <row r="1209" spans="4:17" x14ac:dyDescent="0.3">
      <c r="D1209" s="1" t="s">
        <v>1271</v>
      </c>
      <c r="E1209" s="2">
        <v>45518</v>
      </c>
      <c r="F1209" s="2">
        <v>45523</v>
      </c>
      <c r="G1209" s="1" t="s">
        <v>22</v>
      </c>
      <c r="H1209" s="1" t="s">
        <v>17</v>
      </c>
      <c r="I1209" s="1" t="s">
        <v>18</v>
      </c>
      <c r="J1209" s="1" t="s">
        <v>19</v>
      </c>
      <c r="K1209" s="3">
        <v>1049.56</v>
      </c>
      <c r="L1209" s="1">
        <v>17</v>
      </c>
      <c r="M1209" s="1" t="s">
        <v>34</v>
      </c>
      <c r="N1209" s="3">
        <v>153.24</v>
      </c>
      <c r="O1209" s="1" t="s">
        <v>2273</v>
      </c>
      <c r="P1209" s="1" t="s">
        <v>2071</v>
      </c>
      <c r="Q1209" s="1" t="str">
        <f>TEXT((Data[[#This Row],[Order_Date]]), "mmm")</f>
        <v>Aug</v>
      </c>
    </row>
    <row r="1210" spans="4:17" x14ac:dyDescent="0.3">
      <c r="D1210" s="1" t="s">
        <v>1272</v>
      </c>
      <c r="E1210" s="2">
        <v>45344</v>
      </c>
      <c r="F1210" s="2">
        <v>45348</v>
      </c>
      <c r="G1210" s="1" t="s">
        <v>22</v>
      </c>
      <c r="H1210" s="1" t="s">
        <v>12</v>
      </c>
      <c r="I1210" s="1" t="s">
        <v>58</v>
      </c>
      <c r="J1210" s="1" t="s">
        <v>105</v>
      </c>
      <c r="K1210" s="3">
        <v>836.45</v>
      </c>
      <c r="L1210" s="1">
        <v>13</v>
      </c>
      <c r="M1210" s="1" t="s">
        <v>44</v>
      </c>
      <c r="N1210" s="3">
        <v>255.71</v>
      </c>
      <c r="O1210" s="1" t="s">
        <v>2257</v>
      </c>
      <c r="P1210" s="1" t="s">
        <v>2078</v>
      </c>
      <c r="Q1210" s="1" t="str">
        <f>TEXT((Data[[#This Row],[Order_Date]]), "mmm")</f>
        <v>Feb</v>
      </c>
    </row>
    <row r="1211" spans="4:17" x14ac:dyDescent="0.3">
      <c r="D1211" s="1" t="s">
        <v>1273</v>
      </c>
      <c r="E1211" s="2">
        <v>45372</v>
      </c>
      <c r="F1211" s="2">
        <v>45377</v>
      </c>
      <c r="G1211" s="1" t="s">
        <v>31</v>
      </c>
      <c r="H1211" s="1" t="s">
        <v>12</v>
      </c>
      <c r="I1211" s="1" t="s">
        <v>42</v>
      </c>
      <c r="J1211" s="1" t="s">
        <v>46</v>
      </c>
      <c r="K1211" s="3">
        <v>1107.71</v>
      </c>
      <c r="L1211" s="1">
        <v>9</v>
      </c>
      <c r="M1211" s="1" t="s">
        <v>49</v>
      </c>
      <c r="N1211" s="3">
        <v>365.88</v>
      </c>
      <c r="O1211" s="1" t="s">
        <v>2200</v>
      </c>
      <c r="P1211" s="1" t="s">
        <v>2076</v>
      </c>
      <c r="Q1211" s="1" t="str">
        <f>TEXT((Data[[#This Row],[Order_Date]]), "mmm")</f>
        <v>Mar</v>
      </c>
    </row>
    <row r="1212" spans="4:17" x14ac:dyDescent="0.3">
      <c r="D1212" s="1" t="s">
        <v>1274</v>
      </c>
      <c r="E1212" s="2">
        <v>45481</v>
      </c>
      <c r="F1212" s="2">
        <v>45483</v>
      </c>
      <c r="G1212" s="1" t="s">
        <v>36</v>
      </c>
      <c r="H1212" s="1" t="s">
        <v>23</v>
      </c>
      <c r="I1212" s="1" t="s">
        <v>24</v>
      </c>
      <c r="J1212" s="1" t="s">
        <v>150</v>
      </c>
      <c r="K1212" s="3">
        <v>1432.55</v>
      </c>
      <c r="L1212" s="1">
        <v>10</v>
      </c>
      <c r="M1212" s="1" t="s">
        <v>49</v>
      </c>
      <c r="N1212" s="3">
        <v>313.70999999999998</v>
      </c>
      <c r="O1212" s="1" t="s">
        <v>2252</v>
      </c>
      <c r="P1212" s="1" t="s">
        <v>2078</v>
      </c>
      <c r="Q1212" s="1" t="str">
        <f>TEXT((Data[[#This Row],[Order_Date]]), "mmm")</f>
        <v>Jul</v>
      </c>
    </row>
    <row r="1213" spans="4:17" x14ac:dyDescent="0.3">
      <c r="D1213" s="1" t="s">
        <v>1275</v>
      </c>
      <c r="E1213" s="2">
        <v>45294</v>
      </c>
      <c r="F1213" s="2">
        <v>45300</v>
      </c>
      <c r="G1213" s="1" t="s">
        <v>11</v>
      </c>
      <c r="H1213" s="1" t="s">
        <v>23</v>
      </c>
      <c r="I1213" s="1" t="s">
        <v>24</v>
      </c>
      <c r="J1213" s="1" t="s">
        <v>150</v>
      </c>
      <c r="K1213" s="3">
        <v>3270.14</v>
      </c>
      <c r="L1213" s="1">
        <v>15</v>
      </c>
      <c r="M1213" s="1" t="s">
        <v>34</v>
      </c>
      <c r="N1213" s="3">
        <v>182.62</v>
      </c>
      <c r="O1213" s="1" t="s">
        <v>2191</v>
      </c>
      <c r="P1213" s="1" t="s">
        <v>2071</v>
      </c>
      <c r="Q1213" s="1" t="str">
        <f>TEXT((Data[[#This Row],[Order_Date]]), "mmm")</f>
        <v>Jan</v>
      </c>
    </row>
    <row r="1214" spans="4:17" x14ac:dyDescent="0.3">
      <c r="D1214" s="1" t="s">
        <v>1276</v>
      </c>
      <c r="E1214" s="2">
        <v>45398</v>
      </c>
      <c r="F1214" s="2">
        <v>45402</v>
      </c>
      <c r="G1214" s="1" t="s">
        <v>36</v>
      </c>
      <c r="H1214" s="1" t="s">
        <v>23</v>
      </c>
      <c r="I1214" s="1" t="s">
        <v>61</v>
      </c>
      <c r="J1214" s="1" t="s">
        <v>98</v>
      </c>
      <c r="K1214" s="3">
        <v>1853.12</v>
      </c>
      <c r="L1214" s="1">
        <v>13</v>
      </c>
      <c r="M1214" s="1" t="s">
        <v>34</v>
      </c>
      <c r="N1214" s="3">
        <v>402.91</v>
      </c>
      <c r="O1214" s="1" t="s">
        <v>2272</v>
      </c>
      <c r="P1214" s="1" t="s">
        <v>2078</v>
      </c>
      <c r="Q1214" s="1" t="str">
        <f>TEXT((Data[[#This Row],[Order_Date]]), "mmm")</f>
        <v>Apr</v>
      </c>
    </row>
    <row r="1215" spans="4:17" x14ac:dyDescent="0.3">
      <c r="D1215" s="1" t="s">
        <v>1277</v>
      </c>
      <c r="E1215" s="2">
        <v>45402</v>
      </c>
      <c r="F1215" s="2">
        <v>45409</v>
      </c>
      <c r="G1215" s="1" t="s">
        <v>36</v>
      </c>
      <c r="H1215" s="1" t="s">
        <v>17</v>
      </c>
      <c r="I1215" s="1" t="s">
        <v>18</v>
      </c>
      <c r="J1215" s="1" t="s">
        <v>19</v>
      </c>
      <c r="K1215" s="3">
        <v>851.57</v>
      </c>
      <c r="L1215" s="1">
        <v>16</v>
      </c>
      <c r="M1215" s="1" t="s">
        <v>15</v>
      </c>
      <c r="N1215" s="3">
        <v>194.06</v>
      </c>
      <c r="O1215" s="1" t="s">
        <v>2246</v>
      </c>
      <c r="P1215" s="1" t="s">
        <v>2071</v>
      </c>
      <c r="Q1215" s="1" t="str">
        <f>TEXT((Data[[#This Row],[Order_Date]]), "mmm")</f>
        <v>Apr</v>
      </c>
    </row>
    <row r="1216" spans="4:17" x14ac:dyDescent="0.3">
      <c r="D1216" s="1" t="s">
        <v>1278</v>
      </c>
      <c r="E1216" s="2">
        <v>45315</v>
      </c>
      <c r="F1216" s="2">
        <v>45321</v>
      </c>
      <c r="G1216" s="1" t="s">
        <v>31</v>
      </c>
      <c r="H1216" s="1" t="s">
        <v>17</v>
      </c>
      <c r="I1216" s="1" t="s">
        <v>27</v>
      </c>
      <c r="J1216" s="1" t="s">
        <v>108</v>
      </c>
      <c r="K1216" s="3">
        <v>472.44</v>
      </c>
      <c r="L1216" s="1">
        <v>2</v>
      </c>
      <c r="M1216" s="1" t="s">
        <v>15</v>
      </c>
      <c r="N1216" s="3">
        <v>72.19</v>
      </c>
      <c r="O1216" s="1" t="s">
        <v>2119</v>
      </c>
      <c r="P1216" s="1" t="s">
        <v>2071</v>
      </c>
      <c r="Q1216" s="1" t="str">
        <f>TEXT((Data[[#This Row],[Order_Date]]), "mmm")</f>
        <v>Jan</v>
      </c>
    </row>
    <row r="1217" spans="4:17" x14ac:dyDescent="0.3">
      <c r="D1217" s="1" t="s">
        <v>1279</v>
      </c>
      <c r="E1217" s="2">
        <v>45516</v>
      </c>
      <c r="F1217" s="2">
        <v>45520</v>
      </c>
      <c r="G1217" s="1" t="s">
        <v>11</v>
      </c>
      <c r="H1217" s="1" t="s">
        <v>23</v>
      </c>
      <c r="I1217" s="1" t="s">
        <v>78</v>
      </c>
      <c r="J1217" s="1" t="s">
        <v>118</v>
      </c>
      <c r="K1217" s="3">
        <v>1467.05</v>
      </c>
      <c r="L1217" s="1">
        <v>14</v>
      </c>
      <c r="M1217" s="1" t="s">
        <v>44</v>
      </c>
      <c r="N1217" s="3">
        <v>457.99</v>
      </c>
      <c r="O1217" s="1" t="s">
        <v>2183</v>
      </c>
      <c r="P1217" s="1" t="s">
        <v>2071</v>
      </c>
      <c r="Q1217" s="1" t="str">
        <f>TEXT((Data[[#This Row],[Order_Date]]), "mmm")</f>
        <v>Aug</v>
      </c>
    </row>
    <row r="1218" spans="4:17" x14ac:dyDescent="0.3">
      <c r="D1218" s="1" t="s">
        <v>1280</v>
      </c>
      <c r="E1218" s="2">
        <v>45585</v>
      </c>
      <c r="F1218" s="2">
        <v>45588</v>
      </c>
      <c r="G1218" s="1" t="s">
        <v>11</v>
      </c>
      <c r="H1218" s="1" t="s">
        <v>23</v>
      </c>
      <c r="I1218" s="1" t="s">
        <v>78</v>
      </c>
      <c r="J1218" s="1" t="s">
        <v>79</v>
      </c>
      <c r="K1218" s="3">
        <v>2397.75</v>
      </c>
      <c r="L1218" s="1">
        <v>9</v>
      </c>
      <c r="M1218" s="1" t="s">
        <v>29</v>
      </c>
      <c r="N1218" s="3">
        <v>501.87</v>
      </c>
      <c r="O1218" s="1" t="s">
        <v>2178</v>
      </c>
      <c r="P1218" s="1" t="s">
        <v>2076</v>
      </c>
      <c r="Q1218" s="1" t="str">
        <f>TEXT((Data[[#This Row],[Order_Date]]), "mmm")</f>
        <v>Oct</v>
      </c>
    </row>
    <row r="1219" spans="4:17" x14ac:dyDescent="0.3">
      <c r="D1219" s="1" t="s">
        <v>1281</v>
      </c>
      <c r="E1219" s="2">
        <v>45303</v>
      </c>
      <c r="F1219" s="2">
        <v>45305</v>
      </c>
      <c r="G1219" s="1" t="s">
        <v>11</v>
      </c>
      <c r="H1219" s="1" t="s">
        <v>12</v>
      </c>
      <c r="I1219" s="1" t="s">
        <v>13</v>
      </c>
      <c r="J1219" s="1" t="s">
        <v>129</v>
      </c>
      <c r="K1219" s="3">
        <v>3644.14</v>
      </c>
      <c r="L1219" s="1">
        <v>15</v>
      </c>
      <c r="M1219" s="1" t="s">
        <v>15</v>
      </c>
      <c r="N1219" s="3">
        <v>1149.27</v>
      </c>
      <c r="O1219" s="1" t="s">
        <v>2263</v>
      </c>
      <c r="P1219" s="1" t="s">
        <v>2071</v>
      </c>
      <c r="Q1219" s="1" t="str">
        <f>TEXT((Data[[#This Row],[Order_Date]]), "mmm")</f>
        <v>Jan</v>
      </c>
    </row>
    <row r="1220" spans="4:17" x14ac:dyDescent="0.3">
      <c r="D1220" s="1" t="s">
        <v>1282</v>
      </c>
      <c r="E1220" s="2">
        <v>45531</v>
      </c>
      <c r="F1220" s="2">
        <v>45534</v>
      </c>
      <c r="G1220" s="1" t="s">
        <v>31</v>
      </c>
      <c r="H1220" s="1" t="s">
        <v>23</v>
      </c>
      <c r="I1220" s="1" t="s">
        <v>24</v>
      </c>
      <c r="J1220" s="1" t="s">
        <v>25</v>
      </c>
      <c r="K1220" s="3">
        <v>2791.26</v>
      </c>
      <c r="L1220" s="1">
        <v>9</v>
      </c>
      <c r="M1220" s="1" t="s">
        <v>34</v>
      </c>
      <c r="N1220" s="3">
        <v>645.02</v>
      </c>
      <c r="O1220" s="1" t="s">
        <v>2278</v>
      </c>
      <c r="P1220" s="1" t="s">
        <v>2071</v>
      </c>
      <c r="Q1220" s="1" t="str">
        <f>TEXT((Data[[#This Row],[Order_Date]]), "mmm")</f>
        <v>Aug</v>
      </c>
    </row>
    <row r="1221" spans="4:17" x14ac:dyDescent="0.3">
      <c r="D1221" s="1" t="s">
        <v>1283</v>
      </c>
      <c r="E1221" s="2">
        <v>45363</v>
      </c>
      <c r="F1221" s="2">
        <v>45364</v>
      </c>
      <c r="G1221" s="1" t="s">
        <v>31</v>
      </c>
      <c r="H1221" s="1" t="s">
        <v>23</v>
      </c>
      <c r="I1221" s="1" t="s">
        <v>65</v>
      </c>
      <c r="J1221" s="1" t="s">
        <v>114</v>
      </c>
      <c r="K1221" s="3">
        <v>3242.86</v>
      </c>
      <c r="L1221" s="1">
        <v>17</v>
      </c>
      <c r="M1221" s="1" t="s">
        <v>20</v>
      </c>
      <c r="N1221" s="3">
        <v>1050.3499999999999</v>
      </c>
      <c r="O1221" s="1" t="s">
        <v>2178</v>
      </c>
      <c r="P1221" s="1" t="s">
        <v>2076</v>
      </c>
      <c r="Q1221" s="1" t="str">
        <f>TEXT((Data[[#This Row],[Order_Date]]), "mmm")</f>
        <v>Mar</v>
      </c>
    </row>
    <row r="1222" spans="4:17" x14ac:dyDescent="0.3">
      <c r="D1222" s="1" t="s">
        <v>1284</v>
      </c>
      <c r="E1222" s="2">
        <v>45300</v>
      </c>
      <c r="F1222" s="2">
        <v>45306</v>
      </c>
      <c r="G1222" s="1" t="s">
        <v>11</v>
      </c>
      <c r="H1222" s="1" t="s">
        <v>12</v>
      </c>
      <c r="I1222" s="1" t="s">
        <v>13</v>
      </c>
      <c r="J1222" s="1" t="s">
        <v>96</v>
      </c>
      <c r="K1222" s="3">
        <v>1309.92</v>
      </c>
      <c r="L1222" s="1">
        <v>11</v>
      </c>
      <c r="M1222" s="1" t="s">
        <v>15</v>
      </c>
      <c r="N1222" s="3">
        <v>-91.87</v>
      </c>
      <c r="O1222" s="1" t="s">
        <v>2070</v>
      </c>
      <c r="P1222" s="1" t="s">
        <v>2076</v>
      </c>
      <c r="Q1222" s="1" t="str">
        <f>TEXT((Data[[#This Row],[Order_Date]]), "mmm")</f>
        <v>Jan</v>
      </c>
    </row>
    <row r="1223" spans="4:17" x14ac:dyDescent="0.3">
      <c r="D1223" s="1" t="s">
        <v>1285</v>
      </c>
      <c r="E1223" s="2">
        <v>45339</v>
      </c>
      <c r="F1223" s="2">
        <v>45340</v>
      </c>
      <c r="G1223" s="1" t="s">
        <v>22</v>
      </c>
      <c r="H1223" s="1" t="s">
        <v>12</v>
      </c>
      <c r="I1223" s="1" t="s">
        <v>38</v>
      </c>
      <c r="J1223" s="1" t="s">
        <v>39</v>
      </c>
      <c r="K1223" s="3">
        <v>3709.36</v>
      </c>
      <c r="L1223" s="1">
        <v>20</v>
      </c>
      <c r="M1223" s="1" t="s">
        <v>15</v>
      </c>
      <c r="N1223" s="3">
        <v>1290.43</v>
      </c>
      <c r="O1223" s="1" t="s">
        <v>2097</v>
      </c>
      <c r="P1223" s="1" t="s">
        <v>2076</v>
      </c>
      <c r="Q1223" s="1" t="str">
        <f>TEXT((Data[[#This Row],[Order_Date]]), "mmm")</f>
        <v>Feb</v>
      </c>
    </row>
    <row r="1224" spans="4:17" x14ac:dyDescent="0.3">
      <c r="D1224" s="1" t="s">
        <v>1286</v>
      </c>
      <c r="E1224" s="2">
        <v>45642</v>
      </c>
      <c r="F1224" s="2">
        <v>45648</v>
      </c>
      <c r="G1224" s="1" t="s">
        <v>36</v>
      </c>
      <c r="H1224" s="1" t="s">
        <v>23</v>
      </c>
      <c r="I1224" s="1" t="s">
        <v>65</v>
      </c>
      <c r="J1224" s="1" t="s">
        <v>122</v>
      </c>
      <c r="K1224" s="3">
        <v>820.77</v>
      </c>
      <c r="L1224" s="1">
        <v>11</v>
      </c>
      <c r="M1224" s="1" t="s">
        <v>20</v>
      </c>
      <c r="N1224" s="3">
        <v>85.77</v>
      </c>
      <c r="O1224" s="1" t="s">
        <v>2212</v>
      </c>
      <c r="P1224" s="1" t="s">
        <v>2071</v>
      </c>
      <c r="Q1224" s="1" t="str">
        <f>TEXT((Data[[#This Row],[Order_Date]]), "mmm")</f>
        <v>Dec</v>
      </c>
    </row>
    <row r="1225" spans="4:17" x14ac:dyDescent="0.3">
      <c r="D1225" s="1" t="s">
        <v>1287</v>
      </c>
      <c r="E1225" s="2">
        <v>45524</v>
      </c>
      <c r="F1225" s="2">
        <v>45530</v>
      </c>
      <c r="G1225" s="1" t="s">
        <v>11</v>
      </c>
      <c r="H1225" s="1" t="s">
        <v>23</v>
      </c>
      <c r="I1225" s="1" t="s">
        <v>24</v>
      </c>
      <c r="J1225" s="1" t="s">
        <v>25</v>
      </c>
      <c r="K1225" s="3">
        <v>2588.84</v>
      </c>
      <c r="L1225" s="1">
        <v>13</v>
      </c>
      <c r="M1225" s="1" t="s">
        <v>20</v>
      </c>
      <c r="N1225" s="3">
        <v>136.07</v>
      </c>
      <c r="O1225" s="1" t="s">
        <v>2100</v>
      </c>
      <c r="P1225" s="1" t="s">
        <v>2076</v>
      </c>
      <c r="Q1225" s="1" t="str">
        <f>TEXT((Data[[#This Row],[Order_Date]]), "mmm")</f>
        <v>Aug</v>
      </c>
    </row>
    <row r="1226" spans="4:17" x14ac:dyDescent="0.3">
      <c r="D1226" s="1" t="s">
        <v>1288</v>
      </c>
      <c r="E1226" s="2">
        <v>45369</v>
      </c>
      <c r="F1226" s="2">
        <v>45373</v>
      </c>
      <c r="G1226" s="1" t="s">
        <v>22</v>
      </c>
      <c r="H1226" s="1" t="s">
        <v>12</v>
      </c>
      <c r="I1226" s="1" t="s">
        <v>13</v>
      </c>
      <c r="J1226" s="1" t="s">
        <v>96</v>
      </c>
      <c r="K1226" s="3">
        <v>2701.05</v>
      </c>
      <c r="L1226" s="1">
        <v>7</v>
      </c>
      <c r="M1226" s="1" t="s">
        <v>29</v>
      </c>
      <c r="N1226" s="3">
        <v>884.88</v>
      </c>
      <c r="O1226" s="1" t="s">
        <v>2217</v>
      </c>
      <c r="P1226" s="1" t="s">
        <v>2078</v>
      </c>
      <c r="Q1226" s="1" t="str">
        <f>TEXT((Data[[#This Row],[Order_Date]]), "mmm")</f>
        <v>Mar</v>
      </c>
    </row>
    <row r="1227" spans="4:17" x14ac:dyDescent="0.3">
      <c r="D1227" s="1" t="s">
        <v>1289</v>
      </c>
      <c r="E1227" s="2">
        <v>45587</v>
      </c>
      <c r="F1227" s="2">
        <v>45589</v>
      </c>
      <c r="G1227" s="1" t="s">
        <v>22</v>
      </c>
      <c r="H1227" s="1" t="s">
        <v>17</v>
      </c>
      <c r="I1227" s="1" t="s">
        <v>18</v>
      </c>
      <c r="J1227" s="1" t="s">
        <v>54</v>
      </c>
      <c r="K1227" s="3">
        <v>930.95</v>
      </c>
      <c r="L1227" s="1">
        <v>1</v>
      </c>
      <c r="M1227" s="1" t="s">
        <v>29</v>
      </c>
      <c r="N1227" s="3">
        <v>214.66</v>
      </c>
      <c r="O1227" s="1" t="s">
        <v>2140</v>
      </c>
      <c r="P1227" s="1" t="s">
        <v>2076</v>
      </c>
      <c r="Q1227" s="1" t="str">
        <f>TEXT((Data[[#This Row],[Order_Date]]), "mmm")</f>
        <v>Oct</v>
      </c>
    </row>
    <row r="1228" spans="4:17" x14ac:dyDescent="0.3">
      <c r="D1228" s="1" t="s">
        <v>1290</v>
      </c>
      <c r="E1228" s="2">
        <v>45357</v>
      </c>
      <c r="F1228" s="2">
        <v>45362</v>
      </c>
      <c r="G1228" s="1" t="s">
        <v>11</v>
      </c>
      <c r="H1228" s="1" t="s">
        <v>23</v>
      </c>
      <c r="I1228" s="1" t="s">
        <v>24</v>
      </c>
      <c r="J1228" s="1" t="s">
        <v>25</v>
      </c>
      <c r="K1228" s="3">
        <v>2718.13</v>
      </c>
      <c r="L1228" s="1">
        <v>7</v>
      </c>
      <c r="M1228" s="1" t="s">
        <v>34</v>
      </c>
      <c r="N1228" s="3">
        <v>269.06</v>
      </c>
      <c r="O1228" s="1" t="s">
        <v>2174</v>
      </c>
      <c r="P1228" s="1" t="s">
        <v>2076</v>
      </c>
      <c r="Q1228" s="1" t="str">
        <f>TEXT((Data[[#This Row],[Order_Date]]), "mmm")</f>
        <v>Mar</v>
      </c>
    </row>
    <row r="1229" spans="4:17" x14ac:dyDescent="0.3">
      <c r="D1229" s="1" t="s">
        <v>1291</v>
      </c>
      <c r="E1229" s="2">
        <v>45411</v>
      </c>
      <c r="F1229" s="2">
        <v>45414</v>
      </c>
      <c r="G1229" s="1" t="s">
        <v>36</v>
      </c>
      <c r="H1229" s="1" t="s">
        <v>17</v>
      </c>
      <c r="I1229" s="1" t="s">
        <v>18</v>
      </c>
      <c r="J1229" s="1" t="s">
        <v>54</v>
      </c>
      <c r="K1229" s="3">
        <v>711.66</v>
      </c>
      <c r="L1229" s="1">
        <v>13</v>
      </c>
      <c r="M1229" s="1" t="s">
        <v>20</v>
      </c>
      <c r="N1229" s="3">
        <v>130.37</v>
      </c>
      <c r="O1229" s="1" t="s">
        <v>2182</v>
      </c>
      <c r="P1229" s="1" t="s">
        <v>2076</v>
      </c>
      <c r="Q1229" s="1" t="str">
        <f>TEXT((Data[[#This Row],[Order_Date]]), "mmm")</f>
        <v>Apr</v>
      </c>
    </row>
    <row r="1230" spans="4:17" x14ac:dyDescent="0.3">
      <c r="D1230" s="1" t="s">
        <v>1292</v>
      </c>
      <c r="E1230" s="2">
        <v>45398</v>
      </c>
      <c r="F1230" s="2">
        <v>45404</v>
      </c>
      <c r="G1230" s="1" t="s">
        <v>11</v>
      </c>
      <c r="H1230" s="1" t="s">
        <v>23</v>
      </c>
      <c r="I1230" s="1" t="s">
        <v>65</v>
      </c>
      <c r="J1230" s="1" t="s">
        <v>114</v>
      </c>
      <c r="K1230" s="3">
        <v>994.89</v>
      </c>
      <c r="L1230" s="1">
        <v>13</v>
      </c>
      <c r="M1230" s="1" t="s">
        <v>29</v>
      </c>
      <c r="N1230" s="3">
        <v>-292.85000000000002</v>
      </c>
      <c r="O1230" s="1" t="s">
        <v>2100</v>
      </c>
      <c r="P1230" s="1" t="s">
        <v>2076</v>
      </c>
      <c r="Q1230" s="1" t="str">
        <f>TEXT((Data[[#This Row],[Order_Date]]), "mmm")</f>
        <v>Apr</v>
      </c>
    </row>
    <row r="1231" spans="4:17" x14ac:dyDescent="0.3">
      <c r="D1231" s="1" t="s">
        <v>1293</v>
      </c>
      <c r="E1231" s="2">
        <v>45381</v>
      </c>
      <c r="F1231" s="2">
        <v>45382</v>
      </c>
      <c r="G1231" s="1" t="s">
        <v>22</v>
      </c>
      <c r="H1231" s="1" t="s">
        <v>17</v>
      </c>
      <c r="I1231" s="1" t="s">
        <v>18</v>
      </c>
      <c r="J1231" s="1" t="s">
        <v>54</v>
      </c>
      <c r="K1231" s="3">
        <v>3027.41</v>
      </c>
      <c r="L1231" s="1">
        <v>12</v>
      </c>
      <c r="M1231" s="1" t="s">
        <v>15</v>
      </c>
      <c r="N1231" s="3">
        <v>1055.3800000000001</v>
      </c>
      <c r="O1231" s="1" t="s">
        <v>2145</v>
      </c>
      <c r="P1231" s="1" t="s">
        <v>2078</v>
      </c>
      <c r="Q1231" s="1" t="str">
        <f>TEXT((Data[[#This Row],[Order_Date]]), "mmm")</f>
        <v>Mar</v>
      </c>
    </row>
    <row r="1232" spans="4:17" x14ac:dyDescent="0.3">
      <c r="D1232" s="1" t="s">
        <v>1294</v>
      </c>
      <c r="E1232" s="2">
        <v>45399</v>
      </c>
      <c r="F1232" s="2">
        <v>45400</v>
      </c>
      <c r="G1232" s="1" t="s">
        <v>36</v>
      </c>
      <c r="H1232" s="1" t="s">
        <v>23</v>
      </c>
      <c r="I1232" s="1" t="s">
        <v>24</v>
      </c>
      <c r="J1232" s="1" t="s">
        <v>150</v>
      </c>
      <c r="K1232" s="3">
        <v>669.97</v>
      </c>
      <c r="L1232" s="1">
        <v>15</v>
      </c>
      <c r="M1232" s="1" t="s">
        <v>20</v>
      </c>
      <c r="N1232" s="3">
        <v>34.96</v>
      </c>
      <c r="O1232" s="1" t="s">
        <v>2184</v>
      </c>
      <c r="P1232" s="1" t="s">
        <v>2071</v>
      </c>
      <c r="Q1232" s="1" t="str">
        <f>TEXT((Data[[#This Row],[Order_Date]]), "mmm")</f>
        <v>Apr</v>
      </c>
    </row>
    <row r="1233" spans="4:17" x14ac:dyDescent="0.3">
      <c r="D1233" s="1" t="s">
        <v>1295</v>
      </c>
      <c r="E1233" s="2">
        <v>45496</v>
      </c>
      <c r="F1233" s="2">
        <v>45497</v>
      </c>
      <c r="G1233" s="1" t="s">
        <v>36</v>
      </c>
      <c r="H1233" s="1" t="s">
        <v>23</v>
      </c>
      <c r="I1233" s="1" t="s">
        <v>24</v>
      </c>
      <c r="J1233" s="1" t="s">
        <v>25</v>
      </c>
      <c r="K1233" s="3">
        <v>1878.06</v>
      </c>
      <c r="L1233" s="1">
        <v>10</v>
      </c>
      <c r="M1233" s="1" t="s">
        <v>44</v>
      </c>
      <c r="N1233" s="3">
        <v>-657.16</v>
      </c>
      <c r="O1233" s="1" t="s">
        <v>2275</v>
      </c>
      <c r="P1233" s="1" t="s">
        <v>2071</v>
      </c>
      <c r="Q1233" s="1" t="str">
        <f>TEXT((Data[[#This Row],[Order_Date]]), "mmm")</f>
        <v>Jul</v>
      </c>
    </row>
    <row r="1234" spans="4:17" x14ac:dyDescent="0.3">
      <c r="D1234" s="1" t="s">
        <v>1296</v>
      </c>
      <c r="E1234" s="2">
        <v>45621</v>
      </c>
      <c r="F1234" s="2">
        <v>45627</v>
      </c>
      <c r="G1234" s="1" t="s">
        <v>31</v>
      </c>
      <c r="H1234" s="1" t="s">
        <v>17</v>
      </c>
      <c r="I1234" s="1" t="s">
        <v>27</v>
      </c>
      <c r="J1234" s="1" t="s">
        <v>110</v>
      </c>
      <c r="K1234" s="3">
        <v>420.14</v>
      </c>
      <c r="L1234" s="1">
        <v>8</v>
      </c>
      <c r="M1234" s="1" t="s">
        <v>44</v>
      </c>
      <c r="N1234" s="3">
        <v>-92.17</v>
      </c>
      <c r="O1234" s="1" t="s">
        <v>2247</v>
      </c>
      <c r="P1234" s="1" t="s">
        <v>2076</v>
      </c>
      <c r="Q1234" s="1" t="str">
        <f>TEXT((Data[[#This Row],[Order_Date]]), "mmm")</f>
        <v>Nov</v>
      </c>
    </row>
    <row r="1235" spans="4:17" x14ac:dyDescent="0.3">
      <c r="D1235" s="1" t="s">
        <v>1297</v>
      </c>
      <c r="E1235" s="2">
        <v>45371</v>
      </c>
      <c r="F1235" s="2">
        <v>45373</v>
      </c>
      <c r="G1235" s="1" t="s">
        <v>31</v>
      </c>
      <c r="H1235" s="1" t="s">
        <v>17</v>
      </c>
      <c r="I1235" s="1" t="s">
        <v>18</v>
      </c>
      <c r="J1235" s="1" t="s">
        <v>90</v>
      </c>
      <c r="K1235" s="3">
        <v>3258.93</v>
      </c>
      <c r="L1235" s="1">
        <v>10</v>
      </c>
      <c r="M1235" s="1" t="s">
        <v>34</v>
      </c>
      <c r="N1235" s="3">
        <v>766.72</v>
      </c>
      <c r="O1235" s="1" t="s">
        <v>2263</v>
      </c>
      <c r="P1235" s="1" t="s">
        <v>2078</v>
      </c>
      <c r="Q1235" s="1" t="str">
        <f>TEXT((Data[[#This Row],[Order_Date]]), "mmm")</f>
        <v>Mar</v>
      </c>
    </row>
    <row r="1236" spans="4:17" x14ac:dyDescent="0.3">
      <c r="D1236" s="1" t="s">
        <v>1298</v>
      </c>
      <c r="E1236" s="2">
        <v>45506</v>
      </c>
      <c r="F1236" s="2">
        <v>45508</v>
      </c>
      <c r="G1236" s="1" t="s">
        <v>22</v>
      </c>
      <c r="H1236" s="1" t="s">
        <v>12</v>
      </c>
      <c r="I1236" s="1" t="s">
        <v>58</v>
      </c>
      <c r="J1236" s="1" t="s">
        <v>59</v>
      </c>
      <c r="K1236" s="3">
        <v>3285.32</v>
      </c>
      <c r="L1236" s="1">
        <v>6</v>
      </c>
      <c r="M1236" s="1" t="s">
        <v>34</v>
      </c>
      <c r="N1236" s="3">
        <v>-1030.68</v>
      </c>
      <c r="O1236" s="1" t="s">
        <v>2135</v>
      </c>
      <c r="P1236" s="1" t="s">
        <v>2071</v>
      </c>
      <c r="Q1236" s="1" t="str">
        <f>TEXT((Data[[#This Row],[Order_Date]]), "mmm")</f>
        <v>Aug</v>
      </c>
    </row>
    <row r="1237" spans="4:17" x14ac:dyDescent="0.3">
      <c r="D1237" s="1" t="s">
        <v>1299</v>
      </c>
      <c r="E1237" s="2">
        <v>45375</v>
      </c>
      <c r="F1237" s="2">
        <v>45375</v>
      </c>
      <c r="G1237" s="1" t="s">
        <v>31</v>
      </c>
      <c r="H1237" s="1" t="s">
        <v>17</v>
      </c>
      <c r="I1237" s="1" t="s">
        <v>27</v>
      </c>
      <c r="J1237" s="1" t="s">
        <v>108</v>
      </c>
      <c r="K1237" s="3">
        <v>2594.92</v>
      </c>
      <c r="L1237" s="1">
        <v>9</v>
      </c>
      <c r="M1237" s="1" t="s">
        <v>29</v>
      </c>
      <c r="N1237" s="3">
        <v>379.69</v>
      </c>
      <c r="O1237" s="1" t="s">
        <v>2108</v>
      </c>
      <c r="P1237" s="1" t="s">
        <v>2078</v>
      </c>
      <c r="Q1237" s="1" t="str">
        <f>TEXT((Data[[#This Row],[Order_Date]]), "mmm")</f>
        <v>Mar</v>
      </c>
    </row>
    <row r="1238" spans="4:17" x14ac:dyDescent="0.3">
      <c r="D1238" s="1" t="s">
        <v>1300</v>
      </c>
      <c r="E1238" s="2">
        <v>45461</v>
      </c>
      <c r="F1238" s="2">
        <v>45461</v>
      </c>
      <c r="G1238" s="1" t="s">
        <v>31</v>
      </c>
      <c r="H1238" s="1" t="s">
        <v>17</v>
      </c>
      <c r="I1238" s="1" t="s">
        <v>32</v>
      </c>
      <c r="J1238" s="1" t="s">
        <v>56</v>
      </c>
      <c r="K1238" s="3">
        <v>3675.91</v>
      </c>
      <c r="L1238" s="1">
        <v>2</v>
      </c>
      <c r="M1238" s="1" t="s">
        <v>29</v>
      </c>
      <c r="N1238" s="3">
        <v>599.58000000000004</v>
      </c>
      <c r="O1238" s="1" t="s">
        <v>2215</v>
      </c>
      <c r="P1238" s="1" t="s">
        <v>2078</v>
      </c>
      <c r="Q1238" s="1" t="str">
        <f>TEXT((Data[[#This Row],[Order_Date]]), "mmm")</f>
        <v>Jun</v>
      </c>
    </row>
    <row r="1239" spans="4:17" x14ac:dyDescent="0.3">
      <c r="D1239" s="1" t="s">
        <v>1301</v>
      </c>
      <c r="E1239" s="2">
        <v>45560</v>
      </c>
      <c r="F1239" s="2">
        <v>45562</v>
      </c>
      <c r="G1239" s="1" t="s">
        <v>22</v>
      </c>
      <c r="H1239" s="1" t="s">
        <v>17</v>
      </c>
      <c r="I1239" s="1" t="s">
        <v>18</v>
      </c>
      <c r="J1239" s="1" t="s">
        <v>54</v>
      </c>
      <c r="K1239" s="3">
        <v>3614.46</v>
      </c>
      <c r="L1239" s="1">
        <v>3</v>
      </c>
      <c r="M1239" s="1" t="s">
        <v>49</v>
      </c>
      <c r="N1239" s="3">
        <v>-1252.26</v>
      </c>
      <c r="O1239" s="1" t="s">
        <v>2145</v>
      </c>
      <c r="P1239" s="1" t="s">
        <v>2071</v>
      </c>
      <c r="Q1239" s="1" t="str">
        <f>TEXT((Data[[#This Row],[Order_Date]]), "mmm")</f>
        <v>Sep</v>
      </c>
    </row>
    <row r="1240" spans="4:17" x14ac:dyDescent="0.3">
      <c r="D1240" s="1" t="s">
        <v>1302</v>
      </c>
      <c r="E1240" s="2">
        <v>45535</v>
      </c>
      <c r="F1240" s="2">
        <v>45542</v>
      </c>
      <c r="G1240" s="1" t="s">
        <v>31</v>
      </c>
      <c r="H1240" s="1" t="s">
        <v>12</v>
      </c>
      <c r="I1240" s="1" t="s">
        <v>42</v>
      </c>
      <c r="J1240" s="1" t="s">
        <v>72</v>
      </c>
      <c r="K1240" s="3">
        <v>3463.43</v>
      </c>
      <c r="L1240" s="1">
        <v>1</v>
      </c>
      <c r="M1240" s="1" t="s">
        <v>34</v>
      </c>
      <c r="N1240" s="3">
        <v>668</v>
      </c>
      <c r="O1240" s="1" t="s">
        <v>2095</v>
      </c>
      <c r="P1240" s="1" t="s">
        <v>2078</v>
      </c>
      <c r="Q1240" s="1" t="str">
        <f>TEXT((Data[[#This Row],[Order_Date]]), "mmm")</f>
        <v>Aug</v>
      </c>
    </row>
    <row r="1241" spans="4:17" x14ac:dyDescent="0.3">
      <c r="D1241" s="1" t="s">
        <v>1303</v>
      </c>
      <c r="E1241" s="2">
        <v>45423</v>
      </c>
      <c r="F1241" s="2">
        <v>45425</v>
      </c>
      <c r="G1241" s="1" t="s">
        <v>36</v>
      </c>
      <c r="H1241" s="1" t="s">
        <v>12</v>
      </c>
      <c r="I1241" s="1" t="s">
        <v>13</v>
      </c>
      <c r="J1241" s="1" t="s">
        <v>51</v>
      </c>
      <c r="K1241" s="3">
        <v>2041.71</v>
      </c>
      <c r="L1241" s="1">
        <v>19</v>
      </c>
      <c r="M1241" s="1" t="s">
        <v>44</v>
      </c>
      <c r="N1241" s="3">
        <v>179.16</v>
      </c>
      <c r="O1241" s="1" t="s">
        <v>2218</v>
      </c>
      <c r="P1241" s="1" t="s">
        <v>2078</v>
      </c>
      <c r="Q1241" s="1" t="str">
        <f>TEXT((Data[[#This Row],[Order_Date]]), "mmm")</f>
        <v>May</v>
      </c>
    </row>
    <row r="1242" spans="4:17" x14ac:dyDescent="0.3">
      <c r="D1242" s="1" t="s">
        <v>1304</v>
      </c>
      <c r="E1242" s="2">
        <v>45365</v>
      </c>
      <c r="F1242" s="2">
        <v>45368</v>
      </c>
      <c r="G1242" s="1" t="s">
        <v>11</v>
      </c>
      <c r="H1242" s="1" t="s">
        <v>12</v>
      </c>
      <c r="I1242" s="1" t="s">
        <v>38</v>
      </c>
      <c r="J1242" s="1" t="s">
        <v>39</v>
      </c>
      <c r="K1242" s="3">
        <v>1764.39</v>
      </c>
      <c r="L1242" s="1">
        <v>20</v>
      </c>
      <c r="M1242" s="1" t="s">
        <v>20</v>
      </c>
      <c r="N1242" s="3">
        <v>220.43</v>
      </c>
      <c r="O1242" s="1" t="s">
        <v>2299</v>
      </c>
      <c r="P1242" s="1" t="s">
        <v>2076</v>
      </c>
      <c r="Q1242" s="1" t="str">
        <f>TEXT((Data[[#This Row],[Order_Date]]), "mmm")</f>
        <v>Mar</v>
      </c>
    </row>
    <row r="1243" spans="4:17" x14ac:dyDescent="0.3">
      <c r="D1243" s="1" t="s">
        <v>1305</v>
      </c>
      <c r="E1243" s="2">
        <v>45629</v>
      </c>
      <c r="F1243" s="2">
        <v>45633</v>
      </c>
      <c r="G1243" s="1" t="s">
        <v>36</v>
      </c>
      <c r="H1243" s="1" t="s">
        <v>12</v>
      </c>
      <c r="I1243" s="1" t="s">
        <v>42</v>
      </c>
      <c r="J1243" s="1" t="s">
        <v>46</v>
      </c>
      <c r="K1243" s="3">
        <v>3099.6</v>
      </c>
      <c r="L1243" s="1">
        <v>5</v>
      </c>
      <c r="M1243" s="1" t="s">
        <v>34</v>
      </c>
      <c r="N1243" s="3">
        <v>547.41</v>
      </c>
      <c r="O1243" s="1" t="s">
        <v>2302</v>
      </c>
      <c r="P1243" s="1" t="s">
        <v>2071</v>
      </c>
      <c r="Q1243" s="1" t="str">
        <f>TEXT((Data[[#This Row],[Order_Date]]), "mmm")</f>
        <v>Dec</v>
      </c>
    </row>
    <row r="1244" spans="4:17" x14ac:dyDescent="0.3">
      <c r="D1244" s="1" t="s">
        <v>1306</v>
      </c>
      <c r="E1244" s="2">
        <v>45588</v>
      </c>
      <c r="F1244" s="2">
        <v>45588</v>
      </c>
      <c r="G1244" s="1" t="s">
        <v>31</v>
      </c>
      <c r="H1244" s="1" t="s">
        <v>12</v>
      </c>
      <c r="I1244" s="1" t="s">
        <v>38</v>
      </c>
      <c r="J1244" s="1" t="s">
        <v>81</v>
      </c>
      <c r="K1244" s="3">
        <v>3923.24</v>
      </c>
      <c r="L1244" s="1">
        <v>1</v>
      </c>
      <c r="M1244" s="1" t="s">
        <v>44</v>
      </c>
      <c r="N1244" s="3">
        <v>943.1</v>
      </c>
      <c r="O1244" s="1" t="s">
        <v>2195</v>
      </c>
      <c r="P1244" s="1" t="s">
        <v>2076</v>
      </c>
      <c r="Q1244" s="1" t="str">
        <f>TEXT((Data[[#This Row],[Order_Date]]), "mmm")</f>
        <v>Oct</v>
      </c>
    </row>
    <row r="1245" spans="4:17" x14ac:dyDescent="0.3">
      <c r="D1245" s="1" t="s">
        <v>1307</v>
      </c>
      <c r="E1245" s="2">
        <v>45413</v>
      </c>
      <c r="F1245" s="2">
        <v>45415</v>
      </c>
      <c r="G1245" s="1" t="s">
        <v>31</v>
      </c>
      <c r="H1245" s="1" t="s">
        <v>23</v>
      </c>
      <c r="I1245" s="1" t="s">
        <v>61</v>
      </c>
      <c r="J1245" s="1" t="s">
        <v>62</v>
      </c>
      <c r="K1245" s="3">
        <v>2052.91</v>
      </c>
      <c r="L1245" s="1">
        <v>12</v>
      </c>
      <c r="M1245" s="1" t="s">
        <v>44</v>
      </c>
      <c r="N1245" s="3">
        <v>489.85</v>
      </c>
      <c r="O1245" s="1" t="s">
        <v>2145</v>
      </c>
      <c r="P1245" s="1" t="s">
        <v>2076</v>
      </c>
      <c r="Q1245" s="1" t="str">
        <f>TEXT((Data[[#This Row],[Order_Date]]), "mmm")</f>
        <v>May</v>
      </c>
    </row>
    <row r="1246" spans="4:17" x14ac:dyDescent="0.3">
      <c r="D1246" s="1" t="s">
        <v>1308</v>
      </c>
      <c r="E1246" s="2">
        <v>45587</v>
      </c>
      <c r="F1246" s="2">
        <v>45593</v>
      </c>
      <c r="G1246" s="1" t="s">
        <v>31</v>
      </c>
      <c r="H1246" s="1" t="s">
        <v>17</v>
      </c>
      <c r="I1246" s="1" t="s">
        <v>27</v>
      </c>
      <c r="J1246" s="1" t="s">
        <v>110</v>
      </c>
      <c r="K1246" s="3">
        <v>2297.0500000000002</v>
      </c>
      <c r="L1246" s="1">
        <v>4</v>
      </c>
      <c r="M1246" s="1" t="s">
        <v>15</v>
      </c>
      <c r="N1246" s="3">
        <v>307.33</v>
      </c>
      <c r="O1246" s="1" t="s">
        <v>2158</v>
      </c>
      <c r="P1246" s="1" t="s">
        <v>2076</v>
      </c>
      <c r="Q1246" s="1" t="str">
        <f>TEXT((Data[[#This Row],[Order_Date]]), "mmm")</f>
        <v>Oct</v>
      </c>
    </row>
    <row r="1247" spans="4:17" x14ac:dyDescent="0.3">
      <c r="D1247" s="1" t="s">
        <v>1309</v>
      </c>
      <c r="E1247" s="2">
        <v>45464</v>
      </c>
      <c r="F1247" s="2">
        <v>45469</v>
      </c>
      <c r="G1247" s="1" t="s">
        <v>22</v>
      </c>
      <c r="H1247" s="1" t="s">
        <v>23</v>
      </c>
      <c r="I1247" s="1" t="s">
        <v>24</v>
      </c>
      <c r="J1247" s="1" t="s">
        <v>93</v>
      </c>
      <c r="K1247" s="3">
        <v>3145.03</v>
      </c>
      <c r="L1247" s="1">
        <v>15</v>
      </c>
      <c r="M1247" s="1" t="s">
        <v>15</v>
      </c>
      <c r="N1247" s="3">
        <v>248.3</v>
      </c>
      <c r="O1247" s="1" t="s">
        <v>2084</v>
      </c>
      <c r="P1247" s="1" t="s">
        <v>2071</v>
      </c>
      <c r="Q1247" s="1" t="str">
        <f>TEXT((Data[[#This Row],[Order_Date]]), "mmm")</f>
        <v>Jun</v>
      </c>
    </row>
    <row r="1248" spans="4:17" x14ac:dyDescent="0.3">
      <c r="D1248" s="1" t="s">
        <v>1310</v>
      </c>
      <c r="E1248" s="2">
        <v>45557</v>
      </c>
      <c r="F1248" s="2">
        <v>45561</v>
      </c>
      <c r="G1248" s="1" t="s">
        <v>11</v>
      </c>
      <c r="H1248" s="1" t="s">
        <v>23</v>
      </c>
      <c r="I1248" s="1" t="s">
        <v>65</v>
      </c>
      <c r="J1248" s="1" t="s">
        <v>122</v>
      </c>
      <c r="K1248" s="3">
        <v>345.3</v>
      </c>
      <c r="L1248" s="1">
        <v>18</v>
      </c>
      <c r="M1248" s="1" t="s">
        <v>44</v>
      </c>
      <c r="N1248" s="3">
        <v>27.06</v>
      </c>
      <c r="O1248" s="1" t="s">
        <v>2258</v>
      </c>
      <c r="P1248" s="1" t="s">
        <v>2076</v>
      </c>
      <c r="Q1248" s="1" t="str">
        <f>TEXT((Data[[#This Row],[Order_Date]]), "mmm")</f>
        <v>Sep</v>
      </c>
    </row>
    <row r="1249" spans="4:17" x14ac:dyDescent="0.3">
      <c r="D1249" s="1" t="s">
        <v>1311</v>
      </c>
      <c r="E1249" s="2">
        <v>45348</v>
      </c>
      <c r="F1249" s="2">
        <v>45349</v>
      </c>
      <c r="G1249" s="1" t="s">
        <v>36</v>
      </c>
      <c r="H1249" s="1" t="s">
        <v>17</v>
      </c>
      <c r="I1249" s="1" t="s">
        <v>27</v>
      </c>
      <c r="J1249" s="1" t="s">
        <v>110</v>
      </c>
      <c r="K1249" s="3">
        <v>1947.12</v>
      </c>
      <c r="L1249" s="1">
        <v>18</v>
      </c>
      <c r="M1249" s="1" t="s">
        <v>20</v>
      </c>
      <c r="N1249" s="3">
        <v>661.8</v>
      </c>
      <c r="O1249" s="1" t="s">
        <v>2165</v>
      </c>
      <c r="P1249" s="1" t="s">
        <v>2078</v>
      </c>
      <c r="Q1249" s="1" t="str">
        <f>TEXT((Data[[#This Row],[Order_Date]]), "mmm")</f>
        <v>Feb</v>
      </c>
    </row>
    <row r="1250" spans="4:17" x14ac:dyDescent="0.3">
      <c r="D1250" s="1" t="s">
        <v>1312</v>
      </c>
      <c r="E1250" s="2">
        <v>45385</v>
      </c>
      <c r="F1250" s="2">
        <v>45391</v>
      </c>
      <c r="G1250" s="1" t="s">
        <v>22</v>
      </c>
      <c r="H1250" s="1" t="s">
        <v>17</v>
      </c>
      <c r="I1250" s="1" t="s">
        <v>32</v>
      </c>
      <c r="J1250" s="1" t="s">
        <v>56</v>
      </c>
      <c r="K1250" s="3">
        <v>3159.67</v>
      </c>
      <c r="L1250" s="1">
        <v>7</v>
      </c>
      <c r="M1250" s="1" t="s">
        <v>15</v>
      </c>
      <c r="N1250" s="3">
        <v>863.79</v>
      </c>
      <c r="O1250" s="1" t="s">
        <v>2290</v>
      </c>
      <c r="P1250" s="1" t="s">
        <v>2076</v>
      </c>
      <c r="Q1250" s="1" t="str">
        <f>TEXT((Data[[#This Row],[Order_Date]]), "mmm")</f>
        <v>Apr</v>
      </c>
    </row>
    <row r="1251" spans="4:17" x14ac:dyDescent="0.3">
      <c r="D1251" s="1" t="s">
        <v>1313</v>
      </c>
      <c r="E1251" s="2">
        <v>45369</v>
      </c>
      <c r="F1251" s="2">
        <v>45369</v>
      </c>
      <c r="G1251" s="1" t="s">
        <v>36</v>
      </c>
      <c r="H1251" s="1" t="s">
        <v>12</v>
      </c>
      <c r="I1251" s="1" t="s">
        <v>58</v>
      </c>
      <c r="J1251" s="1" t="s">
        <v>59</v>
      </c>
      <c r="K1251" s="3">
        <v>3801.86</v>
      </c>
      <c r="L1251" s="1">
        <v>17</v>
      </c>
      <c r="M1251" s="1" t="s">
        <v>44</v>
      </c>
      <c r="N1251" s="3">
        <v>-617.20000000000005</v>
      </c>
      <c r="O1251" s="1" t="s">
        <v>2074</v>
      </c>
      <c r="P1251" s="1" t="s">
        <v>2078</v>
      </c>
      <c r="Q1251" s="1" t="str">
        <f>TEXT((Data[[#This Row],[Order_Date]]), "mmm")</f>
        <v>Mar</v>
      </c>
    </row>
    <row r="1252" spans="4:17" x14ac:dyDescent="0.3">
      <c r="D1252" s="1" t="s">
        <v>1314</v>
      </c>
      <c r="E1252" s="2">
        <v>45376</v>
      </c>
      <c r="F1252" s="2">
        <v>45379</v>
      </c>
      <c r="G1252" s="1" t="s">
        <v>22</v>
      </c>
      <c r="H1252" s="1" t="s">
        <v>12</v>
      </c>
      <c r="I1252" s="1" t="s">
        <v>42</v>
      </c>
      <c r="J1252" s="1" t="s">
        <v>72</v>
      </c>
      <c r="K1252" s="3">
        <v>1294.08</v>
      </c>
      <c r="L1252" s="1">
        <v>13</v>
      </c>
      <c r="M1252" s="1" t="s">
        <v>34</v>
      </c>
      <c r="N1252" s="3">
        <v>216.02</v>
      </c>
      <c r="O1252" s="1" t="s">
        <v>2254</v>
      </c>
      <c r="P1252" s="1" t="s">
        <v>2071</v>
      </c>
      <c r="Q1252" s="1" t="str">
        <f>TEXT((Data[[#This Row],[Order_Date]]), "mmm")</f>
        <v>Mar</v>
      </c>
    </row>
    <row r="1253" spans="4:17" x14ac:dyDescent="0.3">
      <c r="D1253" s="1" t="s">
        <v>1315</v>
      </c>
      <c r="E1253" s="2">
        <v>45507</v>
      </c>
      <c r="F1253" s="2">
        <v>45514</v>
      </c>
      <c r="G1253" s="1" t="s">
        <v>31</v>
      </c>
      <c r="H1253" s="1" t="s">
        <v>23</v>
      </c>
      <c r="I1253" s="1" t="s">
        <v>78</v>
      </c>
      <c r="J1253" s="1" t="s">
        <v>79</v>
      </c>
      <c r="K1253" s="3">
        <v>251.33</v>
      </c>
      <c r="L1253" s="1">
        <v>9</v>
      </c>
      <c r="M1253" s="1" t="s">
        <v>15</v>
      </c>
      <c r="N1253" s="3">
        <v>54.47</v>
      </c>
      <c r="O1253" s="1" t="s">
        <v>2294</v>
      </c>
      <c r="P1253" s="1" t="s">
        <v>2078</v>
      </c>
      <c r="Q1253" s="1" t="str">
        <f>TEXT((Data[[#This Row],[Order_Date]]), "mmm")</f>
        <v>Aug</v>
      </c>
    </row>
    <row r="1254" spans="4:17" x14ac:dyDescent="0.3">
      <c r="D1254" s="1" t="s">
        <v>1316</v>
      </c>
      <c r="E1254" s="2">
        <v>45605</v>
      </c>
      <c r="F1254" s="2">
        <v>45606</v>
      </c>
      <c r="G1254" s="1" t="s">
        <v>11</v>
      </c>
      <c r="H1254" s="1" t="s">
        <v>23</v>
      </c>
      <c r="I1254" s="1" t="s">
        <v>78</v>
      </c>
      <c r="J1254" s="1" t="s">
        <v>118</v>
      </c>
      <c r="K1254" s="3">
        <v>2053.5</v>
      </c>
      <c r="L1254" s="1">
        <v>6</v>
      </c>
      <c r="M1254" s="1" t="s">
        <v>44</v>
      </c>
      <c r="N1254" s="3">
        <v>343.7</v>
      </c>
      <c r="O1254" s="1" t="s">
        <v>2163</v>
      </c>
      <c r="P1254" s="1" t="s">
        <v>2071</v>
      </c>
      <c r="Q1254" s="1" t="str">
        <f>TEXT((Data[[#This Row],[Order_Date]]), "mmm")</f>
        <v>Nov</v>
      </c>
    </row>
    <row r="1255" spans="4:17" x14ac:dyDescent="0.3">
      <c r="D1255" s="1" t="s">
        <v>1317</v>
      </c>
      <c r="E1255" s="2">
        <v>45506</v>
      </c>
      <c r="F1255" s="2">
        <v>45512</v>
      </c>
      <c r="G1255" s="1" t="s">
        <v>22</v>
      </c>
      <c r="H1255" s="1" t="s">
        <v>17</v>
      </c>
      <c r="I1255" s="1" t="s">
        <v>27</v>
      </c>
      <c r="J1255" s="1" t="s">
        <v>28</v>
      </c>
      <c r="K1255" s="3">
        <v>1098.6400000000001</v>
      </c>
      <c r="L1255" s="1">
        <v>9</v>
      </c>
      <c r="M1255" s="1" t="s">
        <v>44</v>
      </c>
      <c r="N1255" s="3">
        <v>-349.14</v>
      </c>
      <c r="O1255" s="1" t="s">
        <v>2126</v>
      </c>
      <c r="P1255" s="1" t="s">
        <v>2071</v>
      </c>
      <c r="Q1255" s="1" t="str">
        <f>TEXT((Data[[#This Row],[Order_Date]]), "mmm")</f>
        <v>Aug</v>
      </c>
    </row>
    <row r="1256" spans="4:17" x14ac:dyDescent="0.3">
      <c r="D1256" s="1" t="s">
        <v>1318</v>
      </c>
      <c r="E1256" s="2">
        <v>45591</v>
      </c>
      <c r="F1256" s="2">
        <v>45593</v>
      </c>
      <c r="G1256" s="1" t="s">
        <v>22</v>
      </c>
      <c r="H1256" s="1" t="s">
        <v>23</v>
      </c>
      <c r="I1256" s="1" t="s">
        <v>78</v>
      </c>
      <c r="J1256" s="1" t="s">
        <v>79</v>
      </c>
      <c r="K1256" s="3">
        <v>3102.19</v>
      </c>
      <c r="L1256" s="1">
        <v>1</v>
      </c>
      <c r="M1256" s="1" t="s">
        <v>15</v>
      </c>
      <c r="N1256" s="3">
        <v>264.27</v>
      </c>
      <c r="O1256" s="1" t="s">
        <v>2245</v>
      </c>
      <c r="P1256" s="1" t="s">
        <v>2076</v>
      </c>
      <c r="Q1256" s="1" t="str">
        <f>TEXT((Data[[#This Row],[Order_Date]]), "mmm")</f>
        <v>Oct</v>
      </c>
    </row>
    <row r="1257" spans="4:17" x14ac:dyDescent="0.3">
      <c r="D1257" s="1" t="s">
        <v>1319</v>
      </c>
      <c r="E1257" s="2">
        <v>45344</v>
      </c>
      <c r="F1257" s="2">
        <v>45351</v>
      </c>
      <c r="G1257" s="1" t="s">
        <v>22</v>
      </c>
      <c r="H1257" s="1" t="s">
        <v>12</v>
      </c>
      <c r="I1257" s="1" t="s">
        <v>42</v>
      </c>
      <c r="J1257" s="1" t="s">
        <v>46</v>
      </c>
      <c r="K1257" s="3">
        <v>3333.4</v>
      </c>
      <c r="L1257" s="1">
        <v>18</v>
      </c>
      <c r="M1257" s="1" t="s">
        <v>15</v>
      </c>
      <c r="N1257" s="3">
        <v>776.72</v>
      </c>
      <c r="O1257" s="1" t="s">
        <v>2281</v>
      </c>
      <c r="P1257" s="1" t="s">
        <v>2076</v>
      </c>
      <c r="Q1257" s="1" t="str">
        <f>TEXT((Data[[#This Row],[Order_Date]]), "mmm")</f>
        <v>Feb</v>
      </c>
    </row>
    <row r="1258" spans="4:17" x14ac:dyDescent="0.3">
      <c r="D1258" s="1" t="s">
        <v>1320</v>
      </c>
      <c r="E1258" s="2">
        <v>45466</v>
      </c>
      <c r="F1258" s="2">
        <v>45470</v>
      </c>
      <c r="G1258" s="1" t="s">
        <v>11</v>
      </c>
      <c r="H1258" s="1" t="s">
        <v>23</v>
      </c>
      <c r="I1258" s="1" t="s">
        <v>24</v>
      </c>
      <c r="J1258" s="1" t="s">
        <v>25</v>
      </c>
      <c r="K1258" s="3">
        <v>2600.87</v>
      </c>
      <c r="L1258" s="1">
        <v>14</v>
      </c>
      <c r="M1258" s="1" t="s">
        <v>29</v>
      </c>
      <c r="N1258" s="3">
        <v>261.48</v>
      </c>
      <c r="O1258" s="1" t="s">
        <v>2234</v>
      </c>
      <c r="P1258" s="1" t="s">
        <v>2071</v>
      </c>
      <c r="Q1258" s="1" t="str">
        <f>TEXT((Data[[#This Row],[Order_Date]]), "mmm")</f>
        <v>Jun</v>
      </c>
    </row>
    <row r="1259" spans="4:17" x14ac:dyDescent="0.3">
      <c r="D1259" s="1" t="s">
        <v>1321</v>
      </c>
      <c r="E1259" s="2">
        <v>45541</v>
      </c>
      <c r="F1259" s="2">
        <v>45545</v>
      </c>
      <c r="G1259" s="1" t="s">
        <v>22</v>
      </c>
      <c r="H1259" s="1" t="s">
        <v>12</v>
      </c>
      <c r="I1259" s="1" t="s">
        <v>38</v>
      </c>
      <c r="J1259" s="1" t="s">
        <v>81</v>
      </c>
      <c r="K1259" s="3">
        <v>3991.02</v>
      </c>
      <c r="L1259" s="1">
        <v>20</v>
      </c>
      <c r="M1259" s="1" t="s">
        <v>29</v>
      </c>
      <c r="N1259" s="3">
        <v>1235.32</v>
      </c>
      <c r="O1259" s="1" t="s">
        <v>2304</v>
      </c>
      <c r="P1259" s="1" t="s">
        <v>2076</v>
      </c>
      <c r="Q1259" s="1" t="str">
        <f>TEXT((Data[[#This Row],[Order_Date]]), "mmm")</f>
        <v>Sep</v>
      </c>
    </row>
    <row r="1260" spans="4:17" x14ac:dyDescent="0.3">
      <c r="D1260" s="1" t="s">
        <v>1322</v>
      </c>
      <c r="E1260" s="2">
        <v>45632</v>
      </c>
      <c r="F1260" s="2">
        <v>45639</v>
      </c>
      <c r="G1260" s="1" t="s">
        <v>31</v>
      </c>
      <c r="H1260" s="1" t="s">
        <v>23</v>
      </c>
      <c r="I1260" s="1" t="s">
        <v>61</v>
      </c>
      <c r="J1260" s="1" t="s">
        <v>62</v>
      </c>
      <c r="K1260" s="3">
        <v>644.46</v>
      </c>
      <c r="L1260" s="1">
        <v>9</v>
      </c>
      <c r="M1260" s="1" t="s">
        <v>15</v>
      </c>
      <c r="N1260" s="3">
        <v>173.83</v>
      </c>
      <c r="O1260" s="1" t="s">
        <v>2140</v>
      </c>
      <c r="P1260" s="1" t="s">
        <v>2071</v>
      </c>
      <c r="Q1260" s="1" t="str">
        <f>TEXT((Data[[#This Row],[Order_Date]]), "mmm")</f>
        <v>Dec</v>
      </c>
    </row>
    <row r="1261" spans="4:17" x14ac:dyDescent="0.3">
      <c r="D1261" s="1" t="s">
        <v>1323</v>
      </c>
      <c r="E1261" s="2">
        <v>45619</v>
      </c>
      <c r="F1261" s="2">
        <v>45624</v>
      </c>
      <c r="G1261" s="1" t="s">
        <v>31</v>
      </c>
      <c r="H1261" s="1" t="s">
        <v>12</v>
      </c>
      <c r="I1261" s="1" t="s">
        <v>13</v>
      </c>
      <c r="J1261" s="1" t="s">
        <v>129</v>
      </c>
      <c r="K1261" s="3">
        <v>561.6</v>
      </c>
      <c r="L1261" s="1">
        <v>4</v>
      </c>
      <c r="M1261" s="1" t="s">
        <v>15</v>
      </c>
      <c r="N1261" s="3">
        <v>163.87</v>
      </c>
      <c r="O1261" s="1" t="s">
        <v>2304</v>
      </c>
      <c r="P1261" s="1" t="s">
        <v>2078</v>
      </c>
      <c r="Q1261" s="1" t="str">
        <f>TEXT((Data[[#This Row],[Order_Date]]), "mmm")</f>
        <v>Nov</v>
      </c>
    </row>
    <row r="1262" spans="4:17" x14ac:dyDescent="0.3">
      <c r="D1262" s="1" t="s">
        <v>1324</v>
      </c>
      <c r="E1262" s="2">
        <v>45545</v>
      </c>
      <c r="F1262" s="2">
        <v>45548</v>
      </c>
      <c r="G1262" s="1" t="s">
        <v>31</v>
      </c>
      <c r="H1262" s="1" t="s">
        <v>12</v>
      </c>
      <c r="I1262" s="1" t="s">
        <v>13</v>
      </c>
      <c r="J1262" s="1" t="s">
        <v>51</v>
      </c>
      <c r="K1262" s="3">
        <v>3989.88</v>
      </c>
      <c r="L1262" s="1">
        <v>16</v>
      </c>
      <c r="M1262" s="1" t="s">
        <v>29</v>
      </c>
      <c r="N1262" s="3">
        <v>925.62</v>
      </c>
      <c r="O1262" s="1" t="s">
        <v>2251</v>
      </c>
      <c r="P1262" s="1" t="s">
        <v>2078</v>
      </c>
      <c r="Q1262" s="1" t="str">
        <f>TEXT((Data[[#This Row],[Order_Date]]), "mmm")</f>
        <v>Sep</v>
      </c>
    </row>
    <row r="1263" spans="4:17" x14ac:dyDescent="0.3">
      <c r="D1263" s="1" t="s">
        <v>1325</v>
      </c>
      <c r="E1263" s="2">
        <v>45602</v>
      </c>
      <c r="F1263" s="2">
        <v>45608</v>
      </c>
      <c r="G1263" s="1" t="s">
        <v>11</v>
      </c>
      <c r="H1263" s="1" t="s">
        <v>12</v>
      </c>
      <c r="I1263" s="1" t="s">
        <v>38</v>
      </c>
      <c r="J1263" s="1" t="s">
        <v>39</v>
      </c>
      <c r="K1263" s="3">
        <v>3393.27</v>
      </c>
      <c r="L1263" s="1">
        <v>4</v>
      </c>
      <c r="M1263" s="1" t="s">
        <v>29</v>
      </c>
      <c r="N1263" s="3">
        <v>266.27999999999997</v>
      </c>
      <c r="O1263" s="1" t="s">
        <v>2240</v>
      </c>
      <c r="P1263" s="1" t="s">
        <v>2076</v>
      </c>
      <c r="Q1263" s="1" t="str">
        <f>TEXT((Data[[#This Row],[Order_Date]]), "mmm")</f>
        <v>Nov</v>
      </c>
    </row>
    <row r="1264" spans="4:17" x14ac:dyDescent="0.3">
      <c r="D1264" s="1" t="s">
        <v>1326</v>
      </c>
      <c r="E1264" s="2">
        <v>45414</v>
      </c>
      <c r="F1264" s="2">
        <v>45419</v>
      </c>
      <c r="G1264" s="1" t="s">
        <v>31</v>
      </c>
      <c r="H1264" s="1" t="s">
        <v>23</v>
      </c>
      <c r="I1264" s="1" t="s">
        <v>61</v>
      </c>
      <c r="J1264" s="1" t="s">
        <v>98</v>
      </c>
      <c r="K1264" s="3">
        <v>2676.58</v>
      </c>
      <c r="L1264" s="1">
        <v>15</v>
      </c>
      <c r="M1264" s="1" t="s">
        <v>49</v>
      </c>
      <c r="N1264" s="3">
        <v>594.21</v>
      </c>
      <c r="O1264" s="1" t="s">
        <v>2284</v>
      </c>
      <c r="P1264" s="1" t="s">
        <v>2071</v>
      </c>
      <c r="Q1264" s="1" t="str">
        <f>TEXT((Data[[#This Row],[Order_Date]]), "mmm")</f>
        <v>May</v>
      </c>
    </row>
    <row r="1265" spans="4:17" x14ac:dyDescent="0.3">
      <c r="D1265" s="1" t="s">
        <v>1327</v>
      </c>
      <c r="E1265" s="2">
        <v>45496</v>
      </c>
      <c r="F1265" s="2">
        <v>45502</v>
      </c>
      <c r="G1265" s="1" t="s">
        <v>11</v>
      </c>
      <c r="H1265" s="1" t="s">
        <v>17</v>
      </c>
      <c r="I1265" s="1" t="s">
        <v>32</v>
      </c>
      <c r="J1265" s="1" t="s">
        <v>56</v>
      </c>
      <c r="K1265" s="3">
        <v>340.54</v>
      </c>
      <c r="L1265" s="1">
        <v>11</v>
      </c>
      <c r="M1265" s="1" t="s">
        <v>20</v>
      </c>
      <c r="N1265" s="3">
        <v>46.89</v>
      </c>
      <c r="O1265" s="1" t="s">
        <v>2096</v>
      </c>
      <c r="P1265" s="1" t="s">
        <v>2071</v>
      </c>
      <c r="Q1265" s="1" t="str">
        <f>TEXT((Data[[#This Row],[Order_Date]]), "mmm")</f>
        <v>Jul</v>
      </c>
    </row>
    <row r="1266" spans="4:17" x14ac:dyDescent="0.3">
      <c r="D1266" s="1" t="s">
        <v>1328</v>
      </c>
      <c r="E1266" s="2">
        <v>45306</v>
      </c>
      <c r="F1266" s="2">
        <v>45313</v>
      </c>
      <c r="G1266" s="1" t="s">
        <v>36</v>
      </c>
      <c r="H1266" s="1" t="s">
        <v>23</v>
      </c>
      <c r="I1266" s="1" t="s">
        <v>24</v>
      </c>
      <c r="J1266" s="1" t="s">
        <v>93</v>
      </c>
      <c r="K1266" s="3">
        <v>3900.92</v>
      </c>
      <c r="L1266" s="1">
        <v>8</v>
      </c>
      <c r="M1266" s="1" t="s">
        <v>34</v>
      </c>
      <c r="N1266" s="3">
        <v>-717</v>
      </c>
      <c r="O1266" s="1" t="s">
        <v>2288</v>
      </c>
      <c r="P1266" s="1" t="s">
        <v>2076</v>
      </c>
      <c r="Q1266" s="1" t="str">
        <f>TEXT((Data[[#This Row],[Order_Date]]), "mmm")</f>
        <v>Jan</v>
      </c>
    </row>
    <row r="1267" spans="4:17" x14ac:dyDescent="0.3">
      <c r="D1267" s="1" t="s">
        <v>1329</v>
      </c>
      <c r="E1267" s="2">
        <v>45526</v>
      </c>
      <c r="F1267" s="2">
        <v>45530</v>
      </c>
      <c r="G1267" s="1" t="s">
        <v>22</v>
      </c>
      <c r="H1267" s="1" t="s">
        <v>17</v>
      </c>
      <c r="I1267" s="1" t="s">
        <v>32</v>
      </c>
      <c r="J1267" s="1" t="s">
        <v>33</v>
      </c>
      <c r="K1267" s="3">
        <v>3027.64</v>
      </c>
      <c r="L1267" s="1">
        <v>12</v>
      </c>
      <c r="M1267" s="1" t="s">
        <v>44</v>
      </c>
      <c r="N1267" s="3">
        <v>918.63</v>
      </c>
      <c r="O1267" s="1" t="s">
        <v>2275</v>
      </c>
      <c r="P1267" s="1" t="s">
        <v>2076</v>
      </c>
      <c r="Q1267" s="1" t="str">
        <f>TEXT((Data[[#This Row],[Order_Date]]), "mmm")</f>
        <v>Aug</v>
      </c>
    </row>
    <row r="1268" spans="4:17" x14ac:dyDescent="0.3">
      <c r="D1268" s="1" t="s">
        <v>1330</v>
      </c>
      <c r="E1268" s="2">
        <v>45462</v>
      </c>
      <c r="F1268" s="2">
        <v>45467</v>
      </c>
      <c r="G1268" s="1" t="s">
        <v>22</v>
      </c>
      <c r="H1268" s="1" t="s">
        <v>23</v>
      </c>
      <c r="I1268" s="1" t="s">
        <v>24</v>
      </c>
      <c r="J1268" s="1" t="s">
        <v>25</v>
      </c>
      <c r="K1268" s="3">
        <v>3678.14</v>
      </c>
      <c r="L1268" s="1">
        <v>3</v>
      </c>
      <c r="M1268" s="1" t="s">
        <v>15</v>
      </c>
      <c r="N1268" s="3">
        <v>631.98</v>
      </c>
      <c r="O1268" s="1" t="s">
        <v>2200</v>
      </c>
      <c r="P1268" s="1" t="s">
        <v>2078</v>
      </c>
      <c r="Q1268" s="1" t="str">
        <f>TEXT((Data[[#This Row],[Order_Date]]), "mmm")</f>
        <v>Jun</v>
      </c>
    </row>
    <row r="1269" spans="4:17" x14ac:dyDescent="0.3">
      <c r="D1269" s="1" t="s">
        <v>1331</v>
      </c>
      <c r="E1269" s="2">
        <v>45619</v>
      </c>
      <c r="F1269" s="2">
        <v>45621</v>
      </c>
      <c r="G1269" s="1" t="s">
        <v>31</v>
      </c>
      <c r="H1269" s="1" t="s">
        <v>17</v>
      </c>
      <c r="I1269" s="1" t="s">
        <v>27</v>
      </c>
      <c r="J1269" s="1" t="s">
        <v>108</v>
      </c>
      <c r="K1269" s="3">
        <v>1564.73</v>
      </c>
      <c r="L1269" s="1">
        <v>15</v>
      </c>
      <c r="M1269" s="1" t="s">
        <v>34</v>
      </c>
      <c r="N1269" s="3">
        <v>432.54</v>
      </c>
      <c r="O1269" s="1" t="s">
        <v>2208</v>
      </c>
      <c r="P1269" s="1" t="s">
        <v>2078</v>
      </c>
      <c r="Q1269" s="1" t="str">
        <f>TEXT((Data[[#This Row],[Order_Date]]), "mmm")</f>
        <v>Nov</v>
      </c>
    </row>
    <row r="1270" spans="4:17" x14ac:dyDescent="0.3">
      <c r="D1270" s="1" t="s">
        <v>1332</v>
      </c>
      <c r="E1270" s="2">
        <v>45457</v>
      </c>
      <c r="F1270" s="2">
        <v>45457</v>
      </c>
      <c r="G1270" s="1" t="s">
        <v>11</v>
      </c>
      <c r="H1270" s="1" t="s">
        <v>17</v>
      </c>
      <c r="I1270" s="1" t="s">
        <v>32</v>
      </c>
      <c r="J1270" s="1" t="s">
        <v>33</v>
      </c>
      <c r="K1270" s="3">
        <v>3658.11</v>
      </c>
      <c r="L1270" s="1">
        <v>18</v>
      </c>
      <c r="M1270" s="1" t="s">
        <v>34</v>
      </c>
      <c r="N1270" s="3">
        <v>1013.41</v>
      </c>
      <c r="O1270" s="1" t="s">
        <v>2164</v>
      </c>
      <c r="P1270" s="1" t="s">
        <v>2071</v>
      </c>
      <c r="Q1270" s="1" t="str">
        <f>TEXT((Data[[#This Row],[Order_Date]]), "mmm")</f>
        <v>Jun</v>
      </c>
    </row>
    <row r="1271" spans="4:17" x14ac:dyDescent="0.3">
      <c r="D1271" s="1" t="s">
        <v>1333</v>
      </c>
      <c r="E1271" s="2">
        <v>45495</v>
      </c>
      <c r="F1271" s="2">
        <v>45496</v>
      </c>
      <c r="G1271" s="1" t="s">
        <v>22</v>
      </c>
      <c r="H1271" s="1" t="s">
        <v>17</v>
      </c>
      <c r="I1271" s="1" t="s">
        <v>18</v>
      </c>
      <c r="J1271" s="1" t="s">
        <v>90</v>
      </c>
      <c r="K1271" s="3">
        <v>2492.39</v>
      </c>
      <c r="L1271" s="1">
        <v>13</v>
      </c>
      <c r="M1271" s="1" t="s">
        <v>34</v>
      </c>
      <c r="N1271" s="3">
        <v>233.61</v>
      </c>
      <c r="O1271" s="1" t="s">
        <v>2122</v>
      </c>
      <c r="P1271" s="1" t="s">
        <v>2071</v>
      </c>
      <c r="Q1271" s="1" t="str">
        <f>TEXT((Data[[#This Row],[Order_Date]]), "mmm")</f>
        <v>Jul</v>
      </c>
    </row>
    <row r="1272" spans="4:17" x14ac:dyDescent="0.3">
      <c r="D1272" s="1" t="s">
        <v>1334</v>
      </c>
      <c r="E1272" s="2">
        <v>45473</v>
      </c>
      <c r="F1272" s="2">
        <v>45479</v>
      </c>
      <c r="G1272" s="1" t="s">
        <v>22</v>
      </c>
      <c r="H1272" s="1" t="s">
        <v>23</v>
      </c>
      <c r="I1272" s="1" t="s">
        <v>61</v>
      </c>
      <c r="J1272" s="1" t="s">
        <v>62</v>
      </c>
      <c r="K1272" s="3">
        <v>3304.65</v>
      </c>
      <c r="L1272" s="1">
        <v>10</v>
      </c>
      <c r="M1272" s="1" t="s">
        <v>29</v>
      </c>
      <c r="N1272" s="3">
        <v>-730.43</v>
      </c>
      <c r="O1272" s="1" t="s">
        <v>2287</v>
      </c>
      <c r="P1272" s="1" t="s">
        <v>2076</v>
      </c>
      <c r="Q1272" s="1" t="str">
        <f>TEXT((Data[[#This Row],[Order_Date]]), "mmm")</f>
        <v>Jun</v>
      </c>
    </row>
    <row r="1273" spans="4:17" x14ac:dyDescent="0.3">
      <c r="D1273" s="1" t="s">
        <v>1335</v>
      </c>
      <c r="E1273" s="2">
        <v>45407</v>
      </c>
      <c r="F1273" s="2">
        <v>45414</v>
      </c>
      <c r="G1273" s="1" t="s">
        <v>11</v>
      </c>
      <c r="H1273" s="1" t="s">
        <v>17</v>
      </c>
      <c r="I1273" s="1" t="s">
        <v>32</v>
      </c>
      <c r="J1273" s="1" t="s">
        <v>56</v>
      </c>
      <c r="K1273" s="3">
        <v>2753.2</v>
      </c>
      <c r="L1273" s="1">
        <v>9</v>
      </c>
      <c r="M1273" s="1" t="s">
        <v>20</v>
      </c>
      <c r="N1273" s="3">
        <v>546.09</v>
      </c>
      <c r="O1273" s="1" t="s">
        <v>2265</v>
      </c>
      <c r="P1273" s="1" t="s">
        <v>2071</v>
      </c>
      <c r="Q1273" s="1" t="str">
        <f>TEXT((Data[[#This Row],[Order_Date]]), "mmm")</f>
        <v>Apr</v>
      </c>
    </row>
    <row r="1274" spans="4:17" x14ac:dyDescent="0.3">
      <c r="D1274" s="1" t="s">
        <v>1336</v>
      </c>
      <c r="E1274" s="2">
        <v>45404</v>
      </c>
      <c r="F1274" s="2">
        <v>45407</v>
      </c>
      <c r="G1274" s="1" t="s">
        <v>22</v>
      </c>
      <c r="H1274" s="1" t="s">
        <v>23</v>
      </c>
      <c r="I1274" s="1" t="s">
        <v>78</v>
      </c>
      <c r="J1274" s="1" t="s">
        <v>118</v>
      </c>
      <c r="K1274" s="3">
        <v>296.57</v>
      </c>
      <c r="L1274" s="1">
        <v>8</v>
      </c>
      <c r="M1274" s="1" t="s">
        <v>20</v>
      </c>
      <c r="N1274" s="3">
        <v>91.12</v>
      </c>
      <c r="O1274" s="1" t="s">
        <v>2133</v>
      </c>
      <c r="P1274" s="1" t="s">
        <v>2071</v>
      </c>
      <c r="Q1274" s="1" t="str">
        <f>TEXT((Data[[#This Row],[Order_Date]]), "mmm")</f>
        <v>Apr</v>
      </c>
    </row>
    <row r="1275" spans="4:17" x14ac:dyDescent="0.3">
      <c r="D1275" s="1" t="s">
        <v>1337</v>
      </c>
      <c r="E1275" s="2">
        <v>45516</v>
      </c>
      <c r="F1275" s="2">
        <v>45522</v>
      </c>
      <c r="G1275" s="1" t="s">
        <v>22</v>
      </c>
      <c r="H1275" s="1" t="s">
        <v>23</v>
      </c>
      <c r="I1275" s="1" t="s">
        <v>78</v>
      </c>
      <c r="J1275" s="1" t="s">
        <v>79</v>
      </c>
      <c r="K1275" s="3">
        <v>2602.21</v>
      </c>
      <c r="L1275" s="1">
        <v>13</v>
      </c>
      <c r="M1275" s="1" t="s">
        <v>15</v>
      </c>
      <c r="N1275" s="3">
        <v>334.25</v>
      </c>
      <c r="O1275" s="1" t="s">
        <v>2082</v>
      </c>
      <c r="P1275" s="1" t="s">
        <v>2071</v>
      </c>
      <c r="Q1275" s="1" t="str">
        <f>TEXT((Data[[#This Row],[Order_Date]]), "mmm")</f>
        <v>Aug</v>
      </c>
    </row>
    <row r="1276" spans="4:17" x14ac:dyDescent="0.3">
      <c r="D1276" s="1" t="s">
        <v>1338</v>
      </c>
      <c r="E1276" s="2">
        <v>45478</v>
      </c>
      <c r="F1276" s="2">
        <v>45482</v>
      </c>
      <c r="G1276" s="1" t="s">
        <v>31</v>
      </c>
      <c r="H1276" s="1" t="s">
        <v>23</v>
      </c>
      <c r="I1276" s="1" t="s">
        <v>24</v>
      </c>
      <c r="J1276" s="1" t="s">
        <v>25</v>
      </c>
      <c r="K1276" s="3">
        <v>1450.58</v>
      </c>
      <c r="L1276" s="1">
        <v>12</v>
      </c>
      <c r="M1276" s="1" t="s">
        <v>20</v>
      </c>
      <c r="N1276" s="3">
        <v>-489.47</v>
      </c>
      <c r="O1276" s="1" t="s">
        <v>2091</v>
      </c>
      <c r="P1276" s="1" t="s">
        <v>2076</v>
      </c>
      <c r="Q1276" s="1" t="str">
        <f>TEXT((Data[[#This Row],[Order_Date]]), "mmm")</f>
        <v>Jul</v>
      </c>
    </row>
    <row r="1277" spans="4:17" x14ac:dyDescent="0.3">
      <c r="D1277" s="1" t="s">
        <v>1339</v>
      </c>
      <c r="E1277" s="2">
        <v>45651</v>
      </c>
      <c r="F1277" s="2">
        <v>45654</v>
      </c>
      <c r="G1277" s="1" t="s">
        <v>22</v>
      </c>
      <c r="H1277" s="1" t="s">
        <v>17</v>
      </c>
      <c r="I1277" s="1" t="s">
        <v>32</v>
      </c>
      <c r="J1277" s="1" t="s">
        <v>33</v>
      </c>
      <c r="K1277" s="3">
        <v>2257.6</v>
      </c>
      <c r="L1277" s="1">
        <v>4</v>
      </c>
      <c r="M1277" s="1" t="s">
        <v>29</v>
      </c>
      <c r="N1277" s="3">
        <v>267.18</v>
      </c>
      <c r="O1277" s="1" t="s">
        <v>2157</v>
      </c>
      <c r="P1277" s="1" t="s">
        <v>2078</v>
      </c>
      <c r="Q1277" s="1" t="str">
        <f>TEXT((Data[[#This Row],[Order_Date]]), "mmm")</f>
        <v>Dec</v>
      </c>
    </row>
    <row r="1278" spans="4:17" x14ac:dyDescent="0.3">
      <c r="D1278" s="1" t="s">
        <v>1340</v>
      </c>
      <c r="E1278" s="2">
        <v>45651</v>
      </c>
      <c r="F1278" s="2">
        <v>45654</v>
      </c>
      <c r="G1278" s="1" t="s">
        <v>31</v>
      </c>
      <c r="H1278" s="1" t="s">
        <v>23</v>
      </c>
      <c r="I1278" s="1" t="s">
        <v>61</v>
      </c>
      <c r="J1278" s="1" t="s">
        <v>98</v>
      </c>
      <c r="K1278" s="3">
        <v>2570.52</v>
      </c>
      <c r="L1278" s="1">
        <v>16</v>
      </c>
      <c r="M1278" s="1" t="s">
        <v>29</v>
      </c>
      <c r="N1278" s="3">
        <v>464.89</v>
      </c>
      <c r="O1278" s="1" t="s">
        <v>2151</v>
      </c>
      <c r="P1278" s="1" t="s">
        <v>2076</v>
      </c>
      <c r="Q1278" s="1" t="str">
        <f>TEXT((Data[[#This Row],[Order_Date]]), "mmm")</f>
        <v>Dec</v>
      </c>
    </row>
    <row r="1279" spans="4:17" x14ac:dyDescent="0.3">
      <c r="D1279" s="1" t="s">
        <v>1341</v>
      </c>
      <c r="E1279" s="2">
        <v>45379</v>
      </c>
      <c r="F1279" s="2">
        <v>45379</v>
      </c>
      <c r="G1279" s="1" t="s">
        <v>31</v>
      </c>
      <c r="H1279" s="1" t="s">
        <v>12</v>
      </c>
      <c r="I1279" s="1" t="s">
        <v>38</v>
      </c>
      <c r="J1279" s="1" t="s">
        <v>85</v>
      </c>
      <c r="K1279" s="3">
        <v>2037.35</v>
      </c>
      <c r="L1279" s="1">
        <v>5</v>
      </c>
      <c r="M1279" s="1" t="s">
        <v>20</v>
      </c>
      <c r="N1279" s="3">
        <v>-518.71</v>
      </c>
      <c r="O1279" s="1" t="s">
        <v>2172</v>
      </c>
      <c r="P1279" s="1" t="s">
        <v>2078</v>
      </c>
      <c r="Q1279" s="1" t="str">
        <f>TEXT((Data[[#This Row],[Order_Date]]), "mmm")</f>
        <v>Mar</v>
      </c>
    </row>
    <row r="1280" spans="4:17" x14ac:dyDescent="0.3">
      <c r="D1280" s="1" t="s">
        <v>1342</v>
      </c>
      <c r="E1280" s="2">
        <v>45433</v>
      </c>
      <c r="F1280" s="2">
        <v>45437</v>
      </c>
      <c r="G1280" s="1" t="s">
        <v>11</v>
      </c>
      <c r="H1280" s="1" t="s">
        <v>12</v>
      </c>
      <c r="I1280" s="1" t="s">
        <v>42</v>
      </c>
      <c r="J1280" s="1" t="s">
        <v>43</v>
      </c>
      <c r="K1280" s="3">
        <v>2890.82</v>
      </c>
      <c r="L1280" s="1">
        <v>5</v>
      </c>
      <c r="M1280" s="1" t="s">
        <v>49</v>
      </c>
      <c r="N1280" s="3">
        <v>331.18</v>
      </c>
      <c r="O1280" s="1" t="s">
        <v>2132</v>
      </c>
      <c r="P1280" s="1" t="s">
        <v>2071</v>
      </c>
      <c r="Q1280" s="1" t="str">
        <f>TEXT((Data[[#This Row],[Order_Date]]), "mmm")</f>
        <v>May</v>
      </c>
    </row>
    <row r="1281" spans="4:17" x14ac:dyDescent="0.3">
      <c r="D1281" s="1" t="s">
        <v>1343</v>
      </c>
      <c r="E1281" s="2">
        <v>45567</v>
      </c>
      <c r="F1281" s="2">
        <v>45571</v>
      </c>
      <c r="G1281" s="1" t="s">
        <v>36</v>
      </c>
      <c r="H1281" s="1" t="s">
        <v>17</v>
      </c>
      <c r="I1281" s="1" t="s">
        <v>32</v>
      </c>
      <c r="J1281" s="1" t="s">
        <v>33</v>
      </c>
      <c r="K1281" s="3">
        <v>790.87</v>
      </c>
      <c r="L1281" s="1">
        <v>18</v>
      </c>
      <c r="M1281" s="1" t="s">
        <v>15</v>
      </c>
      <c r="N1281" s="3">
        <v>178.79</v>
      </c>
      <c r="O1281" s="1" t="s">
        <v>2128</v>
      </c>
      <c r="P1281" s="1" t="s">
        <v>2076</v>
      </c>
      <c r="Q1281" s="1" t="str">
        <f>TEXT((Data[[#This Row],[Order_Date]]), "mmm")</f>
        <v>Oct</v>
      </c>
    </row>
    <row r="1282" spans="4:17" x14ac:dyDescent="0.3">
      <c r="D1282" s="1" t="s">
        <v>1344</v>
      </c>
      <c r="E1282" s="2">
        <v>45604</v>
      </c>
      <c r="F1282" s="2">
        <v>45604</v>
      </c>
      <c r="G1282" s="1" t="s">
        <v>36</v>
      </c>
      <c r="H1282" s="1" t="s">
        <v>12</v>
      </c>
      <c r="I1282" s="1" t="s">
        <v>38</v>
      </c>
      <c r="J1282" s="1" t="s">
        <v>81</v>
      </c>
      <c r="K1282" s="3">
        <v>2551.94</v>
      </c>
      <c r="L1282" s="1">
        <v>17</v>
      </c>
      <c r="M1282" s="1" t="s">
        <v>49</v>
      </c>
      <c r="N1282" s="3">
        <v>686.76</v>
      </c>
      <c r="O1282" s="1" t="s">
        <v>2257</v>
      </c>
      <c r="P1282" s="1" t="s">
        <v>2076</v>
      </c>
      <c r="Q1282" s="1" t="str">
        <f>TEXT((Data[[#This Row],[Order_Date]]), "mmm")</f>
        <v>Nov</v>
      </c>
    </row>
    <row r="1283" spans="4:17" x14ac:dyDescent="0.3">
      <c r="D1283" s="1" t="s">
        <v>1345</v>
      </c>
      <c r="E1283" s="2">
        <v>45419</v>
      </c>
      <c r="F1283" s="2">
        <v>45421</v>
      </c>
      <c r="G1283" s="1" t="s">
        <v>22</v>
      </c>
      <c r="H1283" s="1" t="s">
        <v>17</v>
      </c>
      <c r="I1283" s="1" t="s">
        <v>32</v>
      </c>
      <c r="J1283" s="1" t="s">
        <v>33</v>
      </c>
      <c r="K1283" s="3">
        <v>2982.5</v>
      </c>
      <c r="L1283" s="1">
        <v>11</v>
      </c>
      <c r="M1283" s="1" t="s">
        <v>20</v>
      </c>
      <c r="N1283" s="3">
        <v>233.38</v>
      </c>
      <c r="O1283" s="1" t="s">
        <v>2217</v>
      </c>
      <c r="P1283" s="1" t="s">
        <v>2076</v>
      </c>
      <c r="Q1283" s="1" t="str">
        <f>TEXT((Data[[#This Row],[Order_Date]]), "mmm")</f>
        <v>May</v>
      </c>
    </row>
    <row r="1284" spans="4:17" x14ac:dyDescent="0.3">
      <c r="D1284" s="1" t="s">
        <v>1346</v>
      </c>
      <c r="E1284" s="2">
        <v>45650</v>
      </c>
      <c r="F1284" s="2">
        <v>45656</v>
      </c>
      <c r="G1284" s="1" t="s">
        <v>31</v>
      </c>
      <c r="H1284" s="1" t="s">
        <v>23</v>
      </c>
      <c r="I1284" s="1" t="s">
        <v>65</v>
      </c>
      <c r="J1284" s="1" t="s">
        <v>66</v>
      </c>
      <c r="K1284" s="3">
        <v>3427.25</v>
      </c>
      <c r="L1284" s="1">
        <v>6</v>
      </c>
      <c r="M1284" s="1" t="s">
        <v>20</v>
      </c>
      <c r="N1284" s="3">
        <v>491.33</v>
      </c>
      <c r="O1284" s="1" t="s">
        <v>2117</v>
      </c>
      <c r="P1284" s="1" t="s">
        <v>2078</v>
      </c>
      <c r="Q1284" s="1" t="str">
        <f>TEXT((Data[[#This Row],[Order_Date]]), "mmm")</f>
        <v>Dec</v>
      </c>
    </row>
    <row r="1285" spans="4:17" x14ac:dyDescent="0.3">
      <c r="D1285" s="1" t="s">
        <v>1347</v>
      </c>
      <c r="E1285" s="2">
        <v>45512</v>
      </c>
      <c r="F1285" s="2">
        <v>45516</v>
      </c>
      <c r="G1285" s="1" t="s">
        <v>31</v>
      </c>
      <c r="H1285" s="1" t="s">
        <v>17</v>
      </c>
      <c r="I1285" s="1" t="s">
        <v>18</v>
      </c>
      <c r="J1285" s="1" t="s">
        <v>54</v>
      </c>
      <c r="K1285" s="3">
        <v>1755.35</v>
      </c>
      <c r="L1285" s="1">
        <v>8</v>
      </c>
      <c r="M1285" s="1" t="s">
        <v>34</v>
      </c>
      <c r="N1285" s="3">
        <v>606.80999999999995</v>
      </c>
      <c r="O1285" s="1" t="s">
        <v>2083</v>
      </c>
      <c r="P1285" s="1" t="s">
        <v>2076</v>
      </c>
      <c r="Q1285" s="1" t="str">
        <f>TEXT((Data[[#This Row],[Order_Date]]), "mmm")</f>
        <v>Aug</v>
      </c>
    </row>
    <row r="1286" spans="4:17" x14ac:dyDescent="0.3">
      <c r="D1286" s="1" t="s">
        <v>1348</v>
      </c>
      <c r="E1286" s="2">
        <v>45465</v>
      </c>
      <c r="F1286" s="2">
        <v>45472</v>
      </c>
      <c r="G1286" s="1" t="s">
        <v>11</v>
      </c>
      <c r="H1286" s="1" t="s">
        <v>12</v>
      </c>
      <c r="I1286" s="1" t="s">
        <v>13</v>
      </c>
      <c r="J1286" s="1" t="s">
        <v>51</v>
      </c>
      <c r="K1286" s="3">
        <v>3547.38</v>
      </c>
      <c r="L1286" s="1">
        <v>2</v>
      </c>
      <c r="M1286" s="1" t="s">
        <v>29</v>
      </c>
      <c r="N1286" s="3">
        <v>240.31</v>
      </c>
      <c r="O1286" s="1" t="s">
        <v>2096</v>
      </c>
      <c r="P1286" s="1" t="s">
        <v>2071</v>
      </c>
      <c r="Q1286" s="1" t="str">
        <f>TEXT((Data[[#This Row],[Order_Date]]), "mmm")</f>
        <v>Jun</v>
      </c>
    </row>
    <row r="1287" spans="4:17" x14ac:dyDescent="0.3">
      <c r="D1287" s="1" t="s">
        <v>1349</v>
      </c>
      <c r="E1287" s="2">
        <v>45378</v>
      </c>
      <c r="F1287" s="2">
        <v>45378</v>
      </c>
      <c r="G1287" s="1" t="s">
        <v>11</v>
      </c>
      <c r="H1287" s="1" t="s">
        <v>17</v>
      </c>
      <c r="I1287" s="1" t="s">
        <v>27</v>
      </c>
      <c r="J1287" s="1" t="s">
        <v>108</v>
      </c>
      <c r="K1287" s="3">
        <v>1398.49</v>
      </c>
      <c r="L1287" s="1">
        <v>19</v>
      </c>
      <c r="M1287" s="1" t="s">
        <v>29</v>
      </c>
      <c r="N1287" s="3">
        <v>-227.19</v>
      </c>
      <c r="O1287" s="1" t="s">
        <v>2093</v>
      </c>
      <c r="P1287" s="1" t="s">
        <v>2078</v>
      </c>
      <c r="Q1287" s="1" t="str">
        <f>TEXT((Data[[#This Row],[Order_Date]]), "mmm")</f>
        <v>Mar</v>
      </c>
    </row>
    <row r="1288" spans="4:17" x14ac:dyDescent="0.3">
      <c r="D1288" s="1" t="s">
        <v>1350</v>
      </c>
      <c r="E1288" s="2">
        <v>45380</v>
      </c>
      <c r="F1288" s="2">
        <v>45383</v>
      </c>
      <c r="G1288" s="1" t="s">
        <v>31</v>
      </c>
      <c r="H1288" s="1" t="s">
        <v>17</v>
      </c>
      <c r="I1288" s="1" t="s">
        <v>32</v>
      </c>
      <c r="J1288" s="1" t="s">
        <v>56</v>
      </c>
      <c r="K1288" s="3">
        <v>3909.15</v>
      </c>
      <c r="L1288" s="1">
        <v>4</v>
      </c>
      <c r="M1288" s="1" t="s">
        <v>15</v>
      </c>
      <c r="N1288" s="3">
        <v>1265.72</v>
      </c>
      <c r="O1288" s="1" t="s">
        <v>2153</v>
      </c>
      <c r="P1288" s="1" t="s">
        <v>2078</v>
      </c>
      <c r="Q1288" s="1" t="str">
        <f>TEXT((Data[[#This Row],[Order_Date]]), "mmm")</f>
        <v>Mar</v>
      </c>
    </row>
    <row r="1289" spans="4:17" x14ac:dyDescent="0.3">
      <c r="D1289" s="1" t="s">
        <v>1351</v>
      </c>
      <c r="E1289" s="2">
        <v>45585</v>
      </c>
      <c r="F1289" s="2">
        <v>45587</v>
      </c>
      <c r="G1289" s="1" t="s">
        <v>31</v>
      </c>
      <c r="H1289" s="1" t="s">
        <v>12</v>
      </c>
      <c r="I1289" s="1" t="s">
        <v>58</v>
      </c>
      <c r="J1289" s="1" t="s">
        <v>59</v>
      </c>
      <c r="K1289" s="3">
        <v>808.19</v>
      </c>
      <c r="L1289" s="1">
        <v>15</v>
      </c>
      <c r="M1289" s="1" t="s">
        <v>20</v>
      </c>
      <c r="N1289" s="3">
        <v>191.24</v>
      </c>
      <c r="O1289" s="1" t="s">
        <v>2143</v>
      </c>
      <c r="P1289" s="1" t="s">
        <v>2071</v>
      </c>
      <c r="Q1289" s="1" t="str">
        <f>TEXT((Data[[#This Row],[Order_Date]]), "mmm")</f>
        <v>Oct</v>
      </c>
    </row>
    <row r="1290" spans="4:17" x14ac:dyDescent="0.3">
      <c r="D1290" s="1" t="s">
        <v>1352</v>
      </c>
      <c r="E1290" s="2">
        <v>45353</v>
      </c>
      <c r="F1290" s="2">
        <v>45357</v>
      </c>
      <c r="G1290" s="1" t="s">
        <v>36</v>
      </c>
      <c r="H1290" s="1" t="s">
        <v>17</v>
      </c>
      <c r="I1290" s="1" t="s">
        <v>27</v>
      </c>
      <c r="J1290" s="1" t="s">
        <v>132</v>
      </c>
      <c r="K1290" s="3">
        <v>2462.9</v>
      </c>
      <c r="L1290" s="1">
        <v>6</v>
      </c>
      <c r="M1290" s="1" t="s">
        <v>20</v>
      </c>
      <c r="N1290" s="3">
        <v>490.84</v>
      </c>
      <c r="O1290" s="1" t="s">
        <v>2080</v>
      </c>
      <c r="P1290" s="1" t="s">
        <v>2078</v>
      </c>
      <c r="Q1290" s="1" t="str">
        <f>TEXT((Data[[#This Row],[Order_Date]]), "mmm")</f>
        <v>Mar</v>
      </c>
    </row>
    <row r="1291" spans="4:17" x14ac:dyDescent="0.3">
      <c r="D1291" s="1" t="s">
        <v>1353</v>
      </c>
      <c r="E1291" s="2">
        <v>45605</v>
      </c>
      <c r="F1291" s="2">
        <v>45610</v>
      </c>
      <c r="G1291" s="1" t="s">
        <v>31</v>
      </c>
      <c r="H1291" s="1" t="s">
        <v>12</v>
      </c>
      <c r="I1291" s="1" t="s">
        <v>42</v>
      </c>
      <c r="J1291" s="1" t="s">
        <v>43</v>
      </c>
      <c r="K1291" s="3">
        <v>3790.04</v>
      </c>
      <c r="L1291" s="1">
        <v>18</v>
      </c>
      <c r="M1291" s="1" t="s">
        <v>20</v>
      </c>
      <c r="N1291" s="3">
        <v>574.20000000000005</v>
      </c>
      <c r="O1291" s="1" t="s">
        <v>2127</v>
      </c>
      <c r="P1291" s="1" t="s">
        <v>2071</v>
      </c>
      <c r="Q1291" s="1" t="str">
        <f>TEXT((Data[[#This Row],[Order_Date]]), "mmm")</f>
        <v>Nov</v>
      </c>
    </row>
    <row r="1292" spans="4:17" x14ac:dyDescent="0.3">
      <c r="D1292" s="1" t="s">
        <v>1354</v>
      </c>
      <c r="E1292" s="2">
        <v>45414</v>
      </c>
      <c r="F1292" s="2">
        <v>45421</v>
      </c>
      <c r="G1292" s="1" t="s">
        <v>22</v>
      </c>
      <c r="H1292" s="1" t="s">
        <v>23</v>
      </c>
      <c r="I1292" s="1" t="s">
        <v>61</v>
      </c>
      <c r="J1292" s="1" t="s">
        <v>98</v>
      </c>
      <c r="K1292" s="3">
        <v>469.84</v>
      </c>
      <c r="L1292" s="1">
        <v>16</v>
      </c>
      <c r="M1292" s="1" t="s">
        <v>15</v>
      </c>
      <c r="N1292" s="3">
        <v>123.23</v>
      </c>
      <c r="O1292" s="1" t="s">
        <v>2299</v>
      </c>
      <c r="P1292" s="1" t="s">
        <v>2078</v>
      </c>
      <c r="Q1292" s="1" t="str">
        <f>TEXT((Data[[#This Row],[Order_Date]]), "mmm")</f>
        <v>May</v>
      </c>
    </row>
    <row r="1293" spans="4:17" x14ac:dyDescent="0.3">
      <c r="D1293" s="1" t="s">
        <v>1355</v>
      </c>
      <c r="E1293" s="2">
        <v>45342</v>
      </c>
      <c r="F1293" s="2">
        <v>45343</v>
      </c>
      <c r="G1293" s="1" t="s">
        <v>36</v>
      </c>
      <c r="H1293" s="1" t="s">
        <v>12</v>
      </c>
      <c r="I1293" s="1" t="s">
        <v>42</v>
      </c>
      <c r="J1293" s="1" t="s">
        <v>72</v>
      </c>
      <c r="K1293" s="3">
        <v>1309.6099999999999</v>
      </c>
      <c r="L1293" s="1">
        <v>5</v>
      </c>
      <c r="M1293" s="1" t="s">
        <v>49</v>
      </c>
      <c r="N1293" s="3">
        <v>365.46</v>
      </c>
      <c r="O1293" s="1" t="s">
        <v>2257</v>
      </c>
      <c r="P1293" s="1" t="s">
        <v>2071</v>
      </c>
      <c r="Q1293" s="1" t="str">
        <f>TEXT((Data[[#This Row],[Order_Date]]), "mmm")</f>
        <v>Feb</v>
      </c>
    </row>
    <row r="1294" spans="4:17" x14ac:dyDescent="0.3">
      <c r="D1294" s="1" t="s">
        <v>1356</v>
      </c>
      <c r="E1294" s="2">
        <v>45612</v>
      </c>
      <c r="F1294" s="2">
        <v>45618</v>
      </c>
      <c r="G1294" s="1" t="s">
        <v>31</v>
      </c>
      <c r="H1294" s="1" t="s">
        <v>23</v>
      </c>
      <c r="I1294" s="1" t="s">
        <v>65</v>
      </c>
      <c r="J1294" s="1" t="s">
        <v>66</v>
      </c>
      <c r="K1294" s="3">
        <v>2089.25</v>
      </c>
      <c r="L1294" s="1">
        <v>16</v>
      </c>
      <c r="M1294" s="1" t="s">
        <v>20</v>
      </c>
      <c r="N1294" s="3">
        <v>305.98</v>
      </c>
      <c r="O1294" s="1" t="s">
        <v>2242</v>
      </c>
      <c r="P1294" s="1" t="s">
        <v>2076</v>
      </c>
      <c r="Q1294" s="1" t="str">
        <f>TEXT((Data[[#This Row],[Order_Date]]), "mmm")</f>
        <v>Nov</v>
      </c>
    </row>
    <row r="1295" spans="4:17" x14ac:dyDescent="0.3">
      <c r="D1295" s="1" t="s">
        <v>1357</v>
      </c>
      <c r="E1295" s="2">
        <v>45491</v>
      </c>
      <c r="F1295" s="2">
        <v>45495</v>
      </c>
      <c r="G1295" s="1" t="s">
        <v>31</v>
      </c>
      <c r="H1295" s="1" t="s">
        <v>23</v>
      </c>
      <c r="I1295" s="1" t="s">
        <v>61</v>
      </c>
      <c r="J1295" s="1" t="s">
        <v>62</v>
      </c>
      <c r="K1295" s="3">
        <v>3367.21</v>
      </c>
      <c r="L1295" s="1">
        <v>7</v>
      </c>
      <c r="M1295" s="1" t="s">
        <v>20</v>
      </c>
      <c r="N1295" s="3">
        <v>478.6</v>
      </c>
      <c r="O1295" s="1" t="s">
        <v>2171</v>
      </c>
      <c r="P1295" s="1" t="s">
        <v>2071</v>
      </c>
      <c r="Q1295" s="1" t="str">
        <f>TEXT((Data[[#This Row],[Order_Date]]), "mmm")</f>
        <v>Jul</v>
      </c>
    </row>
    <row r="1296" spans="4:17" x14ac:dyDescent="0.3">
      <c r="D1296" s="1" t="s">
        <v>1358</v>
      </c>
      <c r="E1296" s="2">
        <v>45584</v>
      </c>
      <c r="F1296" s="2">
        <v>45586</v>
      </c>
      <c r="G1296" s="1" t="s">
        <v>36</v>
      </c>
      <c r="H1296" s="1" t="s">
        <v>12</v>
      </c>
      <c r="I1296" s="1" t="s">
        <v>38</v>
      </c>
      <c r="J1296" s="1" t="s">
        <v>39</v>
      </c>
      <c r="K1296" s="3">
        <v>354.86</v>
      </c>
      <c r="L1296" s="1">
        <v>10</v>
      </c>
      <c r="M1296" s="1" t="s">
        <v>49</v>
      </c>
      <c r="N1296" s="3">
        <v>37.78</v>
      </c>
      <c r="O1296" s="1" t="s">
        <v>2243</v>
      </c>
      <c r="P1296" s="1" t="s">
        <v>2076</v>
      </c>
      <c r="Q1296" s="1" t="str">
        <f>TEXT((Data[[#This Row],[Order_Date]]), "mmm")</f>
        <v>Oct</v>
      </c>
    </row>
    <row r="1297" spans="4:17" x14ac:dyDescent="0.3">
      <c r="D1297" s="1" t="s">
        <v>1359</v>
      </c>
      <c r="E1297" s="2">
        <v>45318</v>
      </c>
      <c r="F1297" s="2">
        <v>45324</v>
      </c>
      <c r="G1297" s="1" t="s">
        <v>22</v>
      </c>
      <c r="H1297" s="1" t="s">
        <v>12</v>
      </c>
      <c r="I1297" s="1" t="s">
        <v>13</v>
      </c>
      <c r="J1297" s="1" t="s">
        <v>51</v>
      </c>
      <c r="K1297" s="3">
        <v>3664.98</v>
      </c>
      <c r="L1297" s="1">
        <v>4</v>
      </c>
      <c r="M1297" s="1" t="s">
        <v>49</v>
      </c>
      <c r="N1297" s="3">
        <v>1227.73</v>
      </c>
      <c r="O1297" s="1" t="s">
        <v>2095</v>
      </c>
      <c r="P1297" s="1" t="s">
        <v>2078</v>
      </c>
      <c r="Q1297" s="1" t="str">
        <f>TEXT((Data[[#This Row],[Order_Date]]), "mmm")</f>
        <v>Jan</v>
      </c>
    </row>
    <row r="1298" spans="4:17" x14ac:dyDescent="0.3">
      <c r="D1298" s="1" t="s">
        <v>1360</v>
      </c>
      <c r="E1298" s="2">
        <v>45656</v>
      </c>
      <c r="F1298" s="2">
        <v>45661</v>
      </c>
      <c r="G1298" s="1" t="s">
        <v>11</v>
      </c>
      <c r="H1298" s="1" t="s">
        <v>12</v>
      </c>
      <c r="I1298" s="1" t="s">
        <v>58</v>
      </c>
      <c r="J1298" s="1" t="s">
        <v>105</v>
      </c>
      <c r="K1298" s="3">
        <v>1025.26</v>
      </c>
      <c r="L1298" s="1">
        <v>20</v>
      </c>
      <c r="M1298" s="1" t="s">
        <v>20</v>
      </c>
      <c r="N1298" s="3">
        <v>65.180000000000007</v>
      </c>
      <c r="O1298" s="1" t="s">
        <v>2253</v>
      </c>
      <c r="P1298" s="1" t="s">
        <v>2076</v>
      </c>
      <c r="Q1298" s="1" t="str">
        <f>TEXT((Data[[#This Row],[Order_Date]]), "mmm")</f>
        <v>Dec</v>
      </c>
    </row>
    <row r="1299" spans="4:17" x14ac:dyDescent="0.3">
      <c r="D1299" s="1" t="s">
        <v>1361</v>
      </c>
      <c r="E1299" s="2">
        <v>45644</v>
      </c>
      <c r="F1299" s="2">
        <v>45645</v>
      </c>
      <c r="G1299" s="1" t="s">
        <v>36</v>
      </c>
      <c r="H1299" s="1" t="s">
        <v>17</v>
      </c>
      <c r="I1299" s="1" t="s">
        <v>18</v>
      </c>
      <c r="J1299" s="1" t="s">
        <v>90</v>
      </c>
      <c r="K1299" s="3">
        <v>3301.14</v>
      </c>
      <c r="L1299" s="1">
        <v>11</v>
      </c>
      <c r="M1299" s="1" t="s">
        <v>44</v>
      </c>
      <c r="N1299" s="3">
        <v>1142.6099999999999</v>
      </c>
      <c r="O1299" s="1" t="s">
        <v>2186</v>
      </c>
      <c r="P1299" s="1" t="s">
        <v>2078</v>
      </c>
      <c r="Q1299" s="1" t="str">
        <f>TEXT((Data[[#This Row],[Order_Date]]), "mmm")</f>
        <v>Dec</v>
      </c>
    </row>
    <row r="1300" spans="4:17" x14ac:dyDescent="0.3">
      <c r="D1300" s="1" t="s">
        <v>1362</v>
      </c>
      <c r="E1300" s="2">
        <v>45482</v>
      </c>
      <c r="F1300" s="2">
        <v>45488</v>
      </c>
      <c r="G1300" s="1" t="s">
        <v>11</v>
      </c>
      <c r="H1300" s="1" t="s">
        <v>17</v>
      </c>
      <c r="I1300" s="1" t="s">
        <v>18</v>
      </c>
      <c r="J1300" s="1" t="s">
        <v>90</v>
      </c>
      <c r="K1300" s="3">
        <v>1173.1500000000001</v>
      </c>
      <c r="L1300" s="1">
        <v>9</v>
      </c>
      <c r="M1300" s="1" t="s">
        <v>49</v>
      </c>
      <c r="N1300" s="3">
        <v>298.12</v>
      </c>
      <c r="O1300" s="1" t="s">
        <v>2233</v>
      </c>
      <c r="P1300" s="1" t="s">
        <v>2071</v>
      </c>
      <c r="Q1300" s="1" t="str">
        <f>TEXT((Data[[#This Row],[Order_Date]]), "mmm")</f>
        <v>Jul</v>
      </c>
    </row>
    <row r="1301" spans="4:17" x14ac:dyDescent="0.3">
      <c r="D1301" s="1" t="s">
        <v>1363</v>
      </c>
      <c r="E1301" s="2">
        <v>45612</v>
      </c>
      <c r="F1301" s="2">
        <v>45616</v>
      </c>
      <c r="G1301" s="1" t="s">
        <v>22</v>
      </c>
      <c r="H1301" s="1" t="s">
        <v>12</v>
      </c>
      <c r="I1301" s="1" t="s">
        <v>13</v>
      </c>
      <c r="J1301" s="1" t="s">
        <v>96</v>
      </c>
      <c r="K1301" s="3">
        <v>2838.55</v>
      </c>
      <c r="L1301" s="1">
        <v>14</v>
      </c>
      <c r="M1301" s="1" t="s">
        <v>49</v>
      </c>
      <c r="N1301" s="3">
        <v>463.08</v>
      </c>
      <c r="O1301" s="1" t="s">
        <v>2196</v>
      </c>
      <c r="P1301" s="1" t="s">
        <v>2076</v>
      </c>
      <c r="Q1301" s="1" t="str">
        <f>TEXT((Data[[#This Row],[Order_Date]]), "mmm")</f>
        <v>Nov</v>
      </c>
    </row>
    <row r="1302" spans="4:17" x14ac:dyDescent="0.3">
      <c r="D1302" s="1" t="s">
        <v>1364</v>
      </c>
      <c r="E1302" s="2">
        <v>45389</v>
      </c>
      <c r="F1302" s="2">
        <v>45396</v>
      </c>
      <c r="G1302" s="1" t="s">
        <v>36</v>
      </c>
      <c r="H1302" s="1" t="s">
        <v>12</v>
      </c>
      <c r="I1302" s="1" t="s">
        <v>38</v>
      </c>
      <c r="J1302" s="1" t="s">
        <v>39</v>
      </c>
      <c r="K1302" s="3">
        <v>2846.96</v>
      </c>
      <c r="L1302" s="1">
        <v>2</v>
      </c>
      <c r="M1302" s="1" t="s">
        <v>15</v>
      </c>
      <c r="N1302" s="3">
        <v>-797.54</v>
      </c>
      <c r="O1302" s="1" t="s">
        <v>2148</v>
      </c>
      <c r="P1302" s="1" t="s">
        <v>2071</v>
      </c>
      <c r="Q1302" s="1" t="str">
        <f>TEXT((Data[[#This Row],[Order_Date]]), "mmm")</f>
        <v>Apr</v>
      </c>
    </row>
    <row r="1303" spans="4:17" x14ac:dyDescent="0.3">
      <c r="D1303" s="1" t="s">
        <v>1365</v>
      </c>
      <c r="E1303" s="2">
        <v>45645</v>
      </c>
      <c r="F1303" s="2">
        <v>45648</v>
      </c>
      <c r="G1303" s="1" t="s">
        <v>11</v>
      </c>
      <c r="H1303" s="1" t="s">
        <v>12</v>
      </c>
      <c r="I1303" s="1" t="s">
        <v>38</v>
      </c>
      <c r="J1303" s="1" t="s">
        <v>81</v>
      </c>
      <c r="K1303" s="3">
        <v>845.96</v>
      </c>
      <c r="L1303" s="1">
        <v>16</v>
      </c>
      <c r="M1303" s="1" t="s">
        <v>20</v>
      </c>
      <c r="N1303" s="3">
        <v>88.83</v>
      </c>
      <c r="O1303" s="1" t="s">
        <v>2249</v>
      </c>
      <c r="P1303" s="1" t="s">
        <v>2071</v>
      </c>
      <c r="Q1303" s="1" t="str">
        <f>TEXT((Data[[#This Row],[Order_Date]]), "mmm")</f>
        <v>Dec</v>
      </c>
    </row>
    <row r="1304" spans="4:17" x14ac:dyDescent="0.3">
      <c r="D1304" s="1" t="s">
        <v>1366</v>
      </c>
      <c r="E1304" s="2">
        <v>45423</v>
      </c>
      <c r="F1304" s="2">
        <v>45429</v>
      </c>
      <c r="G1304" s="1" t="s">
        <v>36</v>
      </c>
      <c r="H1304" s="1" t="s">
        <v>12</v>
      </c>
      <c r="I1304" s="1" t="s">
        <v>13</v>
      </c>
      <c r="J1304" s="1" t="s">
        <v>129</v>
      </c>
      <c r="K1304" s="3">
        <v>3458.16</v>
      </c>
      <c r="L1304" s="1">
        <v>9</v>
      </c>
      <c r="M1304" s="1" t="s">
        <v>20</v>
      </c>
      <c r="N1304" s="3">
        <v>962.39</v>
      </c>
      <c r="O1304" s="1" t="s">
        <v>2198</v>
      </c>
      <c r="P1304" s="1" t="s">
        <v>2076</v>
      </c>
      <c r="Q1304" s="1" t="str">
        <f>TEXT((Data[[#This Row],[Order_Date]]), "mmm")</f>
        <v>May</v>
      </c>
    </row>
    <row r="1305" spans="4:17" x14ac:dyDescent="0.3">
      <c r="D1305" s="1" t="s">
        <v>1367</v>
      </c>
      <c r="E1305" s="2">
        <v>45395</v>
      </c>
      <c r="F1305" s="2">
        <v>45396</v>
      </c>
      <c r="G1305" s="1" t="s">
        <v>31</v>
      </c>
      <c r="H1305" s="1" t="s">
        <v>17</v>
      </c>
      <c r="I1305" s="1" t="s">
        <v>18</v>
      </c>
      <c r="J1305" s="1" t="s">
        <v>90</v>
      </c>
      <c r="K1305" s="3">
        <v>3983.34</v>
      </c>
      <c r="L1305" s="1">
        <v>16</v>
      </c>
      <c r="M1305" s="1" t="s">
        <v>49</v>
      </c>
      <c r="N1305" s="3">
        <v>329.83</v>
      </c>
      <c r="O1305" s="1" t="s">
        <v>2175</v>
      </c>
      <c r="P1305" s="1" t="s">
        <v>2076</v>
      </c>
      <c r="Q1305" s="1" t="str">
        <f>TEXT((Data[[#This Row],[Order_Date]]), "mmm")</f>
        <v>Apr</v>
      </c>
    </row>
    <row r="1306" spans="4:17" x14ac:dyDescent="0.3">
      <c r="D1306" s="1" t="s">
        <v>1368</v>
      </c>
      <c r="E1306" s="2">
        <v>45490</v>
      </c>
      <c r="F1306" s="2">
        <v>45492</v>
      </c>
      <c r="G1306" s="1" t="s">
        <v>11</v>
      </c>
      <c r="H1306" s="1" t="s">
        <v>12</v>
      </c>
      <c r="I1306" s="1" t="s">
        <v>38</v>
      </c>
      <c r="J1306" s="1" t="s">
        <v>81</v>
      </c>
      <c r="K1306" s="3">
        <v>1884.81</v>
      </c>
      <c r="L1306" s="1">
        <v>12</v>
      </c>
      <c r="M1306" s="1" t="s">
        <v>49</v>
      </c>
      <c r="N1306" s="3">
        <v>511.73</v>
      </c>
      <c r="O1306" s="1" t="s">
        <v>2092</v>
      </c>
      <c r="P1306" s="1" t="s">
        <v>2076</v>
      </c>
      <c r="Q1306" s="1" t="str">
        <f>TEXT((Data[[#This Row],[Order_Date]]), "mmm")</f>
        <v>Jul</v>
      </c>
    </row>
    <row r="1307" spans="4:17" x14ac:dyDescent="0.3">
      <c r="D1307" s="1" t="s">
        <v>1369</v>
      </c>
      <c r="E1307" s="2">
        <v>45313</v>
      </c>
      <c r="F1307" s="2">
        <v>45316</v>
      </c>
      <c r="G1307" s="1" t="s">
        <v>22</v>
      </c>
      <c r="H1307" s="1" t="s">
        <v>12</v>
      </c>
      <c r="I1307" s="1" t="s">
        <v>13</v>
      </c>
      <c r="J1307" s="1" t="s">
        <v>51</v>
      </c>
      <c r="K1307" s="3">
        <v>2383.0100000000002</v>
      </c>
      <c r="L1307" s="1">
        <v>5</v>
      </c>
      <c r="M1307" s="1" t="s">
        <v>34</v>
      </c>
      <c r="N1307" s="3">
        <v>733.6</v>
      </c>
      <c r="O1307" s="1" t="s">
        <v>2102</v>
      </c>
      <c r="P1307" s="1" t="s">
        <v>2078</v>
      </c>
      <c r="Q1307" s="1" t="str">
        <f>TEXT((Data[[#This Row],[Order_Date]]), "mmm")</f>
        <v>Jan</v>
      </c>
    </row>
    <row r="1308" spans="4:17" x14ac:dyDescent="0.3">
      <c r="D1308" s="1" t="s">
        <v>1370</v>
      </c>
      <c r="E1308" s="2">
        <v>45381</v>
      </c>
      <c r="F1308" s="2">
        <v>45386</v>
      </c>
      <c r="G1308" s="1" t="s">
        <v>31</v>
      </c>
      <c r="H1308" s="1" t="s">
        <v>17</v>
      </c>
      <c r="I1308" s="1" t="s">
        <v>32</v>
      </c>
      <c r="J1308" s="1" t="s">
        <v>56</v>
      </c>
      <c r="K1308" s="3">
        <v>1717.42</v>
      </c>
      <c r="L1308" s="1">
        <v>5</v>
      </c>
      <c r="M1308" s="1" t="s">
        <v>34</v>
      </c>
      <c r="N1308" s="3">
        <v>346.37</v>
      </c>
      <c r="O1308" s="1" t="s">
        <v>2119</v>
      </c>
      <c r="P1308" s="1" t="s">
        <v>2076</v>
      </c>
      <c r="Q1308" s="1" t="str">
        <f>TEXT((Data[[#This Row],[Order_Date]]), "mmm")</f>
        <v>Mar</v>
      </c>
    </row>
    <row r="1309" spans="4:17" x14ac:dyDescent="0.3">
      <c r="D1309" s="1" t="s">
        <v>1371</v>
      </c>
      <c r="E1309" s="2">
        <v>45613</v>
      </c>
      <c r="F1309" s="2">
        <v>45616</v>
      </c>
      <c r="G1309" s="1" t="s">
        <v>36</v>
      </c>
      <c r="H1309" s="1" t="s">
        <v>12</v>
      </c>
      <c r="I1309" s="1" t="s">
        <v>42</v>
      </c>
      <c r="J1309" s="1" t="s">
        <v>48</v>
      </c>
      <c r="K1309" s="3">
        <v>3517.51</v>
      </c>
      <c r="L1309" s="1">
        <v>3</v>
      </c>
      <c r="M1309" s="1" t="s">
        <v>44</v>
      </c>
      <c r="N1309" s="3">
        <v>810.78</v>
      </c>
      <c r="O1309" s="1" t="s">
        <v>2219</v>
      </c>
      <c r="P1309" s="1" t="s">
        <v>2076</v>
      </c>
      <c r="Q1309" s="1" t="str">
        <f>TEXT((Data[[#This Row],[Order_Date]]), "mmm")</f>
        <v>Nov</v>
      </c>
    </row>
    <row r="1310" spans="4:17" x14ac:dyDescent="0.3">
      <c r="D1310" s="1" t="s">
        <v>1372</v>
      </c>
      <c r="E1310" s="2">
        <v>45374</v>
      </c>
      <c r="F1310" s="2">
        <v>45376</v>
      </c>
      <c r="G1310" s="1" t="s">
        <v>36</v>
      </c>
      <c r="H1310" s="1" t="s">
        <v>17</v>
      </c>
      <c r="I1310" s="1" t="s">
        <v>18</v>
      </c>
      <c r="J1310" s="1" t="s">
        <v>90</v>
      </c>
      <c r="K1310" s="3">
        <v>494.24</v>
      </c>
      <c r="L1310" s="1">
        <v>17</v>
      </c>
      <c r="M1310" s="1" t="s">
        <v>29</v>
      </c>
      <c r="N1310" s="3">
        <v>27.3</v>
      </c>
      <c r="O1310" s="1" t="s">
        <v>2239</v>
      </c>
      <c r="P1310" s="1" t="s">
        <v>2078</v>
      </c>
      <c r="Q1310" s="1" t="str">
        <f>TEXT((Data[[#This Row],[Order_Date]]), "mmm")</f>
        <v>Mar</v>
      </c>
    </row>
    <row r="1311" spans="4:17" x14ac:dyDescent="0.3">
      <c r="D1311" s="1" t="s">
        <v>1373</v>
      </c>
      <c r="E1311" s="2">
        <v>45456</v>
      </c>
      <c r="F1311" s="2">
        <v>45461</v>
      </c>
      <c r="G1311" s="1" t="s">
        <v>11</v>
      </c>
      <c r="H1311" s="1" t="s">
        <v>17</v>
      </c>
      <c r="I1311" s="1" t="s">
        <v>18</v>
      </c>
      <c r="J1311" s="1" t="s">
        <v>90</v>
      </c>
      <c r="K1311" s="3">
        <v>1126.23</v>
      </c>
      <c r="L1311" s="1">
        <v>13</v>
      </c>
      <c r="M1311" s="1" t="s">
        <v>20</v>
      </c>
      <c r="N1311" s="3">
        <v>246.43</v>
      </c>
      <c r="O1311" s="1" t="s">
        <v>2211</v>
      </c>
      <c r="P1311" s="1" t="s">
        <v>2071</v>
      </c>
      <c r="Q1311" s="1" t="str">
        <f>TEXT((Data[[#This Row],[Order_Date]]), "mmm")</f>
        <v>Jun</v>
      </c>
    </row>
    <row r="1312" spans="4:17" x14ac:dyDescent="0.3">
      <c r="D1312" s="1" t="s">
        <v>1374</v>
      </c>
      <c r="E1312" s="2">
        <v>45582</v>
      </c>
      <c r="F1312" s="2">
        <v>45583</v>
      </c>
      <c r="G1312" s="1" t="s">
        <v>22</v>
      </c>
      <c r="H1312" s="1" t="s">
        <v>12</v>
      </c>
      <c r="I1312" s="1" t="s">
        <v>38</v>
      </c>
      <c r="J1312" s="1" t="s">
        <v>39</v>
      </c>
      <c r="K1312" s="3">
        <v>2295.9299999999998</v>
      </c>
      <c r="L1312" s="1">
        <v>1</v>
      </c>
      <c r="M1312" s="1" t="s">
        <v>15</v>
      </c>
      <c r="N1312" s="3">
        <v>682.35</v>
      </c>
      <c r="O1312" s="1" t="s">
        <v>2212</v>
      </c>
      <c r="P1312" s="1" t="s">
        <v>2076</v>
      </c>
      <c r="Q1312" s="1" t="str">
        <f>TEXT((Data[[#This Row],[Order_Date]]), "mmm")</f>
        <v>Oct</v>
      </c>
    </row>
    <row r="1313" spans="4:17" x14ac:dyDescent="0.3">
      <c r="D1313" s="1" t="s">
        <v>1375</v>
      </c>
      <c r="E1313" s="2">
        <v>45584</v>
      </c>
      <c r="F1313" s="2">
        <v>45590</v>
      </c>
      <c r="G1313" s="1" t="s">
        <v>36</v>
      </c>
      <c r="H1313" s="1" t="s">
        <v>12</v>
      </c>
      <c r="I1313" s="1" t="s">
        <v>42</v>
      </c>
      <c r="J1313" s="1" t="s">
        <v>43</v>
      </c>
      <c r="K1313" s="3">
        <v>3663.4</v>
      </c>
      <c r="L1313" s="1">
        <v>8</v>
      </c>
      <c r="M1313" s="1" t="s">
        <v>15</v>
      </c>
      <c r="N1313" s="3">
        <v>722.31</v>
      </c>
      <c r="O1313" s="1" t="s">
        <v>2298</v>
      </c>
      <c r="P1313" s="1" t="s">
        <v>2078</v>
      </c>
      <c r="Q1313" s="1" t="str">
        <f>TEXT((Data[[#This Row],[Order_Date]]), "mmm")</f>
        <v>Oct</v>
      </c>
    </row>
    <row r="1314" spans="4:17" x14ac:dyDescent="0.3">
      <c r="D1314" s="1" t="s">
        <v>1376</v>
      </c>
      <c r="E1314" s="2">
        <v>45617</v>
      </c>
      <c r="F1314" s="2">
        <v>45624</v>
      </c>
      <c r="G1314" s="1" t="s">
        <v>31</v>
      </c>
      <c r="H1314" s="1" t="s">
        <v>17</v>
      </c>
      <c r="I1314" s="1" t="s">
        <v>27</v>
      </c>
      <c r="J1314" s="1" t="s">
        <v>110</v>
      </c>
      <c r="K1314" s="3">
        <v>1089.4000000000001</v>
      </c>
      <c r="L1314" s="1">
        <v>10</v>
      </c>
      <c r="M1314" s="1" t="s">
        <v>15</v>
      </c>
      <c r="N1314" s="3">
        <v>293.37</v>
      </c>
      <c r="O1314" s="1" t="s">
        <v>2236</v>
      </c>
      <c r="P1314" s="1" t="s">
        <v>2071</v>
      </c>
      <c r="Q1314" s="1" t="str">
        <f>TEXT((Data[[#This Row],[Order_Date]]), "mmm")</f>
        <v>Nov</v>
      </c>
    </row>
    <row r="1315" spans="4:17" x14ac:dyDescent="0.3">
      <c r="D1315" s="1" t="s">
        <v>1377</v>
      </c>
      <c r="E1315" s="2">
        <v>45490</v>
      </c>
      <c r="F1315" s="2">
        <v>45494</v>
      </c>
      <c r="G1315" s="1" t="s">
        <v>22</v>
      </c>
      <c r="H1315" s="1" t="s">
        <v>23</v>
      </c>
      <c r="I1315" s="1" t="s">
        <v>61</v>
      </c>
      <c r="J1315" s="1" t="s">
        <v>98</v>
      </c>
      <c r="K1315" s="3">
        <v>3270.44</v>
      </c>
      <c r="L1315" s="1">
        <v>5</v>
      </c>
      <c r="M1315" s="1" t="s">
        <v>20</v>
      </c>
      <c r="N1315" s="3">
        <v>614.78</v>
      </c>
      <c r="O1315" s="1" t="s">
        <v>2293</v>
      </c>
      <c r="P1315" s="1" t="s">
        <v>2076</v>
      </c>
      <c r="Q1315" s="1" t="str">
        <f>TEXT((Data[[#This Row],[Order_Date]]), "mmm")</f>
        <v>Jul</v>
      </c>
    </row>
    <row r="1316" spans="4:17" x14ac:dyDescent="0.3">
      <c r="D1316" s="1" t="s">
        <v>1378</v>
      </c>
      <c r="E1316" s="2">
        <v>45569</v>
      </c>
      <c r="F1316" s="2">
        <v>45572</v>
      </c>
      <c r="G1316" s="1" t="s">
        <v>31</v>
      </c>
      <c r="H1316" s="1" t="s">
        <v>17</v>
      </c>
      <c r="I1316" s="1" t="s">
        <v>32</v>
      </c>
      <c r="J1316" s="1" t="s">
        <v>33</v>
      </c>
      <c r="K1316" s="3">
        <v>1030.3800000000001</v>
      </c>
      <c r="L1316" s="1">
        <v>13</v>
      </c>
      <c r="M1316" s="1" t="s">
        <v>49</v>
      </c>
      <c r="N1316" s="3">
        <v>324.66000000000003</v>
      </c>
      <c r="O1316" s="1" t="s">
        <v>2094</v>
      </c>
      <c r="P1316" s="1" t="s">
        <v>2071</v>
      </c>
      <c r="Q1316" s="1" t="str">
        <f>TEXT((Data[[#This Row],[Order_Date]]), "mmm")</f>
        <v>Oct</v>
      </c>
    </row>
    <row r="1317" spans="4:17" x14ac:dyDescent="0.3">
      <c r="D1317" s="1" t="s">
        <v>1379</v>
      </c>
      <c r="E1317" s="2">
        <v>45523</v>
      </c>
      <c r="F1317" s="2">
        <v>45530</v>
      </c>
      <c r="G1317" s="1" t="s">
        <v>31</v>
      </c>
      <c r="H1317" s="1" t="s">
        <v>23</v>
      </c>
      <c r="I1317" s="1" t="s">
        <v>24</v>
      </c>
      <c r="J1317" s="1" t="s">
        <v>93</v>
      </c>
      <c r="K1317" s="3">
        <v>1472.54</v>
      </c>
      <c r="L1317" s="1">
        <v>13</v>
      </c>
      <c r="M1317" s="1" t="s">
        <v>44</v>
      </c>
      <c r="N1317" s="3">
        <v>393.16</v>
      </c>
      <c r="O1317" s="1" t="s">
        <v>2213</v>
      </c>
      <c r="P1317" s="1" t="s">
        <v>2076</v>
      </c>
      <c r="Q1317" s="1" t="str">
        <f>TEXT((Data[[#This Row],[Order_Date]]), "mmm")</f>
        <v>Aug</v>
      </c>
    </row>
    <row r="1318" spans="4:17" x14ac:dyDescent="0.3">
      <c r="D1318" s="1" t="s">
        <v>1380</v>
      </c>
      <c r="E1318" s="2">
        <v>45403</v>
      </c>
      <c r="F1318" s="2">
        <v>45406</v>
      </c>
      <c r="G1318" s="1" t="s">
        <v>22</v>
      </c>
      <c r="H1318" s="1" t="s">
        <v>12</v>
      </c>
      <c r="I1318" s="1" t="s">
        <v>13</v>
      </c>
      <c r="J1318" s="1" t="s">
        <v>96</v>
      </c>
      <c r="K1318" s="3">
        <v>2305.77</v>
      </c>
      <c r="L1318" s="1">
        <v>14</v>
      </c>
      <c r="M1318" s="1" t="s">
        <v>34</v>
      </c>
      <c r="N1318" s="3">
        <v>560.76</v>
      </c>
      <c r="O1318" s="1" t="s">
        <v>2092</v>
      </c>
      <c r="P1318" s="1" t="s">
        <v>2078</v>
      </c>
      <c r="Q1318" s="1" t="str">
        <f>TEXT((Data[[#This Row],[Order_Date]]), "mmm")</f>
        <v>Apr</v>
      </c>
    </row>
    <row r="1319" spans="4:17" x14ac:dyDescent="0.3">
      <c r="D1319" s="1" t="s">
        <v>1381</v>
      </c>
      <c r="E1319" s="2">
        <v>45364</v>
      </c>
      <c r="F1319" s="2">
        <v>45371</v>
      </c>
      <c r="G1319" s="1" t="s">
        <v>11</v>
      </c>
      <c r="H1319" s="1" t="s">
        <v>12</v>
      </c>
      <c r="I1319" s="1" t="s">
        <v>42</v>
      </c>
      <c r="J1319" s="1" t="s">
        <v>46</v>
      </c>
      <c r="K1319" s="3">
        <v>3642.54</v>
      </c>
      <c r="L1319" s="1">
        <v>20</v>
      </c>
      <c r="M1319" s="1" t="s">
        <v>49</v>
      </c>
      <c r="N1319" s="3">
        <v>237.73</v>
      </c>
      <c r="O1319" s="1" t="s">
        <v>2229</v>
      </c>
      <c r="P1319" s="1" t="s">
        <v>2076</v>
      </c>
      <c r="Q1319" s="1" t="str">
        <f>TEXT((Data[[#This Row],[Order_Date]]), "mmm")</f>
        <v>Mar</v>
      </c>
    </row>
    <row r="1320" spans="4:17" x14ac:dyDescent="0.3">
      <c r="D1320" s="1" t="s">
        <v>1382</v>
      </c>
      <c r="E1320" s="2">
        <v>45574</v>
      </c>
      <c r="F1320" s="2">
        <v>45576</v>
      </c>
      <c r="G1320" s="1" t="s">
        <v>31</v>
      </c>
      <c r="H1320" s="1" t="s">
        <v>12</v>
      </c>
      <c r="I1320" s="1" t="s">
        <v>42</v>
      </c>
      <c r="J1320" s="1" t="s">
        <v>72</v>
      </c>
      <c r="K1320" s="3">
        <v>3787</v>
      </c>
      <c r="L1320" s="1">
        <v>1</v>
      </c>
      <c r="M1320" s="1" t="s">
        <v>15</v>
      </c>
      <c r="N1320" s="3">
        <v>423.9</v>
      </c>
      <c r="O1320" s="1" t="s">
        <v>2172</v>
      </c>
      <c r="P1320" s="1" t="s">
        <v>2078</v>
      </c>
      <c r="Q1320" s="1" t="str">
        <f>TEXT((Data[[#This Row],[Order_Date]]), "mmm")</f>
        <v>Oct</v>
      </c>
    </row>
    <row r="1321" spans="4:17" x14ac:dyDescent="0.3">
      <c r="D1321" s="1" t="s">
        <v>1383</v>
      </c>
      <c r="E1321" s="2">
        <v>45380</v>
      </c>
      <c r="F1321" s="2">
        <v>45384</v>
      </c>
      <c r="G1321" s="1" t="s">
        <v>22</v>
      </c>
      <c r="H1321" s="1" t="s">
        <v>12</v>
      </c>
      <c r="I1321" s="1" t="s">
        <v>42</v>
      </c>
      <c r="J1321" s="1" t="s">
        <v>72</v>
      </c>
      <c r="K1321" s="3">
        <v>815.06</v>
      </c>
      <c r="L1321" s="1">
        <v>11</v>
      </c>
      <c r="M1321" s="1" t="s">
        <v>49</v>
      </c>
      <c r="N1321" s="3">
        <v>100.83</v>
      </c>
      <c r="O1321" s="1" t="s">
        <v>2216</v>
      </c>
      <c r="P1321" s="1" t="s">
        <v>2071</v>
      </c>
      <c r="Q1321" s="1" t="str">
        <f>TEXT((Data[[#This Row],[Order_Date]]), "mmm")</f>
        <v>Mar</v>
      </c>
    </row>
    <row r="1322" spans="4:17" x14ac:dyDescent="0.3">
      <c r="D1322" s="1" t="s">
        <v>1384</v>
      </c>
      <c r="E1322" s="2">
        <v>45541</v>
      </c>
      <c r="F1322" s="2">
        <v>45546</v>
      </c>
      <c r="G1322" s="1" t="s">
        <v>11</v>
      </c>
      <c r="H1322" s="1" t="s">
        <v>12</v>
      </c>
      <c r="I1322" s="1" t="s">
        <v>38</v>
      </c>
      <c r="J1322" s="1" t="s">
        <v>81</v>
      </c>
      <c r="K1322" s="3">
        <v>571.55999999999995</v>
      </c>
      <c r="L1322" s="1">
        <v>1</v>
      </c>
      <c r="M1322" s="1" t="s">
        <v>20</v>
      </c>
      <c r="N1322" s="3">
        <v>-85.42</v>
      </c>
      <c r="O1322" s="1" t="s">
        <v>2091</v>
      </c>
      <c r="P1322" s="1" t="s">
        <v>2078</v>
      </c>
      <c r="Q1322" s="1" t="str">
        <f>TEXT((Data[[#This Row],[Order_Date]]), "mmm")</f>
        <v>Sep</v>
      </c>
    </row>
    <row r="1323" spans="4:17" x14ac:dyDescent="0.3">
      <c r="D1323" s="1" t="s">
        <v>1385</v>
      </c>
      <c r="E1323" s="2">
        <v>45474</v>
      </c>
      <c r="F1323" s="2">
        <v>45477</v>
      </c>
      <c r="G1323" s="1" t="s">
        <v>22</v>
      </c>
      <c r="H1323" s="1" t="s">
        <v>17</v>
      </c>
      <c r="I1323" s="1" t="s">
        <v>27</v>
      </c>
      <c r="J1323" s="1" t="s">
        <v>28</v>
      </c>
      <c r="K1323" s="3">
        <v>1611.03</v>
      </c>
      <c r="L1323" s="1">
        <v>11</v>
      </c>
      <c r="M1323" s="1" t="s">
        <v>29</v>
      </c>
      <c r="N1323" s="3">
        <v>517.71</v>
      </c>
      <c r="O1323" s="1" t="s">
        <v>2287</v>
      </c>
      <c r="P1323" s="1" t="s">
        <v>2071</v>
      </c>
      <c r="Q1323" s="1" t="str">
        <f>TEXT((Data[[#This Row],[Order_Date]]), "mmm")</f>
        <v>Jul</v>
      </c>
    </row>
    <row r="1324" spans="4:17" x14ac:dyDescent="0.3">
      <c r="D1324" s="1" t="s">
        <v>1386</v>
      </c>
      <c r="E1324" s="2">
        <v>45465</v>
      </c>
      <c r="F1324" s="2">
        <v>45467</v>
      </c>
      <c r="G1324" s="1" t="s">
        <v>36</v>
      </c>
      <c r="H1324" s="1" t="s">
        <v>23</v>
      </c>
      <c r="I1324" s="1" t="s">
        <v>61</v>
      </c>
      <c r="J1324" s="1" t="s">
        <v>62</v>
      </c>
      <c r="K1324" s="3">
        <v>849.3</v>
      </c>
      <c r="L1324" s="1">
        <v>5</v>
      </c>
      <c r="M1324" s="1" t="s">
        <v>44</v>
      </c>
      <c r="N1324" s="3">
        <v>148.25</v>
      </c>
      <c r="O1324" s="1" t="s">
        <v>2137</v>
      </c>
      <c r="P1324" s="1" t="s">
        <v>2078</v>
      </c>
      <c r="Q1324" s="1" t="str">
        <f>TEXT((Data[[#This Row],[Order_Date]]), "mmm")</f>
        <v>Jun</v>
      </c>
    </row>
    <row r="1325" spans="4:17" x14ac:dyDescent="0.3">
      <c r="D1325" s="1" t="s">
        <v>1387</v>
      </c>
      <c r="E1325" s="2">
        <v>45608</v>
      </c>
      <c r="F1325" s="2">
        <v>45614</v>
      </c>
      <c r="G1325" s="1" t="s">
        <v>22</v>
      </c>
      <c r="H1325" s="1" t="s">
        <v>12</v>
      </c>
      <c r="I1325" s="1" t="s">
        <v>42</v>
      </c>
      <c r="J1325" s="1" t="s">
        <v>46</v>
      </c>
      <c r="K1325" s="3">
        <v>2837.36</v>
      </c>
      <c r="L1325" s="1">
        <v>8</v>
      </c>
      <c r="M1325" s="1" t="s">
        <v>20</v>
      </c>
      <c r="N1325" s="3">
        <v>-706.96</v>
      </c>
      <c r="O1325" s="1" t="s">
        <v>2307</v>
      </c>
      <c r="P1325" s="1" t="s">
        <v>2076</v>
      </c>
      <c r="Q1325" s="1" t="str">
        <f>TEXT((Data[[#This Row],[Order_Date]]), "mmm")</f>
        <v>Nov</v>
      </c>
    </row>
    <row r="1326" spans="4:17" x14ac:dyDescent="0.3">
      <c r="D1326" s="1" t="s">
        <v>1388</v>
      </c>
      <c r="E1326" s="2">
        <v>45519</v>
      </c>
      <c r="F1326" s="2">
        <v>45520</v>
      </c>
      <c r="G1326" s="1" t="s">
        <v>11</v>
      </c>
      <c r="H1326" s="1" t="s">
        <v>17</v>
      </c>
      <c r="I1326" s="1" t="s">
        <v>27</v>
      </c>
      <c r="J1326" s="1" t="s">
        <v>108</v>
      </c>
      <c r="K1326" s="3">
        <v>1672.64</v>
      </c>
      <c r="L1326" s="1">
        <v>6</v>
      </c>
      <c r="M1326" s="1" t="s">
        <v>20</v>
      </c>
      <c r="N1326" s="3">
        <v>377.77</v>
      </c>
      <c r="O1326" s="1" t="s">
        <v>2275</v>
      </c>
      <c r="P1326" s="1" t="s">
        <v>2071</v>
      </c>
      <c r="Q1326" s="1" t="str">
        <f>TEXT((Data[[#This Row],[Order_Date]]), "mmm")</f>
        <v>Aug</v>
      </c>
    </row>
    <row r="1327" spans="4:17" x14ac:dyDescent="0.3">
      <c r="D1327" s="1" t="s">
        <v>1389</v>
      </c>
      <c r="E1327" s="2">
        <v>45477</v>
      </c>
      <c r="F1327" s="2">
        <v>45484</v>
      </c>
      <c r="G1327" s="1" t="s">
        <v>22</v>
      </c>
      <c r="H1327" s="1" t="s">
        <v>23</v>
      </c>
      <c r="I1327" s="1" t="s">
        <v>61</v>
      </c>
      <c r="J1327" s="1" t="s">
        <v>98</v>
      </c>
      <c r="K1327" s="3">
        <v>3799.77</v>
      </c>
      <c r="L1327" s="1">
        <v>19</v>
      </c>
      <c r="M1327" s="1" t="s">
        <v>34</v>
      </c>
      <c r="N1327" s="3">
        <v>1199.52</v>
      </c>
      <c r="O1327" s="1" t="s">
        <v>2272</v>
      </c>
      <c r="P1327" s="1" t="s">
        <v>2071</v>
      </c>
      <c r="Q1327" s="1" t="str">
        <f>TEXT((Data[[#This Row],[Order_Date]]), "mmm")</f>
        <v>Jul</v>
      </c>
    </row>
    <row r="1328" spans="4:17" x14ac:dyDescent="0.3">
      <c r="D1328" s="1" t="s">
        <v>1390</v>
      </c>
      <c r="E1328" s="2">
        <v>45481</v>
      </c>
      <c r="F1328" s="2">
        <v>45482</v>
      </c>
      <c r="G1328" s="1" t="s">
        <v>22</v>
      </c>
      <c r="H1328" s="1" t="s">
        <v>17</v>
      </c>
      <c r="I1328" s="1" t="s">
        <v>32</v>
      </c>
      <c r="J1328" s="1" t="s">
        <v>33</v>
      </c>
      <c r="K1328" s="3">
        <v>2790.15</v>
      </c>
      <c r="L1328" s="1">
        <v>5</v>
      </c>
      <c r="M1328" s="1" t="s">
        <v>20</v>
      </c>
      <c r="N1328" s="3">
        <v>970.61</v>
      </c>
      <c r="O1328" s="1" t="s">
        <v>2122</v>
      </c>
      <c r="P1328" s="1" t="s">
        <v>2078</v>
      </c>
      <c r="Q1328" s="1" t="str">
        <f>TEXT((Data[[#This Row],[Order_Date]]), "mmm")</f>
        <v>Jul</v>
      </c>
    </row>
    <row r="1329" spans="4:17" x14ac:dyDescent="0.3">
      <c r="D1329" s="1" t="s">
        <v>1391</v>
      </c>
      <c r="E1329" s="2">
        <v>45634</v>
      </c>
      <c r="F1329" s="2">
        <v>45637</v>
      </c>
      <c r="G1329" s="1" t="s">
        <v>36</v>
      </c>
      <c r="H1329" s="1" t="s">
        <v>23</v>
      </c>
      <c r="I1329" s="1" t="s">
        <v>61</v>
      </c>
      <c r="J1329" s="1" t="s">
        <v>98</v>
      </c>
      <c r="K1329" s="3">
        <v>2510.5500000000002</v>
      </c>
      <c r="L1329" s="1">
        <v>16</v>
      </c>
      <c r="M1329" s="1" t="s">
        <v>20</v>
      </c>
      <c r="N1329" s="3">
        <v>593.89</v>
      </c>
      <c r="O1329" s="1" t="s">
        <v>2114</v>
      </c>
      <c r="P1329" s="1" t="s">
        <v>2076</v>
      </c>
      <c r="Q1329" s="1" t="str">
        <f>TEXT((Data[[#This Row],[Order_Date]]), "mmm")</f>
        <v>Dec</v>
      </c>
    </row>
    <row r="1330" spans="4:17" x14ac:dyDescent="0.3">
      <c r="D1330" s="1" t="s">
        <v>1392</v>
      </c>
      <c r="E1330" s="2">
        <v>45378</v>
      </c>
      <c r="F1330" s="2">
        <v>45383</v>
      </c>
      <c r="G1330" s="1" t="s">
        <v>36</v>
      </c>
      <c r="H1330" s="1" t="s">
        <v>17</v>
      </c>
      <c r="I1330" s="1" t="s">
        <v>32</v>
      </c>
      <c r="J1330" s="1" t="s">
        <v>33</v>
      </c>
      <c r="K1330" s="3">
        <v>3932.64</v>
      </c>
      <c r="L1330" s="1">
        <v>1</v>
      </c>
      <c r="M1330" s="1" t="s">
        <v>49</v>
      </c>
      <c r="N1330" s="3">
        <v>572.48</v>
      </c>
      <c r="O1330" s="1" t="s">
        <v>2114</v>
      </c>
      <c r="P1330" s="1" t="s">
        <v>2076</v>
      </c>
      <c r="Q1330" s="1" t="str">
        <f>TEXT((Data[[#This Row],[Order_Date]]), "mmm")</f>
        <v>Mar</v>
      </c>
    </row>
    <row r="1331" spans="4:17" x14ac:dyDescent="0.3">
      <c r="D1331" s="1" t="s">
        <v>1393</v>
      </c>
      <c r="E1331" s="2">
        <v>45624</v>
      </c>
      <c r="F1331" s="2">
        <v>45627</v>
      </c>
      <c r="G1331" s="1" t="s">
        <v>36</v>
      </c>
      <c r="H1331" s="1" t="s">
        <v>23</v>
      </c>
      <c r="I1331" s="1" t="s">
        <v>65</v>
      </c>
      <c r="J1331" s="1" t="s">
        <v>114</v>
      </c>
      <c r="K1331" s="3">
        <v>1515.69</v>
      </c>
      <c r="L1331" s="1">
        <v>9</v>
      </c>
      <c r="M1331" s="1" t="s">
        <v>15</v>
      </c>
      <c r="N1331" s="3">
        <v>528.26</v>
      </c>
      <c r="O1331" s="1" t="s">
        <v>2149</v>
      </c>
      <c r="P1331" s="1" t="s">
        <v>2076</v>
      </c>
      <c r="Q1331" s="1" t="str">
        <f>TEXT((Data[[#This Row],[Order_Date]]), "mmm")</f>
        <v>Nov</v>
      </c>
    </row>
    <row r="1332" spans="4:17" x14ac:dyDescent="0.3">
      <c r="D1332" s="1" t="s">
        <v>1394</v>
      </c>
      <c r="E1332" s="2">
        <v>45629</v>
      </c>
      <c r="F1332" s="2">
        <v>45630</v>
      </c>
      <c r="G1332" s="1" t="s">
        <v>36</v>
      </c>
      <c r="H1332" s="1" t="s">
        <v>12</v>
      </c>
      <c r="I1332" s="1" t="s">
        <v>38</v>
      </c>
      <c r="J1332" s="1" t="s">
        <v>81</v>
      </c>
      <c r="K1332" s="3">
        <v>3520.15</v>
      </c>
      <c r="L1332" s="1">
        <v>20</v>
      </c>
      <c r="M1332" s="1" t="s">
        <v>20</v>
      </c>
      <c r="N1332" s="3">
        <v>-951.82</v>
      </c>
      <c r="O1332" s="1" t="s">
        <v>2149</v>
      </c>
      <c r="P1332" s="1" t="s">
        <v>2078</v>
      </c>
      <c r="Q1332" s="1" t="str">
        <f>TEXT((Data[[#This Row],[Order_Date]]), "mmm")</f>
        <v>Dec</v>
      </c>
    </row>
    <row r="1333" spans="4:17" x14ac:dyDescent="0.3">
      <c r="D1333" s="1" t="s">
        <v>1395</v>
      </c>
      <c r="E1333" s="2">
        <v>45486</v>
      </c>
      <c r="F1333" s="2">
        <v>45489</v>
      </c>
      <c r="G1333" s="1" t="s">
        <v>31</v>
      </c>
      <c r="H1333" s="1" t="s">
        <v>23</v>
      </c>
      <c r="I1333" s="1" t="s">
        <v>65</v>
      </c>
      <c r="J1333" s="1" t="s">
        <v>66</v>
      </c>
      <c r="K1333" s="3">
        <v>2857.33</v>
      </c>
      <c r="L1333" s="1">
        <v>9</v>
      </c>
      <c r="M1333" s="1" t="s">
        <v>15</v>
      </c>
      <c r="N1333" s="3">
        <v>464.44</v>
      </c>
      <c r="O1333" s="1" t="s">
        <v>2222</v>
      </c>
      <c r="P1333" s="1" t="s">
        <v>2071</v>
      </c>
      <c r="Q1333" s="1" t="str">
        <f>TEXT((Data[[#This Row],[Order_Date]]), "mmm")</f>
        <v>Jul</v>
      </c>
    </row>
    <row r="1334" spans="4:17" x14ac:dyDescent="0.3">
      <c r="D1334" s="1" t="s">
        <v>1396</v>
      </c>
      <c r="E1334" s="2">
        <v>45554</v>
      </c>
      <c r="F1334" s="2">
        <v>45560</v>
      </c>
      <c r="G1334" s="1" t="s">
        <v>31</v>
      </c>
      <c r="H1334" s="1" t="s">
        <v>12</v>
      </c>
      <c r="I1334" s="1" t="s">
        <v>13</v>
      </c>
      <c r="J1334" s="1" t="s">
        <v>14</v>
      </c>
      <c r="K1334" s="3">
        <v>3785.9</v>
      </c>
      <c r="L1334" s="1">
        <v>9</v>
      </c>
      <c r="M1334" s="1" t="s">
        <v>29</v>
      </c>
      <c r="N1334" s="3">
        <v>408.39</v>
      </c>
      <c r="O1334" s="1" t="s">
        <v>2160</v>
      </c>
      <c r="P1334" s="1" t="s">
        <v>2071</v>
      </c>
      <c r="Q1334" s="1" t="str">
        <f>TEXT((Data[[#This Row],[Order_Date]]), "mmm")</f>
        <v>Sep</v>
      </c>
    </row>
    <row r="1335" spans="4:17" x14ac:dyDescent="0.3">
      <c r="D1335" s="1" t="s">
        <v>1397</v>
      </c>
      <c r="E1335" s="2">
        <v>45334</v>
      </c>
      <c r="F1335" s="2">
        <v>45341</v>
      </c>
      <c r="G1335" s="1" t="s">
        <v>11</v>
      </c>
      <c r="H1335" s="1" t="s">
        <v>12</v>
      </c>
      <c r="I1335" s="1" t="s">
        <v>13</v>
      </c>
      <c r="J1335" s="1" t="s">
        <v>51</v>
      </c>
      <c r="K1335" s="3">
        <v>336.28</v>
      </c>
      <c r="L1335" s="1">
        <v>5</v>
      </c>
      <c r="M1335" s="1" t="s">
        <v>20</v>
      </c>
      <c r="N1335" s="3">
        <v>41.32</v>
      </c>
      <c r="O1335" s="1" t="s">
        <v>2300</v>
      </c>
      <c r="P1335" s="1" t="s">
        <v>2078</v>
      </c>
      <c r="Q1335" s="1" t="str">
        <f>TEXT((Data[[#This Row],[Order_Date]]), "mmm")</f>
        <v>Feb</v>
      </c>
    </row>
    <row r="1336" spans="4:17" x14ac:dyDescent="0.3">
      <c r="D1336" s="1" t="s">
        <v>1398</v>
      </c>
      <c r="E1336" s="2">
        <v>45325</v>
      </c>
      <c r="F1336" s="2">
        <v>45327</v>
      </c>
      <c r="G1336" s="1" t="s">
        <v>22</v>
      </c>
      <c r="H1336" s="1" t="s">
        <v>17</v>
      </c>
      <c r="I1336" s="1" t="s">
        <v>18</v>
      </c>
      <c r="J1336" s="1" t="s">
        <v>19</v>
      </c>
      <c r="K1336" s="3">
        <v>2961.65</v>
      </c>
      <c r="L1336" s="1">
        <v>11</v>
      </c>
      <c r="M1336" s="1" t="s">
        <v>29</v>
      </c>
      <c r="N1336" s="3">
        <v>210.62</v>
      </c>
      <c r="O1336" s="1" t="s">
        <v>2070</v>
      </c>
      <c r="P1336" s="1" t="s">
        <v>2076</v>
      </c>
      <c r="Q1336" s="1" t="str">
        <f>TEXT((Data[[#This Row],[Order_Date]]), "mmm")</f>
        <v>Feb</v>
      </c>
    </row>
    <row r="1337" spans="4:17" x14ac:dyDescent="0.3">
      <c r="D1337" s="1" t="s">
        <v>1399</v>
      </c>
      <c r="E1337" s="2">
        <v>45527</v>
      </c>
      <c r="F1337" s="2">
        <v>45532</v>
      </c>
      <c r="G1337" s="1" t="s">
        <v>11</v>
      </c>
      <c r="H1337" s="1" t="s">
        <v>12</v>
      </c>
      <c r="I1337" s="1" t="s">
        <v>38</v>
      </c>
      <c r="J1337" s="1" t="s">
        <v>81</v>
      </c>
      <c r="K1337" s="3">
        <v>2890.55</v>
      </c>
      <c r="L1337" s="1">
        <v>7</v>
      </c>
      <c r="M1337" s="1" t="s">
        <v>15</v>
      </c>
      <c r="N1337" s="3">
        <v>948.01</v>
      </c>
      <c r="O1337" s="1" t="s">
        <v>2176</v>
      </c>
      <c r="P1337" s="1" t="s">
        <v>2071</v>
      </c>
      <c r="Q1337" s="1" t="str">
        <f>TEXT((Data[[#This Row],[Order_Date]]), "mmm")</f>
        <v>Aug</v>
      </c>
    </row>
    <row r="1338" spans="4:17" x14ac:dyDescent="0.3">
      <c r="D1338" s="1" t="s">
        <v>1400</v>
      </c>
      <c r="E1338" s="2">
        <v>45338</v>
      </c>
      <c r="F1338" s="2">
        <v>45338</v>
      </c>
      <c r="G1338" s="1" t="s">
        <v>31</v>
      </c>
      <c r="H1338" s="1" t="s">
        <v>12</v>
      </c>
      <c r="I1338" s="1" t="s">
        <v>58</v>
      </c>
      <c r="J1338" s="1" t="s">
        <v>120</v>
      </c>
      <c r="K1338" s="3">
        <v>437.49</v>
      </c>
      <c r="L1338" s="1">
        <v>3</v>
      </c>
      <c r="M1338" s="1" t="s">
        <v>49</v>
      </c>
      <c r="N1338" s="3">
        <v>63.93</v>
      </c>
      <c r="O1338" s="1" t="s">
        <v>2182</v>
      </c>
      <c r="P1338" s="1" t="s">
        <v>2078</v>
      </c>
      <c r="Q1338" s="1" t="str">
        <f>TEXT((Data[[#This Row],[Order_Date]]), "mmm")</f>
        <v>Feb</v>
      </c>
    </row>
    <row r="1339" spans="4:17" x14ac:dyDescent="0.3">
      <c r="D1339" s="1" t="s">
        <v>1401</v>
      </c>
      <c r="E1339" s="2">
        <v>45535</v>
      </c>
      <c r="F1339" s="2">
        <v>45538</v>
      </c>
      <c r="G1339" s="1" t="s">
        <v>31</v>
      </c>
      <c r="H1339" s="1" t="s">
        <v>12</v>
      </c>
      <c r="I1339" s="1" t="s">
        <v>58</v>
      </c>
      <c r="J1339" s="1" t="s">
        <v>105</v>
      </c>
      <c r="K1339" s="3">
        <v>1330.24</v>
      </c>
      <c r="L1339" s="1">
        <v>19</v>
      </c>
      <c r="M1339" s="1" t="s">
        <v>20</v>
      </c>
      <c r="N1339" s="3">
        <v>243.11</v>
      </c>
      <c r="O1339" s="1" t="s">
        <v>2264</v>
      </c>
      <c r="P1339" s="1" t="s">
        <v>2076</v>
      </c>
      <c r="Q1339" s="1" t="str">
        <f>TEXT((Data[[#This Row],[Order_Date]]), "mmm")</f>
        <v>Aug</v>
      </c>
    </row>
    <row r="1340" spans="4:17" x14ac:dyDescent="0.3">
      <c r="D1340" s="1" t="s">
        <v>1402</v>
      </c>
      <c r="E1340" s="2">
        <v>45332</v>
      </c>
      <c r="F1340" s="2">
        <v>45334</v>
      </c>
      <c r="G1340" s="1" t="s">
        <v>22</v>
      </c>
      <c r="H1340" s="1" t="s">
        <v>23</v>
      </c>
      <c r="I1340" s="1" t="s">
        <v>78</v>
      </c>
      <c r="J1340" s="1" t="s">
        <v>118</v>
      </c>
      <c r="K1340" s="3">
        <v>2874.88</v>
      </c>
      <c r="L1340" s="1">
        <v>3</v>
      </c>
      <c r="M1340" s="1" t="s">
        <v>44</v>
      </c>
      <c r="N1340" s="3">
        <v>305.07</v>
      </c>
      <c r="O1340" s="1" t="s">
        <v>2182</v>
      </c>
      <c r="P1340" s="1" t="s">
        <v>2078</v>
      </c>
      <c r="Q1340" s="1" t="str">
        <f>TEXT((Data[[#This Row],[Order_Date]]), "mmm")</f>
        <v>Feb</v>
      </c>
    </row>
    <row r="1341" spans="4:17" x14ac:dyDescent="0.3">
      <c r="D1341" s="1" t="s">
        <v>1403</v>
      </c>
      <c r="E1341" s="2">
        <v>45408</v>
      </c>
      <c r="F1341" s="2">
        <v>45410</v>
      </c>
      <c r="G1341" s="1" t="s">
        <v>31</v>
      </c>
      <c r="H1341" s="1" t="s">
        <v>12</v>
      </c>
      <c r="I1341" s="1" t="s">
        <v>13</v>
      </c>
      <c r="J1341" s="1" t="s">
        <v>96</v>
      </c>
      <c r="K1341" s="3">
        <v>2149.9499999999998</v>
      </c>
      <c r="L1341" s="1">
        <v>10</v>
      </c>
      <c r="M1341" s="1" t="s">
        <v>44</v>
      </c>
      <c r="N1341" s="3">
        <v>382.6</v>
      </c>
      <c r="O1341" s="1" t="s">
        <v>2168</v>
      </c>
      <c r="P1341" s="1" t="s">
        <v>2076</v>
      </c>
      <c r="Q1341" s="1" t="str">
        <f>TEXT((Data[[#This Row],[Order_Date]]), "mmm")</f>
        <v>Apr</v>
      </c>
    </row>
    <row r="1342" spans="4:17" x14ac:dyDescent="0.3">
      <c r="D1342" s="1" t="s">
        <v>1404</v>
      </c>
      <c r="E1342" s="2">
        <v>45415</v>
      </c>
      <c r="F1342" s="2">
        <v>45415</v>
      </c>
      <c r="G1342" s="1" t="s">
        <v>36</v>
      </c>
      <c r="H1342" s="1" t="s">
        <v>23</v>
      </c>
      <c r="I1342" s="1" t="s">
        <v>78</v>
      </c>
      <c r="J1342" s="1" t="s">
        <v>118</v>
      </c>
      <c r="K1342" s="3">
        <v>481.07</v>
      </c>
      <c r="L1342" s="1">
        <v>16</v>
      </c>
      <c r="M1342" s="1" t="s">
        <v>34</v>
      </c>
      <c r="N1342" s="3">
        <v>-154.33000000000001</v>
      </c>
      <c r="O1342" s="1" t="s">
        <v>2298</v>
      </c>
      <c r="P1342" s="1" t="s">
        <v>2078</v>
      </c>
      <c r="Q1342" s="1" t="str">
        <f>TEXT((Data[[#This Row],[Order_Date]]), "mmm")</f>
        <v>May</v>
      </c>
    </row>
    <row r="1343" spans="4:17" x14ac:dyDescent="0.3">
      <c r="D1343" s="1" t="s">
        <v>1405</v>
      </c>
      <c r="E1343" s="2">
        <v>45512</v>
      </c>
      <c r="F1343" s="2">
        <v>45513</v>
      </c>
      <c r="G1343" s="1" t="s">
        <v>31</v>
      </c>
      <c r="H1343" s="1" t="s">
        <v>17</v>
      </c>
      <c r="I1343" s="1" t="s">
        <v>32</v>
      </c>
      <c r="J1343" s="1" t="s">
        <v>56</v>
      </c>
      <c r="K1343" s="3">
        <v>1443.99</v>
      </c>
      <c r="L1343" s="1">
        <v>12</v>
      </c>
      <c r="M1343" s="1" t="s">
        <v>15</v>
      </c>
      <c r="N1343" s="3">
        <v>367.24</v>
      </c>
      <c r="O1343" s="1" t="s">
        <v>2247</v>
      </c>
      <c r="P1343" s="1" t="s">
        <v>2071</v>
      </c>
      <c r="Q1343" s="1" t="str">
        <f>TEXT((Data[[#This Row],[Order_Date]]), "mmm")</f>
        <v>Aug</v>
      </c>
    </row>
    <row r="1344" spans="4:17" x14ac:dyDescent="0.3">
      <c r="D1344" s="1" t="s">
        <v>1406</v>
      </c>
      <c r="E1344" s="2">
        <v>45325</v>
      </c>
      <c r="F1344" s="2">
        <v>45329</v>
      </c>
      <c r="G1344" s="1" t="s">
        <v>36</v>
      </c>
      <c r="H1344" s="1" t="s">
        <v>23</v>
      </c>
      <c r="I1344" s="1" t="s">
        <v>24</v>
      </c>
      <c r="J1344" s="1" t="s">
        <v>150</v>
      </c>
      <c r="K1344" s="3">
        <v>3291.12</v>
      </c>
      <c r="L1344" s="1">
        <v>12</v>
      </c>
      <c r="M1344" s="1" t="s">
        <v>49</v>
      </c>
      <c r="N1344" s="3">
        <v>461</v>
      </c>
      <c r="O1344" s="1" t="s">
        <v>2117</v>
      </c>
      <c r="P1344" s="1" t="s">
        <v>2078</v>
      </c>
      <c r="Q1344" s="1" t="str">
        <f>TEXT((Data[[#This Row],[Order_Date]]), "mmm")</f>
        <v>Feb</v>
      </c>
    </row>
    <row r="1345" spans="4:17" x14ac:dyDescent="0.3">
      <c r="D1345" s="1" t="s">
        <v>1407</v>
      </c>
      <c r="E1345" s="2">
        <v>45571</v>
      </c>
      <c r="F1345" s="2">
        <v>45574</v>
      </c>
      <c r="G1345" s="1" t="s">
        <v>22</v>
      </c>
      <c r="H1345" s="1" t="s">
        <v>12</v>
      </c>
      <c r="I1345" s="1" t="s">
        <v>58</v>
      </c>
      <c r="J1345" s="1" t="s">
        <v>120</v>
      </c>
      <c r="K1345" s="3">
        <v>2840.74</v>
      </c>
      <c r="L1345" s="1">
        <v>14</v>
      </c>
      <c r="M1345" s="1" t="s">
        <v>49</v>
      </c>
      <c r="N1345" s="3">
        <v>891.97</v>
      </c>
      <c r="O1345" s="1" t="s">
        <v>2262</v>
      </c>
      <c r="P1345" s="1" t="s">
        <v>2078</v>
      </c>
      <c r="Q1345" s="1" t="str">
        <f>TEXT((Data[[#This Row],[Order_Date]]), "mmm")</f>
        <v>Oct</v>
      </c>
    </row>
    <row r="1346" spans="4:17" x14ac:dyDescent="0.3">
      <c r="D1346" s="1" t="s">
        <v>1408</v>
      </c>
      <c r="E1346" s="2">
        <v>45498</v>
      </c>
      <c r="F1346" s="2">
        <v>45505</v>
      </c>
      <c r="G1346" s="1" t="s">
        <v>31</v>
      </c>
      <c r="H1346" s="1" t="s">
        <v>23</v>
      </c>
      <c r="I1346" s="1" t="s">
        <v>78</v>
      </c>
      <c r="J1346" s="1" t="s">
        <v>118</v>
      </c>
      <c r="K1346" s="3">
        <v>3016.97</v>
      </c>
      <c r="L1346" s="1">
        <v>13</v>
      </c>
      <c r="M1346" s="1" t="s">
        <v>49</v>
      </c>
      <c r="N1346" s="3">
        <v>1010.35</v>
      </c>
      <c r="O1346" s="1" t="s">
        <v>2086</v>
      </c>
      <c r="P1346" s="1" t="s">
        <v>2078</v>
      </c>
      <c r="Q1346" s="1" t="str">
        <f>TEXT((Data[[#This Row],[Order_Date]]), "mmm")</f>
        <v>Jul</v>
      </c>
    </row>
    <row r="1347" spans="4:17" x14ac:dyDescent="0.3">
      <c r="D1347" s="1" t="s">
        <v>1409</v>
      </c>
      <c r="E1347" s="2">
        <v>45454</v>
      </c>
      <c r="F1347" s="2">
        <v>45460</v>
      </c>
      <c r="G1347" s="1" t="s">
        <v>22</v>
      </c>
      <c r="H1347" s="1" t="s">
        <v>23</v>
      </c>
      <c r="I1347" s="1" t="s">
        <v>24</v>
      </c>
      <c r="J1347" s="1" t="s">
        <v>25</v>
      </c>
      <c r="K1347" s="3">
        <v>1878.93</v>
      </c>
      <c r="L1347" s="1">
        <v>6</v>
      </c>
      <c r="M1347" s="1" t="s">
        <v>44</v>
      </c>
      <c r="N1347" s="3">
        <v>428.17</v>
      </c>
      <c r="O1347" s="1" t="s">
        <v>2184</v>
      </c>
      <c r="P1347" s="1" t="s">
        <v>2071</v>
      </c>
      <c r="Q1347" s="1" t="str">
        <f>TEXT((Data[[#This Row],[Order_Date]]), "mmm")</f>
        <v>Jun</v>
      </c>
    </row>
    <row r="1348" spans="4:17" x14ac:dyDescent="0.3">
      <c r="D1348" s="1" t="s">
        <v>1410</v>
      </c>
      <c r="E1348" s="2">
        <v>45340</v>
      </c>
      <c r="F1348" s="2">
        <v>45340</v>
      </c>
      <c r="G1348" s="1" t="s">
        <v>31</v>
      </c>
      <c r="H1348" s="1" t="s">
        <v>23</v>
      </c>
      <c r="I1348" s="1" t="s">
        <v>78</v>
      </c>
      <c r="J1348" s="1" t="s">
        <v>79</v>
      </c>
      <c r="K1348" s="3">
        <v>1514.93</v>
      </c>
      <c r="L1348" s="1">
        <v>1</v>
      </c>
      <c r="M1348" s="1" t="s">
        <v>49</v>
      </c>
      <c r="N1348" s="3">
        <v>254.01</v>
      </c>
      <c r="O1348" s="1" t="s">
        <v>2159</v>
      </c>
      <c r="P1348" s="1" t="s">
        <v>2071</v>
      </c>
      <c r="Q1348" s="1" t="str">
        <f>TEXT((Data[[#This Row],[Order_Date]]), "mmm")</f>
        <v>Feb</v>
      </c>
    </row>
    <row r="1349" spans="4:17" x14ac:dyDescent="0.3">
      <c r="D1349" s="1" t="s">
        <v>1411</v>
      </c>
      <c r="E1349" s="2">
        <v>45573</v>
      </c>
      <c r="F1349" s="2">
        <v>45577</v>
      </c>
      <c r="G1349" s="1" t="s">
        <v>22</v>
      </c>
      <c r="H1349" s="1" t="s">
        <v>17</v>
      </c>
      <c r="I1349" s="1" t="s">
        <v>27</v>
      </c>
      <c r="J1349" s="1" t="s">
        <v>108</v>
      </c>
      <c r="K1349" s="3">
        <v>1873.21</v>
      </c>
      <c r="L1349" s="1">
        <v>6</v>
      </c>
      <c r="M1349" s="1" t="s">
        <v>49</v>
      </c>
      <c r="N1349" s="3">
        <v>-638.26</v>
      </c>
      <c r="O1349" s="1" t="s">
        <v>2070</v>
      </c>
      <c r="P1349" s="1" t="s">
        <v>2071</v>
      </c>
      <c r="Q1349" s="1" t="str">
        <f>TEXT((Data[[#This Row],[Order_Date]]), "mmm")</f>
        <v>Oct</v>
      </c>
    </row>
    <row r="1350" spans="4:17" x14ac:dyDescent="0.3">
      <c r="D1350" s="1" t="s">
        <v>1412</v>
      </c>
      <c r="E1350" s="2">
        <v>45346</v>
      </c>
      <c r="F1350" s="2">
        <v>45347</v>
      </c>
      <c r="G1350" s="1" t="s">
        <v>36</v>
      </c>
      <c r="H1350" s="1" t="s">
        <v>12</v>
      </c>
      <c r="I1350" s="1" t="s">
        <v>42</v>
      </c>
      <c r="J1350" s="1" t="s">
        <v>46</v>
      </c>
      <c r="K1350" s="3">
        <v>780.54</v>
      </c>
      <c r="L1350" s="1">
        <v>17</v>
      </c>
      <c r="M1350" s="1" t="s">
        <v>49</v>
      </c>
      <c r="N1350" s="3">
        <v>227.2</v>
      </c>
      <c r="O1350" s="1" t="s">
        <v>2188</v>
      </c>
      <c r="P1350" s="1" t="s">
        <v>2071</v>
      </c>
      <c r="Q1350" s="1" t="str">
        <f>TEXT((Data[[#This Row],[Order_Date]]), "mmm")</f>
        <v>Feb</v>
      </c>
    </row>
    <row r="1351" spans="4:17" x14ac:dyDescent="0.3">
      <c r="D1351" s="1" t="s">
        <v>1413</v>
      </c>
      <c r="E1351" s="2">
        <v>45298</v>
      </c>
      <c r="F1351" s="2">
        <v>45302</v>
      </c>
      <c r="G1351" s="1" t="s">
        <v>22</v>
      </c>
      <c r="H1351" s="1" t="s">
        <v>23</v>
      </c>
      <c r="I1351" s="1" t="s">
        <v>24</v>
      </c>
      <c r="J1351" s="1" t="s">
        <v>150</v>
      </c>
      <c r="K1351" s="3">
        <v>2569.3000000000002</v>
      </c>
      <c r="L1351" s="1">
        <v>20</v>
      </c>
      <c r="M1351" s="1" t="s">
        <v>20</v>
      </c>
      <c r="N1351" s="3">
        <v>590.26</v>
      </c>
      <c r="O1351" s="1" t="s">
        <v>2283</v>
      </c>
      <c r="P1351" s="1" t="s">
        <v>2071</v>
      </c>
      <c r="Q1351" s="1" t="str">
        <f>TEXT((Data[[#This Row],[Order_Date]]), "mmm")</f>
        <v>Jan</v>
      </c>
    </row>
    <row r="1352" spans="4:17" x14ac:dyDescent="0.3">
      <c r="D1352" s="1" t="s">
        <v>1414</v>
      </c>
      <c r="E1352" s="2">
        <v>45466</v>
      </c>
      <c r="F1352" s="2">
        <v>45471</v>
      </c>
      <c r="G1352" s="1" t="s">
        <v>22</v>
      </c>
      <c r="H1352" s="1" t="s">
        <v>23</v>
      </c>
      <c r="I1352" s="1" t="s">
        <v>65</v>
      </c>
      <c r="J1352" s="1" t="s">
        <v>66</v>
      </c>
      <c r="K1352" s="3">
        <v>316.41000000000003</v>
      </c>
      <c r="L1352" s="1">
        <v>12</v>
      </c>
      <c r="M1352" s="1" t="s">
        <v>49</v>
      </c>
      <c r="N1352" s="3">
        <v>39.18</v>
      </c>
      <c r="O1352" s="1" t="s">
        <v>2147</v>
      </c>
      <c r="P1352" s="1" t="s">
        <v>2078</v>
      </c>
      <c r="Q1352" s="1" t="str">
        <f>TEXT((Data[[#This Row],[Order_Date]]), "mmm")</f>
        <v>Jun</v>
      </c>
    </row>
    <row r="1353" spans="4:17" x14ac:dyDescent="0.3">
      <c r="D1353" s="1" t="s">
        <v>1415</v>
      </c>
      <c r="E1353" s="2">
        <v>45644</v>
      </c>
      <c r="F1353" s="2">
        <v>45647</v>
      </c>
      <c r="G1353" s="1" t="s">
        <v>36</v>
      </c>
      <c r="H1353" s="1" t="s">
        <v>12</v>
      </c>
      <c r="I1353" s="1" t="s">
        <v>42</v>
      </c>
      <c r="J1353" s="1" t="s">
        <v>46</v>
      </c>
      <c r="K1353" s="3">
        <v>2331.23</v>
      </c>
      <c r="L1353" s="1">
        <v>19</v>
      </c>
      <c r="M1353" s="1" t="s">
        <v>34</v>
      </c>
      <c r="N1353" s="3">
        <v>604.95000000000005</v>
      </c>
      <c r="O1353" s="1" t="s">
        <v>2263</v>
      </c>
      <c r="P1353" s="1" t="s">
        <v>2076</v>
      </c>
      <c r="Q1353" s="1" t="str">
        <f>TEXT((Data[[#This Row],[Order_Date]]), "mmm")</f>
        <v>Dec</v>
      </c>
    </row>
    <row r="1354" spans="4:17" x14ac:dyDescent="0.3">
      <c r="D1354" s="1" t="s">
        <v>1416</v>
      </c>
      <c r="E1354" s="2">
        <v>45456</v>
      </c>
      <c r="F1354" s="2">
        <v>45459</v>
      </c>
      <c r="G1354" s="1" t="s">
        <v>22</v>
      </c>
      <c r="H1354" s="1" t="s">
        <v>17</v>
      </c>
      <c r="I1354" s="1" t="s">
        <v>27</v>
      </c>
      <c r="J1354" s="1" t="s">
        <v>108</v>
      </c>
      <c r="K1354" s="3">
        <v>3589.59</v>
      </c>
      <c r="L1354" s="1">
        <v>11</v>
      </c>
      <c r="M1354" s="1" t="s">
        <v>29</v>
      </c>
      <c r="N1354" s="3">
        <v>1127.92</v>
      </c>
      <c r="O1354" s="1" t="s">
        <v>2237</v>
      </c>
      <c r="P1354" s="1" t="s">
        <v>2071</v>
      </c>
      <c r="Q1354" s="1" t="str">
        <f>TEXT((Data[[#This Row],[Order_Date]]), "mmm")</f>
        <v>Jun</v>
      </c>
    </row>
    <row r="1355" spans="4:17" x14ac:dyDescent="0.3">
      <c r="D1355" s="1" t="s">
        <v>1417</v>
      </c>
      <c r="E1355" s="2">
        <v>45367</v>
      </c>
      <c r="F1355" s="2">
        <v>45372</v>
      </c>
      <c r="G1355" s="1" t="s">
        <v>11</v>
      </c>
      <c r="H1355" s="1" t="s">
        <v>12</v>
      </c>
      <c r="I1355" s="1" t="s">
        <v>42</v>
      </c>
      <c r="J1355" s="1" t="s">
        <v>43</v>
      </c>
      <c r="K1355" s="3">
        <v>2509.75</v>
      </c>
      <c r="L1355" s="1">
        <v>9</v>
      </c>
      <c r="M1355" s="1" t="s">
        <v>20</v>
      </c>
      <c r="N1355" s="3">
        <v>463.92</v>
      </c>
      <c r="O1355" s="1" t="s">
        <v>2240</v>
      </c>
      <c r="P1355" s="1" t="s">
        <v>2071</v>
      </c>
      <c r="Q1355" s="1" t="str">
        <f>TEXT((Data[[#This Row],[Order_Date]]), "mmm")</f>
        <v>Mar</v>
      </c>
    </row>
    <row r="1356" spans="4:17" x14ac:dyDescent="0.3">
      <c r="D1356" s="1" t="s">
        <v>1418</v>
      </c>
      <c r="E1356" s="2">
        <v>45433</v>
      </c>
      <c r="F1356" s="2">
        <v>45435</v>
      </c>
      <c r="G1356" s="1" t="s">
        <v>36</v>
      </c>
      <c r="H1356" s="1" t="s">
        <v>17</v>
      </c>
      <c r="I1356" s="1" t="s">
        <v>27</v>
      </c>
      <c r="J1356" s="1" t="s">
        <v>132</v>
      </c>
      <c r="K1356" s="3">
        <v>1087.5</v>
      </c>
      <c r="L1356" s="1">
        <v>1</v>
      </c>
      <c r="M1356" s="1" t="s">
        <v>34</v>
      </c>
      <c r="N1356" s="3">
        <v>170.58</v>
      </c>
      <c r="O1356" s="1" t="s">
        <v>2089</v>
      </c>
      <c r="P1356" s="1" t="s">
        <v>2071</v>
      </c>
      <c r="Q1356" s="1" t="str">
        <f>TEXT((Data[[#This Row],[Order_Date]]), "mmm")</f>
        <v>May</v>
      </c>
    </row>
    <row r="1357" spans="4:17" x14ac:dyDescent="0.3">
      <c r="D1357" s="1" t="s">
        <v>1419</v>
      </c>
      <c r="E1357" s="2">
        <v>45579</v>
      </c>
      <c r="F1357" s="2">
        <v>45581</v>
      </c>
      <c r="G1357" s="1" t="s">
        <v>36</v>
      </c>
      <c r="H1357" s="1" t="s">
        <v>23</v>
      </c>
      <c r="I1357" s="1" t="s">
        <v>65</v>
      </c>
      <c r="J1357" s="1" t="s">
        <v>114</v>
      </c>
      <c r="K1357" s="3">
        <v>2517.89</v>
      </c>
      <c r="L1357" s="1">
        <v>18</v>
      </c>
      <c r="M1357" s="1" t="s">
        <v>44</v>
      </c>
      <c r="N1357" s="3">
        <v>748.42</v>
      </c>
      <c r="O1357" s="1" t="s">
        <v>2269</v>
      </c>
      <c r="P1357" s="1" t="s">
        <v>2071</v>
      </c>
      <c r="Q1357" s="1" t="str">
        <f>TEXT((Data[[#This Row],[Order_Date]]), "mmm")</f>
        <v>Oct</v>
      </c>
    </row>
    <row r="1358" spans="4:17" x14ac:dyDescent="0.3">
      <c r="D1358" s="1" t="s">
        <v>1420</v>
      </c>
      <c r="E1358" s="2">
        <v>45597</v>
      </c>
      <c r="F1358" s="2">
        <v>45598</v>
      </c>
      <c r="G1358" s="1" t="s">
        <v>36</v>
      </c>
      <c r="H1358" s="1" t="s">
        <v>12</v>
      </c>
      <c r="I1358" s="1" t="s">
        <v>38</v>
      </c>
      <c r="J1358" s="1" t="s">
        <v>39</v>
      </c>
      <c r="K1358" s="3">
        <v>3567.89</v>
      </c>
      <c r="L1358" s="1">
        <v>17</v>
      </c>
      <c r="M1358" s="1" t="s">
        <v>29</v>
      </c>
      <c r="N1358" s="3">
        <v>480.73</v>
      </c>
      <c r="O1358" s="1" t="s">
        <v>2287</v>
      </c>
      <c r="P1358" s="1" t="s">
        <v>2078</v>
      </c>
      <c r="Q1358" s="1" t="str">
        <f>TEXT((Data[[#This Row],[Order_Date]]), "mmm")</f>
        <v>Nov</v>
      </c>
    </row>
    <row r="1359" spans="4:17" x14ac:dyDescent="0.3">
      <c r="D1359" s="1" t="s">
        <v>1421</v>
      </c>
      <c r="E1359" s="2">
        <v>45508</v>
      </c>
      <c r="F1359" s="2">
        <v>45508</v>
      </c>
      <c r="G1359" s="1" t="s">
        <v>36</v>
      </c>
      <c r="H1359" s="1" t="s">
        <v>23</v>
      </c>
      <c r="I1359" s="1" t="s">
        <v>78</v>
      </c>
      <c r="J1359" s="1" t="s">
        <v>118</v>
      </c>
      <c r="K1359" s="3">
        <v>1360.39</v>
      </c>
      <c r="L1359" s="1">
        <v>1</v>
      </c>
      <c r="M1359" s="1" t="s">
        <v>15</v>
      </c>
      <c r="N1359" s="3">
        <v>330.84</v>
      </c>
      <c r="O1359" s="1" t="s">
        <v>2166</v>
      </c>
      <c r="P1359" s="1" t="s">
        <v>2078</v>
      </c>
      <c r="Q1359" s="1" t="str">
        <f>TEXT((Data[[#This Row],[Order_Date]]), "mmm")</f>
        <v>Aug</v>
      </c>
    </row>
    <row r="1360" spans="4:17" x14ac:dyDescent="0.3">
      <c r="D1360" s="1" t="s">
        <v>1422</v>
      </c>
      <c r="E1360" s="2">
        <v>45480</v>
      </c>
      <c r="F1360" s="2">
        <v>45487</v>
      </c>
      <c r="G1360" s="1" t="s">
        <v>22</v>
      </c>
      <c r="H1360" s="1" t="s">
        <v>23</v>
      </c>
      <c r="I1360" s="1" t="s">
        <v>65</v>
      </c>
      <c r="J1360" s="1" t="s">
        <v>122</v>
      </c>
      <c r="K1360" s="3">
        <v>838.67</v>
      </c>
      <c r="L1360" s="1">
        <v>15</v>
      </c>
      <c r="M1360" s="1" t="s">
        <v>34</v>
      </c>
      <c r="N1360" s="3">
        <v>69.040000000000006</v>
      </c>
      <c r="O1360" s="1" t="s">
        <v>2216</v>
      </c>
      <c r="P1360" s="1" t="s">
        <v>2071</v>
      </c>
      <c r="Q1360" s="1" t="str">
        <f>TEXT((Data[[#This Row],[Order_Date]]), "mmm")</f>
        <v>Jul</v>
      </c>
    </row>
    <row r="1361" spans="4:17" x14ac:dyDescent="0.3">
      <c r="D1361" s="1" t="s">
        <v>1423</v>
      </c>
      <c r="E1361" s="2">
        <v>45433</v>
      </c>
      <c r="F1361" s="2">
        <v>45436</v>
      </c>
      <c r="G1361" s="1" t="s">
        <v>31</v>
      </c>
      <c r="H1361" s="1" t="s">
        <v>23</v>
      </c>
      <c r="I1361" s="1" t="s">
        <v>78</v>
      </c>
      <c r="J1361" s="1" t="s">
        <v>118</v>
      </c>
      <c r="K1361" s="3">
        <v>1460.51</v>
      </c>
      <c r="L1361" s="1">
        <v>1</v>
      </c>
      <c r="M1361" s="1" t="s">
        <v>20</v>
      </c>
      <c r="N1361" s="3">
        <v>96</v>
      </c>
      <c r="O1361" s="1" t="s">
        <v>2275</v>
      </c>
      <c r="P1361" s="1" t="s">
        <v>2076</v>
      </c>
      <c r="Q1361" s="1" t="str">
        <f>TEXT((Data[[#This Row],[Order_Date]]), "mmm")</f>
        <v>May</v>
      </c>
    </row>
    <row r="1362" spans="4:17" x14ac:dyDescent="0.3">
      <c r="D1362" s="1" t="s">
        <v>1424</v>
      </c>
      <c r="E1362" s="2">
        <v>45536</v>
      </c>
      <c r="F1362" s="2">
        <v>45541</v>
      </c>
      <c r="G1362" s="1" t="s">
        <v>22</v>
      </c>
      <c r="H1362" s="1" t="s">
        <v>23</v>
      </c>
      <c r="I1362" s="1" t="s">
        <v>65</v>
      </c>
      <c r="J1362" s="1" t="s">
        <v>122</v>
      </c>
      <c r="K1362" s="3">
        <v>345.49</v>
      </c>
      <c r="L1362" s="1">
        <v>14</v>
      </c>
      <c r="M1362" s="1" t="s">
        <v>15</v>
      </c>
      <c r="N1362" s="3">
        <v>50.84</v>
      </c>
      <c r="O1362" s="1" t="s">
        <v>2181</v>
      </c>
      <c r="P1362" s="1" t="s">
        <v>2071</v>
      </c>
      <c r="Q1362" s="1" t="str">
        <f>TEXT((Data[[#This Row],[Order_Date]]), "mmm")</f>
        <v>Sep</v>
      </c>
    </row>
    <row r="1363" spans="4:17" x14ac:dyDescent="0.3">
      <c r="D1363" s="1" t="s">
        <v>1425</v>
      </c>
      <c r="E1363" s="2">
        <v>45605</v>
      </c>
      <c r="F1363" s="2">
        <v>45605</v>
      </c>
      <c r="G1363" s="1" t="s">
        <v>36</v>
      </c>
      <c r="H1363" s="1" t="s">
        <v>23</v>
      </c>
      <c r="I1363" s="1" t="s">
        <v>61</v>
      </c>
      <c r="J1363" s="1" t="s">
        <v>62</v>
      </c>
      <c r="K1363" s="3">
        <v>459.47</v>
      </c>
      <c r="L1363" s="1">
        <v>5</v>
      </c>
      <c r="M1363" s="1" t="s">
        <v>49</v>
      </c>
      <c r="N1363" s="3">
        <v>-31.78</v>
      </c>
      <c r="O1363" s="1" t="s">
        <v>2215</v>
      </c>
      <c r="P1363" s="1" t="s">
        <v>2076</v>
      </c>
      <c r="Q1363" s="1" t="str">
        <f>TEXT((Data[[#This Row],[Order_Date]]), "mmm")</f>
        <v>Nov</v>
      </c>
    </row>
    <row r="1364" spans="4:17" x14ac:dyDescent="0.3">
      <c r="D1364" s="1" t="s">
        <v>1426</v>
      </c>
      <c r="E1364" s="2">
        <v>45369</v>
      </c>
      <c r="F1364" s="2">
        <v>45370</v>
      </c>
      <c r="G1364" s="1" t="s">
        <v>22</v>
      </c>
      <c r="H1364" s="1" t="s">
        <v>12</v>
      </c>
      <c r="I1364" s="1" t="s">
        <v>58</v>
      </c>
      <c r="J1364" s="1" t="s">
        <v>120</v>
      </c>
      <c r="K1364" s="3">
        <v>3079.97</v>
      </c>
      <c r="L1364" s="1">
        <v>12</v>
      </c>
      <c r="M1364" s="1" t="s">
        <v>34</v>
      </c>
      <c r="N1364" s="3">
        <v>228.99</v>
      </c>
      <c r="O1364" s="1" t="s">
        <v>2259</v>
      </c>
      <c r="P1364" s="1" t="s">
        <v>2076</v>
      </c>
      <c r="Q1364" s="1" t="str">
        <f>TEXT((Data[[#This Row],[Order_Date]]), "mmm")</f>
        <v>Mar</v>
      </c>
    </row>
    <row r="1365" spans="4:17" x14ac:dyDescent="0.3">
      <c r="D1365" s="1" t="s">
        <v>1427</v>
      </c>
      <c r="E1365" s="2">
        <v>45327</v>
      </c>
      <c r="F1365" s="2">
        <v>45334</v>
      </c>
      <c r="G1365" s="1" t="s">
        <v>31</v>
      </c>
      <c r="H1365" s="1" t="s">
        <v>12</v>
      </c>
      <c r="I1365" s="1" t="s">
        <v>38</v>
      </c>
      <c r="J1365" s="1" t="s">
        <v>39</v>
      </c>
      <c r="K1365" s="3">
        <v>1811.32</v>
      </c>
      <c r="L1365" s="1">
        <v>13</v>
      </c>
      <c r="M1365" s="1" t="s">
        <v>15</v>
      </c>
      <c r="N1365" s="3">
        <v>174.78</v>
      </c>
      <c r="O1365" s="1" t="s">
        <v>2112</v>
      </c>
      <c r="P1365" s="1" t="s">
        <v>2071</v>
      </c>
      <c r="Q1365" s="1" t="str">
        <f>TEXT((Data[[#This Row],[Order_Date]]), "mmm")</f>
        <v>Feb</v>
      </c>
    </row>
    <row r="1366" spans="4:17" x14ac:dyDescent="0.3">
      <c r="D1366" s="1" t="s">
        <v>1428</v>
      </c>
      <c r="E1366" s="2">
        <v>45398</v>
      </c>
      <c r="F1366" s="2">
        <v>45405</v>
      </c>
      <c r="G1366" s="1" t="s">
        <v>22</v>
      </c>
      <c r="H1366" s="1" t="s">
        <v>17</v>
      </c>
      <c r="I1366" s="1" t="s">
        <v>27</v>
      </c>
      <c r="J1366" s="1" t="s">
        <v>132</v>
      </c>
      <c r="K1366" s="3">
        <v>1147.25</v>
      </c>
      <c r="L1366" s="1">
        <v>18</v>
      </c>
      <c r="M1366" s="1" t="s">
        <v>20</v>
      </c>
      <c r="N1366" s="3">
        <v>75.430000000000007</v>
      </c>
      <c r="O1366" s="1" t="s">
        <v>2301</v>
      </c>
      <c r="P1366" s="1" t="s">
        <v>2076</v>
      </c>
      <c r="Q1366" s="1" t="str">
        <f>TEXT((Data[[#This Row],[Order_Date]]), "mmm")</f>
        <v>Apr</v>
      </c>
    </row>
    <row r="1367" spans="4:17" x14ac:dyDescent="0.3">
      <c r="D1367" s="1" t="s">
        <v>1429</v>
      </c>
      <c r="E1367" s="2">
        <v>45407</v>
      </c>
      <c r="F1367" s="2">
        <v>45414</v>
      </c>
      <c r="G1367" s="1" t="s">
        <v>11</v>
      </c>
      <c r="H1367" s="1" t="s">
        <v>17</v>
      </c>
      <c r="I1367" s="1" t="s">
        <v>18</v>
      </c>
      <c r="J1367" s="1" t="s">
        <v>19</v>
      </c>
      <c r="K1367" s="3">
        <v>3812.37</v>
      </c>
      <c r="L1367" s="1">
        <v>5</v>
      </c>
      <c r="M1367" s="1" t="s">
        <v>29</v>
      </c>
      <c r="N1367" s="3">
        <v>555.99</v>
      </c>
      <c r="O1367" s="1" t="s">
        <v>2121</v>
      </c>
      <c r="P1367" s="1" t="s">
        <v>2071</v>
      </c>
      <c r="Q1367" s="1" t="str">
        <f>TEXT((Data[[#This Row],[Order_Date]]), "mmm")</f>
        <v>Apr</v>
      </c>
    </row>
    <row r="1368" spans="4:17" x14ac:dyDescent="0.3">
      <c r="D1368" s="1" t="s">
        <v>1430</v>
      </c>
      <c r="E1368" s="2">
        <v>45616</v>
      </c>
      <c r="F1368" s="2">
        <v>45622</v>
      </c>
      <c r="G1368" s="1" t="s">
        <v>11</v>
      </c>
      <c r="H1368" s="1" t="s">
        <v>12</v>
      </c>
      <c r="I1368" s="1" t="s">
        <v>13</v>
      </c>
      <c r="J1368" s="1" t="s">
        <v>96</v>
      </c>
      <c r="K1368" s="3">
        <v>338.17</v>
      </c>
      <c r="L1368" s="1">
        <v>14</v>
      </c>
      <c r="M1368" s="1" t="s">
        <v>29</v>
      </c>
      <c r="N1368" s="3">
        <v>23.8</v>
      </c>
      <c r="O1368" s="1" t="s">
        <v>2254</v>
      </c>
      <c r="P1368" s="1" t="s">
        <v>2071</v>
      </c>
      <c r="Q1368" s="1" t="str">
        <f>TEXT((Data[[#This Row],[Order_Date]]), "mmm")</f>
        <v>Nov</v>
      </c>
    </row>
    <row r="1369" spans="4:17" x14ac:dyDescent="0.3">
      <c r="D1369" s="1" t="s">
        <v>1431</v>
      </c>
      <c r="E1369" s="2">
        <v>45310</v>
      </c>
      <c r="F1369" s="2">
        <v>45313</v>
      </c>
      <c r="G1369" s="1" t="s">
        <v>22</v>
      </c>
      <c r="H1369" s="1" t="s">
        <v>12</v>
      </c>
      <c r="I1369" s="1" t="s">
        <v>42</v>
      </c>
      <c r="J1369" s="1" t="s">
        <v>48</v>
      </c>
      <c r="K1369" s="3">
        <v>1560.18</v>
      </c>
      <c r="L1369" s="1">
        <v>3</v>
      </c>
      <c r="M1369" s="1" t="s">
        <v>29</v>
      </c>
      <c r="N1369" s="3">
        <v>490.67</v>
      </c>
      <c r="O1369" s="1" t="s">
        <v>2250</v>
      </c>
      <c r="P1369" s="1" t="s">
        <v>2078</v>
      </c>
      <c r="Q1369" s="1" t="str">
        <f>TEXT((Data[[#This Row],[Order_Date]]), "mmm")</f>
        <v>Jan</v>
      </c>
    </row>
    <row r="1370" spans="4:17" x14ac:dyDescent="0.3">
      <c r="D1370" s="1" t="s">
        <v>1432</v>
      </c>
      <c r="E1370" s="2">
        <v>45376</v>
      </c>
      <c r="F1370" s="2">
        <v>45382</v>
      </c>
      <c r="G1370" s="1" t="s">
        <v>22</v>
      </c>
      <c r="H1370" s="1" t="s">
        <v>17</v>
      </c>
      <c r="I1370" s="1" t="s">
        <v>32</v>
      </c>
      <c r="J1370" s="1" t="s">
        <v>56</v>
      </c>
      <c r="K1370" s="3">
        <v>3682</v>
      </c>
      <c r="L1370" s="1">
        <v>20</v>
      </c>
      <c r="M1370" s="1" t="s">
        <v>34</v>
      </c>
      <c r="N1370" s="3">
        <v>477.53</v>
      </c>
      <c r="O1370" s="1" t="s">
        <v>2123</v>
      </c>
      <c r="P1370" s="1" t="s">
        <v>2071</v>
      </c>
      <c r="Q1370" s="1" t="str">
        <f>TEXT((Data[[#This Row],[Order_Date]]), "mmm")</f>
        <v>Mar</v>
      </c>
    </row>
    <row r="1371" spans="4:17" x14ac:dyDescent="0.3">
      <c r="D1371" s="1" t="s">
        <v>1433</v>
      </c>
      <c r="E1371" s="2">
        <v>45490</v>
      </c>
      <c r="F1371" s="2">
        <v>45492</v>
      </c>
      <c r="G1371" s="1" t="s">
        <v>22</v>
      </c>
      <c r="H1371" s="1" t="s">
        <v>12</v>
      </c>
      <c r="I1371" s="1" t="s">
        <v>13</v>
      </c>
      <c r="J1371" s="1" t="s">
        <v>129</v>
      </c>
      <c r="K1371" s="3">
        <v>984.15</v>
      </c>
      <c r="L1371" s="1">
        <v>9</v>
      </c>
      <c r="M1371" s="1" t="s">
        <v>49</v>
      </c>
      <c r="N1371" s="3">
        <v>84.39</v>
      </c>
      <c r="O1371" s="1" t="s">
        <v>2120</v>
      </c>
      <c r="P1371" s="1" t="s">
        <v>2071</v>
      </c>
      <c r="Q1371" s="1" t="str">
        <f>TEXT((Data[[#This Row],[Order_Date]]), "mmm")</f>
        <v>Jul</v>
      </c>
    </row>
    <row r="1372" spans="4:17" x14ac:dyDescent="0.3">
      <c r="D1372" s="1" t="s">
        <v>1434</v>
      </c>
      <c r="E1372" s="2">
        <v>45306</v>
      </c>
      <c r="F1372" s="2">
        <v>45313</v>
      </c>
      <c r="G1372" s="1" t="s">
        <v>31</v>
      </c>
      <c r="H1372" s="1" t="s">
        <v>17</v>
      </c>
      <c r="I1372" s="1" t="s">
        <v>18</v>
      </c>
      <c r="J1372" s="1" t="s">
        <v>19</v>
      </c>
      <c r="K1372" s="3">
        <v>406.23</v>
      </c>
      <c r="L1372" s="1">
        <v>4</v>
      </c>
      <c r="M1372" s="1" t="s">
        <v>15</v>
      </c>
      <c r="N1372" s="3">
        <v>134.03</v>
      </c>
      <c r="O1372" s="1" t="s">
        <v>2108</v>
      </c>
      <c r="P1372" s="1" t="s">
        <v>2071</v>
      </c>
      <c r="Q1372" s="1" t="str">
        <f>TEXT((Data[[#This Row],[Order_Date]]), "mmm")</f>
        <v>Jan</v>
      </c>
    </row>
    <row r="1373" spans="4:17" x14ac:dyDescent="0.3">
      <c r="D1373" s="1" t="s">
        <v>1435</v>
      </c>
      <c r="E1373" s="2">
        <v>45583</v>
      </c>
      <c r="F1373" s="2">
        <v>45587</v>
      </c>
      <c r="G1373" s="1" t="s">
        <v>22</v>
      </c>
      <c r="H1373" s="1" t="s">
        <v>12</v>
      </c>
      <c r="I1373" s="1" t="s">
        <v>13</v>
      </c>
      <c r="J1373" s="1" t="s">
        <v>129</v>
      </c>
      <c r="K1373" s="3">
        <v>1989.17</v>
      </c>
      <c r="L1373" s="1">
        <v>8</v>
      </c>
      <c r="M1373" s="1" t="s">
        <v>29</v>
      </c>
      <c r="N1373" s="3">
        <v>630.69000000000005</v>
      </c>
      <c r="O1373" s="1" t="s">
        <v>2235</v>
      </c>
      <c r="P1373" s="1" t="s">
        <v>2071</v>
      </c>
      <c r="Q1373" s="1" t="str">
        <f>TEXT((Data[[#This Row],[Order_Date]]), "mmm")</f>
        <v>Oct</v>
      </c>
    </row>
    <row r="1374" spans="4:17" x14ac:dyDescent="0.3">
      <c r="D1374" s="1" t="s">
        <v>1436</v>
      </c>
      <c r="E1374" s="2">
        <v>45403</v>
      </c>
      <c r="F1374" s="2">
        <v>45403</v>
      </c>
      <c r="G1374" s="1" t="s">
        <v>36</v>
      </c>
      <c r="H1374" s="1" t="s">
        <v>17</v>
      </c>
      <c r="I1374" s="1" t="s">
        <v>18</v>
      </c>
      <c r="J1374" s="1" t="s">
        <v>19</v>
      </c>
      <c r="K1374" s="3">
        <v>3476.34</v>
      </c>
      <c r="L1374" s="1">
        <v>7</v>
      </c>
      <c r="M1374" s="1" t="s">
        <v>49</v>
      </c>
      <c r="N1374" s="3">
        <v>1161.23</v>
      </c>
      <c r="O1374" s="1" t="s">
        <v>2250</v>
      </c>
      <c r="P1374" s="1" t="s">
        <v>2071</v>
      </c>
      <c r="Q1374" s="1" t="str">
        <f>TEXT((Data[[#This Row],[Order_Date]]), "mmm")</f>
        <v>Apr</v>
      </c>
    </row>
    <row r="1375" spans="4:17" x14ac:dyDescent="0.3">
      <c r="D1375" s="1" t="s">
        <v>1437</v>
      </c>
      <c r="E1375" s="2">
        <v>45459</v>
      </c>
      <c r="F1375" s="2">
        <v>45466</v>
      </c>
      <c r="G1375" s="1" t="s">
        <v>31</v>
      </c>
      <c r="H1375" s="1" t="s">
        <v>12</v>
      </c>
      <c r="I1375" s="1" t="s">
        <v>58</v>
      </c>
      <c r="J1375" s="1" t="s">
        <v>105</v>
      </c>
      <c r="K1375" s="3">
        <v>2050.66</v>
      </c>
      <c r="L1375" s="1">
        <v>20</v>
      </c>
      <c r="M1375" s="1" t="s">
        <v>34</v>
      </c>
      <c r="N1375" s="3">
        <v>591.62</v>
      </c>
      <c r="O1375" s="1" t="s">
        <v>2196</v>
      </c>
      <c r="P1375" s="1" t="s">
        <v>2076</v>
      </c>
      <c r="Q1375" s="1" t="str">
        <f>TEXT((Data[[#This Row],[Order_Date]]), "mmm")</f>
        <v>Jun</v>
      </c>
    </row>
    <row r="1376" spans="4:17" x14ac:dyDescent="0.3">
      <c r="D1376" s="1" t="s">
        <v>1438</v>
      </c>
      <c r="E1376" s="2">
        <v>45419</v>
      </c>
      <c r="F1376" s="2">
        <v>45420</v>
      </c>
      <c r="G1376" s="1" t="s">
        <v>11</v>
      </c>
      <c r="H1376" s="1" t="s">
        <v>17</v>
      </c>
      <c r="I1376" s="1" t="s">
        <v>18</v>
      </c>
      <c r="J1376" s="1" t="s">
        <v>90</v>
      </c>
      <c r="K1376" s="3">
        <v>437.61</v>
      </c>
      <c r="L1376" s="1">
        <v>1</v>
      </c>
      <c r="M1376" s="1" t="s">
        <v>34</v>
      </c>
      <c r="N1376" s="3">
        <v>143.99</v>
      </c>
      <c r="O1376" s="1" t="s">
        <v>2145</v>
      </c>
      <c r="P1376" s="1" t="s">
        <v>2076</v>
      </c>
      <c r="Q1376" s="1" t="str">
        <f>TEXT((Data[[#This Row],[Order_Date]]), "mmm")</f>
        <v>May</v>
      </c>
    </row>
    <row r="1377" spans="4:17" x14ac:dyDescent="0.3">
      <c r="D1377" s="1" t="s">
        <v>1439</v>
      </c>
      <c r="E1377" s="2">
        <v>45487</v>
      </c>
      <c r="F1377" s="2">
        <v>45489</v>
      </c>
      <c r="G1377" s="1" t="s">
        <v>11</v>
      </c>
      <c r="H1377" s="1" t="s">
        <v>17</v>
      </c>
      <c r="I1377" s="1" t="s">
        <v>27</v>
      </c>
      <c r="J1377" s="1" t="s">
        <v>132</v>
      </c>
      <c r="K1377" s="3">
        <v>2671.65</v>
      </c>
      <c r="L1377" s="1">
        <v>14</v>
      </c>
      <c r="M1377" s="1" t="s">
        <v>15</v>
      </c>
      <c r="N1377" s="3">
        <v>-836.05</v>
      </c>
      <c r="O1377" s="1" t="s">
        <v>2258</v>
      </c>
      <c r="P1377" s="1" t="s">
        <v>2071</v>
      </c>
      <c r="Q1377" s="1" t="str">
        <f>TEXT((Data[[#This Row],[Order_Date]]), "mmm")</f>
        <v>Jul</v>
      </c>
    </row>
    <row r="1378" spans="4:17" x14ac:dyDescent="0.3">
      <c r="D1378" s="1" t="s">
        <v>1440</v>
      </c>
      <c r="E1378" s="2">
        <v>45505</v>
      </c>
      <c r="F1378" s="2">
        <v>45505</v>
      </c>
      <c r="G1378" s="1" t="s">
        <v>36</v>
      </c>
      <c r="H1378" s="1" t="s">
        <v>17</v>
      </c>
      <c r="I1378" s="1" t="s">
        <v>18</v>
      </c>
      <c r="J1378" s="1" t="s">
        <v>54</v>
      </c>
      <c r="K1378" s="3">
        <v>781.89</v>
      </c>
      <c r="L1378" s="1">
        <v>15</v>
      </c>
      <c r="M1378" s="1" t="s">
        <v>44</v>
      </c>
      <c r="N1378" s="3">
        <v>67.319999999999993</v>
      </c>
      <c r="O1378" s="1" t="s">
        <v>2169</v>
      </c>
      <c r="P1378" s="1" t="s">
        <v>2078</v>
      </c>
      <c r="Q1378" s="1" t="str">
        <f>TEXT((Data[[#This Row],[Order_Date]]), "mmm")</f>
        <v>Aug</v>
      </c>
    </row>
    <row r="1379" spans="4:17" x14ac:dyDescent="0.3">
      <c r="D1379" s="1" t="s">
        <v>1441</v>
      </c>
      <c r="E1379" s="2">
        <v>45641</v>
      </c>
      <c r="F1379" s="2">
        <v>45641</v>
      </c>
      <c r="G1379" s="1" t="s">
        <v>31</v>
      </c>
      <c r="H1379" s="1" t="s">
        <v>17</v>
      </c>
      <c r="I1379" s="1" t="s">
        <v>18</v>
      </c>
      <c r="J1379" s="1" t="s">
        <v>19</v>
      </c>
      <c r="K1379" s="3">
        <v>572.86</v>
      </c>
      <c r="L1379" s="1">
        <v>8</v>
      </c>
      <c r="M1379" s="1" t="s">
        <v>49</v>
      </c>
      <c r="N1379" s="3">
        <v>178.12</v>
      </c>
      <c r="O1379" s="1" t="s">
        <v>2160</v>
      </c>
      <c r="P1379" s="1" t="s">
        <v>2076</v>
      </c>
      <c r="Q1379" s="1" t="str">
        <f>TEXT((Data[[#This Row],[Order_Date]]), "mmm")</f>
        <v>Dec</v>
      </c>
    </row>
    <row r="1380" spans="4:17" x14ac:dyDescent="0.3">
      <c r="D1380" s="1" t="s">
        <v>1442</v>
      </c>
      <c r="E1380" s="2">
        <v>45577</v>
      </c>
      <c r="F1380" s="2">
        <v>45581</v>
      </c>
      <c r="G1380" s="1" t="s">
        <v>36</v>
      </c>
      <c r="H1380" s="1" t="s">
        <v>17</v>
      </c>
      <c r="I1380" s="1" t="s">
        <v>32</v>
      </c>
      <c r="J1380" s="1" t="s">
        <v>33</v>
      </c>
      <c r="K1380" s="3">
        <v>487.31</v>
      </c>
      <c r="L1380" s="1">
        <v>5</v>
      </c>
      <c r="M1380" s="1" t="s">
        <v>44</v>
      </c>
      <c r="N1380" s="3">
        <v>33.89</v>
      </c>
      <c r="O1380" s="1" t="s">
        <v>2096</v>
      </c>
      <c r="P1380" s="1" t="s">
        <v>2076</v>
      </c>
      <c r="Q1380" s="1" t="str">
        <f>TEXT((Data[[#This Row],[Order_Date]]), "mmm")</f>
        <v>Oct</v>
      </c>
    </row>
    <row r="1381" spans="4:17" x14ac:dyDescent="0.3">
      <c r="D1381" s="1" t="s">
        <v>1443</v>
      </c>
      <c r="E1381" s="2">
        <v>45307</v>
      </c>
      <c r="F1381" s="2">
        <v>45307</v>
      </c>
      <c r="G1381" s="1" t="s">
        <v>31</v>
      </c>
      <c r="H1381" s="1" t="s">
        <v>23</v>
      </c>
      <c r="I1381" s="1" t="s">
        <v>65</v>
      </c>
      <c r="J1381" s="1" t="s">
        <v>114</v>
      </c>
      <c r="K1381" s="3">
        <v>906.34</v>
      </c>
      <c r="L1381" s="1">
        <v>1</v>
      </c>
      <c r="M1381" s="1" t="s">
        <v>29</v>
      </c>
      <c r="N1381" s="3">
        <v>289.32</v>
      </c>
      <c r="O1381" s="1" t="s">
        <v>2190</v>
      </c>
      <c r="P1381" s="1" t="s">
        <v>2078</v>
      </c>
      <c r="Q1381" s="1" t="str">
        <f>TEXT((Data[[#This Row],[Order_Date]]), "mmm")</f>
        <v>Jan</v>
      </c>
    </row>
    <row r="1382" spans="4:17" x14ac:dyDescent="0.3">
      <c r="D1382" s="1" t="s">
        <v>1444</v>
      </c>
      <c r="E1382" s="2">
        <v>45435</v>
      </c>
      <c r="F1382" s="2">
        <v>45439</v>
      </c>
      <c r="G1382" s="1" t="s">
        <v>31</v>
      </c>
      <c r="H1382" s="1" t="s">
        <v>17</v>
      </c>
      <c r="I1382" s="1" t="s">
        <v>27</v>
      </c>
      <c r="J1382" s="1" t="s">
        <v>28</v>
      </c>
      <c r="K1382" s="3">
        <v>2767.16</v>
      </c>
      <c r="L1382" s="1">
        <v>7</v>
      </c>
      <c r="M1382" s="1" t="s">
        <v>44</v>
      </c>
      <c r="N1382" s="3">
        <v>710.89</v>
      </c>
      <c r="O1382" s="1" t="s">
        <v>2134</v>
      </c>
      <c r="P1382" s="1" t="s">
        <v>2078</v>
      </c>
      <c r="Q1382" s="1" t="str">
        <f>TEXT((Data[[#This Row],[Order_Date]]), "mmm")</f>
        <v>May</v>
      </c>
    </row>
    <row r="1383" spans="4:17" x14ac:dyDescent="0.3">
      <c r="D1383" s="1" t="s">
        <v>1445</v>
      </c>
      <c r="E1383" s="2">
        <v>45624</v>
      </c>
      <c r="F1383" s="2">
        <v>45624</v>
      </c>
      <c r="G1383" s="1" t="s">
        <v>31</v>
      </c>
      <c r="H1383" s="1" t="s">
        <v>12</v>
      </c>
      <c r="I1383" s="1" t="s">
        <v>42</v>
      </c>
      <c r="J1383" s="1" t="s">
        <v>72</v>
      </c>
      <c r="K1383" s="3">
        <v>2933.38</v>
      </c>
      <c r="L1383" s="1">
        <v>2</v>
      </c>
      <c r="M1383" s="1" t="s">
        <v>34</v>
      </c>
      <c r="N1383" s="3">
        <v>467.02</v>
      </c>
      <c r="O1383" s="1" t="s">
        <v>2148</v>
      </c>
      <c r="P1383" s="1" t="s">
        <v>2078</v>
      </c>
      <c r="Q1383" s="1" t="str">
        <f>TEXT((Data[[#This Row],[Order_Date]]), "mmm")</f>
        <v>Nov</v>
      </c>
    </row>
    <row r="1384" spans="4:17" x14ac:dyDescent="0.3">
      <c r="D1384" s="1" t="s">
        <v>1446</v>
      </c>
      <c r="E1384" s="2">
        <v>45525</v>
      </c>
      <c r="F1384" s="2">
        <v>45532</v>
      </c>
      <c r="G1384" s="1" t="s">
        <v>22</v>
      </c>
      <c r="H1384" s="1" t="s">
        <v>23</v>
      </c>
      <c r="I1384" s="1" t="s">
        <v>24</v>
      </c>
      <c r="J1384" s="1" t="s">
        <v>150</v>
      </c>
      <c r="K1384" s="3">
        <v>2316.34</v>
      </c>
      <c r="L1384" s="1">
        <v>5</v>
      </c>
      <c r="M1384" s="1" t="s">
        <v>34</v>
      </c>
      <c r="N1384" s="3">
        <v>626.71</v>
      </c>
      <c r="O1384" s="1" t="s">
        <v>2147</v>
      </c>
      <c r="P1384" s="1" t="s">
        <v>2071</v>
      </c>
      <c r="Q1384" s="1" t="str">
        <f>TEXT((Data[[#This Row],[Order_Date]]), "mmm")</f>
        <v>Aug</v>
      </c>
    </row>
    <row r="1385" spans="4:17" x14ac:dyDescent="0.3">
      <c r="D1385" s="1" t="s">
        <v>1447</v>
      </c>
      <c r="E1385" s="2">
        <v>45381</v>
      </c>
      <c r="F1385" s="2">
        <v>45387</v>
      </c>
      <c r="G1385" s="1" t="s">
        <v>36</v>
      </c>
      <c r="H1385" s="1" t="s">
        <v>23</v>
      </c>
      <c r="I1385" s="1" t="s">
        <v>24</v>
      </c>
      <c r="J1385" s="1" t="s">
        <v>93</v>
      </c>
      <c r="K1385" s="3">
        <v>803.62</v>
      </c>
      <c r="L1385" s="1">
        <v>16</v>
      </c>
      <c r="M1385" s="1" t="s">
        <v>15</v>
      </c>
      <c r="N1385" s="3">
        <v>170.91</v>
      </c>
      <c r="O1385" s="1" t="s">
        <v>2128</v>
      </c>
      <c r="P1385" s="1" t="s">
        <v>2076</v>
      </c>
      <c r="Q1385" s="1" t="str">
        <f>TEXT((Data[[#This Row],[Order_Date]]), "mmm")</f>
        <v>Mar</v>
      </c>
    </row>
    <row r="1386" spans="4:17" x14ac:dyDescent="0.3">
      <c r="D1386" s="1" t="s">
        <v>1448</v>
      </c>
      <c r="E1386" s="2">
        <v>45513</v>
      </c>
      <c r="F1386" s="2">
        <v>45514</v>
      </c>
      <c r="G1386" s="1" t="s">
        <v>36</v>
      </c>
      <c r="H1386" s="1" t="s">
        <v>17</v>
      </c>
      <c r="I1386" s="1" t="s">
        <v>27</v>
      </c>
      <c r="J1386" s="1" t="s">
        <v>110</v>
      </c>
      <c r="K1386" s="3">
        <v>2670.49</v>
      </c>
      <c r="L1386" s="1">
        <v>15</v>
      </c>
      <c r="M1386" s="1" t="s">
        <v>29</v>
      </c>
      <c r="N1386" s="3">
        <v>823.95</v>
      </c>
      <c r="O1386" s="1" t="s">
        <v>2255</v>
      </c>
      <c r="P1386" s="1" t="s">
        <v>2076</v>
      </c>
      <c r="Q1386" s="1" t="str">
        <f>TEXT((Data[[#This Row],[Order_Date]]), "mmm")</f>
        <v>Aug</v>
      </c>
    </row>
    <row r="1387" spans="4:17" x14ac:dyDescent="0.3">
      <c r="D1387" s="1" t="s">
        <v>1449</v>
      </c>
      <c r="E1387" s="2">
        <v>45313</v>
      </c>
      <c r="F1387" s="2">
        <v>45318</v>
      </c>
      <c r="G1387" s="1" t="s">
        <v>22</v>
      </c>
      <c r="H1387" s="1" t="s">
        <v>12</v>
      </c>
      <c r="I1387" s="1" t="s">
        <v>13</v>
      </c>
      <c r="J1387" s="1" t="s">
        <v>14</v>
      </c>
      <c r="K1387" s="3">
        <v>3441.62</v>
      </c>
      <c r="L1387" s="1">
        <v>19</v>
      </c>
      <c r="M1387" s="1" t="s">
        <v>44</v>
      </c>
      <c r="N1387" s="3">
        <v>1181.06</v>
      </c>
      <c r="O1387" s="1" t="s">
        <v>2299</v>
      </c>
      <c r="P1387" s="1" t="s">
        <v>2078</v>
      </c>
      <c r="Q1387" s="1" t="str">
        <f>TEXT((Data[[#This Row],[Order_Date]]), "mmm")</f>
        <v>Jan</v>
      </c>
    </row>
    <row r="1388" spans="4:17" x14ac:dyDescent="0.3">
      <c r="D1388" s="1" t="s">
        <v>1450</v>
      </c>
      <c r="E1388" s="2">
        <v>45646</v>
      </c>
      <c r="F1388" s="2">
        <v>45652</v>
      </c>
      <c r="G1388" s="1" t="s">
        <v>11</v>
      </c>
      <c r="H1388" s="1" t="s">
        <v>23</v>
      </c>
      <c r="I1388" s="1" t="s">
        <v>61</v>
      </c>
      <c r="J1388" s="1" t="s">
        <v>62</v>
      </c>
      <c r="K1388" s="3">
        <v>2289.9899999999998</v>
      </c>
      <c r="L1388" s="1">
        <v>17</v>
      </c>
      <c r="M1388" s="1" t="s">
        <v>20</v>
      </c>
      <c r="N1388" s="3">
        <v>509.84</v>
      </c>
      <c r="O1388" s="1" t="s">
        <v>2275</v>
      </c>
      <c r="P1388" s="1" t="s">
        <v>2078</v>
      </c>
      <c r="Q1388" s="1" t="str">
        <f>TEXT((Data[[#This Row],[Order_Date]]), "mmm")</f>
        <v>Dec</v>
      </c>
    </row>
    <row r="1389" spans="4:17" x14ac:dyDescent="0.3">
      <c r="D1389" s="1" t="s">
        <v>1451</v>
      </c>
      <c r="E1389" s="2">
        <v>45573</v>
      </c>
      <c r="F1389" s="2">
        <v>45575</v>
      </c>
      <c r="G1389" s="1" t="s">
        <v>22</v>
      </c>
      <c r="H1389" s="1" t="s">
        <v>12</v>
      </c>
      <c r="I1389" s="1" t="s">
        <v>13</v>
      </c>
      <c r="J1389" s="1" t="s">
        <v>96</v>
      </c>
      <c r="K1389" s="3">
        <v>688.46</v>
      </c>
      <c r="L1389" s="1">
        <v>12</v>
      </c>
      <c r="M1389" s="1" t="s">
        <v>29</v>
      </c>
      <c r="N1389" s="3">
        <v>227.93</v>
      </c>
      <c r="O1389" s="1" t="s">
        <v>2264</v>
      </c>
      <c r="P1389" s="1" t="s">
        <v>2078</v>
      </c>
      <c r="Q1389" s="1" t="str">
        <f>TEXT((Data[[#This Row],[Order_Date]]), "mmm")</f>
        <v>Oct</v>
      </c>
    </row>
    <row r="1390" spans="4:17" x14ac:dyDescent="0.3">
      <c r="D1390" s="1" t="s">
        <v>1452</v>
      </c>
      <c r="E1390" s="2">
        <v>45493</v>
      </c>
      <c r="F1390" s="2">
        <v>45496</v>
      </c>
      <c r="G1390" s="1" t="s">
        <v>36</v>
      </c>
      <c r="H1390" s="1" t="s">
        <v>12</v>
      </c>
      <c r="I1390" s="1" t="s">
        <v>42</v>
      </c>
      <c r="J1390" s="1" t="s">
        <v>48</v>
      </c>
      <c r="K1390" s="3">
        <v>1096.81</v>
      </c>
      <c r="L1390" s="1">
        <v>15</v>
      </c>
      <c r="M1390" s="1" t="s">
        <v>44</v>
      </c>
      <c r="N1390" s="3">
        <v>329.38</v>
      </c>
      <c r="O1390" s="1" t="s">
        <v>2305</v>
      </c>
      <c r="P1390" s="1" t="s">
        <v>2071</v>
      </c>
      <c r="Q1390" s="1" t="str">
        <f>TEXT((Data[[#This Row],[Order_Date]]), "mmm")</f>
        <v>Jul</v>
      </c>
    </row>
    <row r="1391" spans="4:17" x14ac:dyDescent="0.3">
      <c r="D1391" s="1" t="s">
        <v>1453</v>
      </c>
      <c r="E1391" s="2">
        <v>45388</v>
      </c>
      <c r="F1391" s="2">
        <v>45388</v>
      </c>
      <c r="G1391" s="1" t="s">
        <v>11</v>
      </c>
      <c r="H1391" s="1" t="s">
        <v>23</v>
      </c>
      <c r="I1391" s="1" t="s">
        <v>78</v>
      </c>
      <c r="J1391" s="1" t="s">
        <v>118</v>
      </c>
      <c r="K1391" s="3">
        <v>2856.02</v>
      </c>
      <c r="L1391" s="1">
        <v>10</v>
      </c>
      <c r="M1391" s="1" t="s">
        <v>44</v>
      </c>
      <c r="N1391" s="3">
        <v>790.38</v>
      </c>
      <c r="O1391" s="1" t="s">
        <v>2114</v>
      </c>
      <c r="P1391" s="1" t="s">
        <v>2078</v>
      </c>
      <c r="Q1391" s="1" t="str">
        <f>TEXT((Data[[#This Row],[Order_Date]]), "mmm")</f>
        <v>Apr</v>
      </c>
    </row>
    <row r="1392" spans="4:17" x14ac:dyDescent="0.3">
      <c r="D1392" s="1" t="s">
        <v>1454</v>
      </c>
      <c r="E1392" s="2">
        <v>45399</v>
      </c>
      <c r="F1392" s="2">
        <v>45400</v>
      </c>
      <c r="G1392" s="1" t="s">
        <v>22</v>
      </c>
      <c r="H1392" s="1" t="s">
        <v>17</v>
      </c>
      <c r="I1392" s="1" t="s">
        <v>18</v>
      </c>
      <c r="J1392" s="1" t="s">
        <v>19</v>
      </c>
      <c r="K1392" s="3">
        <v>1359.19</v>
      </c>
      <c r="L1392" s="1">
        <v>7</v>
      </c>
      <c r="M1392" s="1" t="s">
        <v>44</v>
      </c>
      <c r="N1392" s="3">
        <v>405.44</v>
      </c>
      <c r="O1392" s="1" t="s">
        <v>2269</v>
      </c>
      <c r="P1392" s="1" t="s">
        <v>2076</v>
      </c>
      <c r="Q1392" s="1" t="str">
        <f>TEXT((Data[[#This Row],[Order_Date]]), "mmm")</f>
        <v>Apr</v>
      </c>
    </row>
    <row r="1393" spans="4:17" x14ac:dyDescent="0.3">
      <c r="D1393" s="1" t="s">
        <v>1455</v>
      </c>
      <c r="E1393" s="2">
        <v>45326</v>
      </c>
      <c r="F1393" s="2">
        <v>45330</v>
      </c>
      <c r="G1393" s="1" t="s">
        <v>31</v>
      </c>
      <c r="H1393" s="1" t="s">
        <v>17</v>
      </c>
      <c r="I1393" s="1" t="s">
        <v>27</v>
      </c>
      <c r="J1393" s="1" t="s">
        <v>110</v>
      </c>
      <c r="K1393" s="3">
        <v>2730.94</v>
      </c>
      <c r="L1393" s="1">
        <v>1</v>
      </c>
      <c r="M1393" s="1" t="s">
        <v>15</v>
      </c>
      <c r="N1393" s="3">
        <v>626.12</v>
      </c>
      <c r="O1393" s="1" t="s">
        <v>2162</v>
      </c>
      <c r="P1393" s="1" t="s">
        <v>2071</v>
      </c>
      <c r="Q1393" s="1" t="str">
        <f>TEXT((Data[[#This Row],[Order_Date]]), "mmm")</f>
        <v>Feb</v>
      </c>
    </row>
    <row r="1394" spans="4:17" x14ac:dyDescent="0.3">
      <c r="D1394" s="1" t="s">
        <v>1456</v>
      </c>
      <c r="E1394" s="2">
        <v>45483</v>
      </c>
      <c r="F1394" s="2">
        <v>45486</v>
      </c>
      <c r="G1394" s="1" t="s">
        <v>36</v>
      </c>
      <c r="H1394" s="1" t="s">
        <v>23</v>
      </c>
      <c r="I1394" s="1" t="s">
        <v>65</v>
      </c>
      <c r="J1394" s="1" t="s">
        <v>122</v>
      </c>
      <c r="K1394" s="3">
        <v>2555.5100000000002</v>
      </c>
      <c r="L1394" s="1">
        <v>2</v>
      </c>
      <c r="M1394" s="1" t="s">
        <v>15</v>
      </c>
      <c r="N1394" s="3">
        <v>-504.46</v>
      </c>
      <c r="O1394" s="1" t="s">
        <v>2119</v>
      </c>
      <c r="P1394" s="1" t="s">
        <v>2076</v>
      </c>
      <c r="Q1394" s="1" t="str">
        <f>TEXT((Data[[#This Row],[Order_Date]]), "mmm")</f>
        <v>Jul</v>
      </c>
    </row>
    <row r="1395" spans="4:17" x14ac:dyDescent="0.3">
      <c r="D1395" s="1" t="s">
        <v>1457</v>
      </c>
      <c r="E1395" s="2">
        <v>45455</v>
      </c>
      <c r="F1395" s="2">
        <v>45460</v>
      </c>
      <c r="G1395" s="1" t="s">
        <v>11</v>
      </c>
      <c r="H1395" s="1" t="s">
        <v>23</v>
      </c>
      <c r="I1395" s="1" t="s">
        <v>65</v>
      </c>
      <c r="J1395" s="1" t="s">
        <v>114</v>
      </c>
      <c r="K1395" s="3">
        <v>3073.44</v>
      </c>
      <c r="L1395" s="1">
        <v>4</v>
      </c>
      <c r="M1395" s="1" t="s">
        <v>49</v>
      </c>
      <c r="N1395" s="3">
        <v>788.58</v>
      </c>
      <c r="O1395" s="1" t="s">
        <v>2220</v>
      </c>
      <c r="P1395" s="1" t="s">
        <v>2076</v>
      </c>
      <c r="Q1395" s="1" t="str">
        <f>TEXT((Data[[#This Row],[Order_Date]]), "mmm")</f>
        <v>Jun</v>
      </c>
    </row>
    <row r="1396" spans="4:17" x14ac:dyDescent="0.3">
      <c r="D1396" s="1" t="s">
        <v>1458</v>
      </c>
      <c r="E1396" s="2">
        <v>45471</v>
      </c>
      <c r="F1396" s="2">
        <v>45478</v>
      </c>
      <c r="G1396" s="1" t="s">
        <v>11</v>
      </c>
      <c r="H1396" s="1" t="s">
        <v>23</v>
      </c>
      <c r="I1396" s="1" t="s">
        <v>61</v>
      </c>
      <c r="J1396" s="1" t="s">
        <v>98</v>
      </c>
      <c r="K1396" s="3">
        <v>3096.44</v>
      </c>
      <c r="L1396" s="1">
        <v>3</v>
      </c>
      <c r="M1396" s="1" t="s">
        <v>49</v>
      </c>
      <c r="N1396" s="3">
        <v>-389.06</v>
      </c>
      <c r="O1396" s="1" t="s">
        <v>2090</v>
      </c>
      <c r="P1396" s="1" t="s">
        <v>2076</v>
      </c>
      <c r="Q1396" s="1" t="str">
        <f>TEXT((Data[[#This Row],[Order_Date]]), "mmm")</f>
        <v>Jun</v>
      </c>
    </row>
    <row r="1397" spans="4:17" x14ac:dyDescent="0.3">
      <c r="D1397" s="1" t="s">
        <v>1459</v>
      </c>
      <c r="E1397" s="2">
        <v>45417</v>
      </c>
      <c r="F1397" s="2">
        <v>45418</v>
      </c>
      <c r="G1397" s="1" t="s">
        <v>31</v>
      </c>
      <c r="H1397" s="1" t="s">
        <v>23</v>
      </c>
      <c r="I1397" s="1" t="s">
        <v>24</v>
      </c>
      <c r="J1397" s="1" t="s">
        <v>25</v>
      </c>
      <c r="K1397" s="3">
        <v>2513.5300000000002</v>
      </c>
      <c r="L1397" s="1">
        <v>16</v>
      </c>
      <c r="M1397" s="1" t="s">
        <v>20</v>
      </c>
      <c r="N1397" s="3">
        <v>369.14</v>
      </c>
      <c r="O1397" s="1" t="s">
        <v>2116</v>
      </c>
      <c r="P1397" s="1" t="s">
        <v>2071</v>
      </c>
      <c r="Q1397" s="1" t="str">
        <f>TEXT((Data[[#This Row],[Order_Date]]), "mmm")</f>
        <v>May</v>
      </c>
    </row>
    <row r="1398" spans="4:17" x14ac:dyDescent="0.3">
      <c r="D1398" s="1" t="s">
        <v>1460</v>
      </c>
      <c r="E1398" s="2">
        <v>45652</v>
      </c>
      <c r="F1398" s="2">
        <v>45659</v>
      </c>
      <c r="G1398" s="1" t="s">
        <v>22</v>
      </c>
      <c r="H1398" s="1" t="s">
        <v>12</v>
      </c>
      <c r="I1398" s="1" t="s">
        <v>42</v>
      </c>
      <c r="J1398" s="1" t="s">
        <v>48</v>
      </c>
      <c r="K1398" s="3">
        <v>288.60000000000002</v>
      </c>
      <c r="L1398" s="1">
        <v>5</v>
      </c>
      <c r="M1398" s="1" t="s">
        <v>29</v>
      </c>
      <c r="N1398" s="3">
        <v>89.12</v>
      </c>
      <c r="O1398" s="1" t="s">
        <v>2269</v>
      </c>
      <c r="P1398" s="1" t="s">
        <v>2076</v>
      </c>
      <c r="Q1398" s="1" t="str">
        <f>TEXT((Data[[#This Row],[Order_Date]]), "mmm")</f>
        <v>Dec</v>
      </c>
    </row>
    <row r="1399" spans="4:17" x14ac:dyDescent="0.3">
      <c r="D1399" s="1" t="s">
        <v>1461</v>
      </c>
      <c r="E1399" s="2">
        <v>45551</v>
      </c>
      <c r="F1399" s="2">
        <v>45558</v>
      </c>
      <c r="G1399" s="1" t="s">
        <v>11</v>
      </c>
      <c r="H1399" s="1" t="s">
        <v>12</v>
      </c>
      <c r="I1399" s="1" t="s">
        <v>58</v>
      </c>
      <c r="J1399" s="1" t="s">
        <v>105</v>
      </c>
      <c r="K1399" s="3">
        <v>1280.28</v>
      </c>
      <c r="L1399" s="1">
        <v>19</v>
      </c>
      <c r="M1399" s="1" t="s">
        <v>49</v>
      </c>
      <c r="N1399" s="3">
        <v>371.78</v>
      </c>
      <c r="O1399" s="1" t="s">
        <v>2169</v>
      </c>
      <c r="P1399" s="1" t="s">
        <v>2071</v>
      </c>
      <c r="Q1399" s="1" t="str">
        <f>TEXT((Data[[#This Row],[Order_Date]]), "mmm")</f>
        <v>Sep</v>
      </c>
    </row>
    <row r="1400" spans="4:17" x14ac:dyDescent="0.3">
      <c r="D1400" s="1" t="s">
        <v>1462</v>
      </c>
      <c r="E1400" s="2">
        <v>45316</v>
      </c>
      <c r="F1400" s="2">
        <v>45320</v>
      </c>
      <c r="G1400" s="1" t="s">
        <v>11</v>
      </c>
      <c r="H1400" s="1" t="s">
        <v>12</v>
      </c>
      <c r="I1400" s="1" t="s">
        <v>42</v>
      </c>
      <c r="J1400" s="1" t="s">
        <v>72</v>
      </c>
      <c r="K1400" s="3">
        <v>3633.48</v>
      </c>
      <c r="L1400" s="1">
        <v>10</v>
      </c>
      <c r="M1400" s="1" t="s">
        <v>44</v>
      </c>
      <c r="N1400" s="3">
        <v>225.08</v>
      </c>
      <c r="O1400" s="1" t="s">
        <v>2269</v>
      </c>
      <c r="P1400" s="1" t="s">
        <v>2076</v>
      </c>
      <c r="Q1400" s="1" t="str">
        <f>TEXT((Data[[#This Row],[Order_Date]]), "mmm")</f>
        <v>Jan</v>
      </c>
    </row>
    <row r="1401" spans="4:17" x14ac:dyDescent="0.3">
      <c r="D1401" s="1" t="s">
        <v>1463</v>
      </c>
      <c r="E1401" s="2">
        <v>45510</v>
      </c>
      <c r="F1401" s="2">
        <v>45511</v>
      </c>
      <c r="G1401" s="1" t="s">
        <v>22</v>
      </c>
      <c r="H1401" s="1" t="s">
        <v>17</v>
      </c>
      <c r="I1401" s="1" t="s">
        <v>18</v>
      </c>
      <c r="J1401" s="1" t="s">
        <v>54</v>
      </c>
      <c r="K1401" s="3">
        <v>2073.4299999999998</v>
      </c>
      <c r="L1401" s="1">
        <v>1</v>
      </c>
      <c r="M1401" s="1" t="s">
        <v>49</v>
      </c>
      <c r="N1401" s="3">
        <v>586.20000000000005</v>
      </c>
      <c r="O1401" s="1" t="s">
        <v>2295</v>
      </c>
      <c r="P1401" s="1" t="s">
        <v>2078</v>
      </c>
      <c r="Q1401" s="1" t="str">
        <f>TEXT((Data[[#This Row],[Order_Date]]), "mmm")</f>
        <v>Aug</v>
      </c>
    </row>
    <row r="1402" spans="4:17" x14ac:dyDescent="0.3">
      <c r="D1402" s="1" t="s">
        <v>1464</v>
      </c>
      <c r="E1402" s="2">
        <v>45382</v>
      </c>
      <c r="F1402" s="2">
        <v>45388</v>
      </c>
      <c r="G1402" s="1" t="s">
        <v>11</v>
      </c>
      <c r="H1402" s="1" t="s">
        <v>23</v>
      </c>
      <c r="I1402" s="1" t="s">
        <v>78</v>
      </c>
      <c r="J1402" s="1" t="s">
        <v>118</v>
      </c>
      <c r="K1402" s="3">
        <v>1525.26</v>
      </c>
      <c r="L1402" s="1">
        <v>19</v>
      </c>
      <c r="M1402" s="1" t="s">
        <v>49</v>
      </c>
      <c r="N1402" s="3">
        <v>180.93</v>
      </c>
      <c r="O1402" s="1" t="s">
        <v>2087</v>
      </c>
      <c r="P1402" s="1" t="s">
        <v>2078</v>
      </c>
      <c r="Q1402" s="1" t="str">
        <f>TEXT((Data[[#This Row],[Order_Date]]), "mmm")</f>
        <v>Mar</v>
      </c>
    </row>
    <row r="1403" spans="4:17" x14ac:dyDescent="0.3">
      <c r="D1403" s="1" t="s">
        <v>1465</v>
      </c>
      <c r="E1403" s="2">
        <v>45650</v>
      </c>
      <c r="F1403" s="2">
        <v>45651</v>
      </c>
      <c r="G1403" s="1" t="s">
        <v>11</v>
      </c>
      <c r="H1403" s="1" t="s">
        <v>17</v>
      </c>
      <c r="I1403" s="1" t="s">
        <v>18</v>
      </c>
      <c r="J1403" s="1" t="s">
        <v>19</v>
      </c>
      <c r="K1403" s="3">
        <v>3026.34</v>
      </c>
      <c r="L1403" s="1">
        <v>20</v>
      </c>
      <c r="M1403" s="1" t="s">
        <v>29</v>
      </c>
      <c r="N1403" s="3">
        <v>172.81</v>
      </c>
      <c r="O1403" s="1" t="s">
        <v>2310</v>
      </c>
      <c r="P1403" s="1" t="s">
        <v>2071</v>
      </c>
      <c r="Q1403" s="1" t="str">
        <f>TEXT((Data[[#This Row],[Order_Date]]), "mmm")</f>
        <v>Dec</v>
      </c>
    </row>
    <row r="1404" spans="4:17" x14ac:dyDescent="0.3">
      <c r="D1404" s="1" t="s">
        <v>1466</v>
      </c>
      <c r="E1404" s="2">
        <v>45649</v>
      </c>
      <c r="F1404" s="2">
        <v>45655</v>
      </c>
      <c r="G1404" s="1" t="s">
        <v>11</v>
      </c>
      <c r="H1404" s="1" t="s">
        <v>12</v>
      </c>
      <c r="I1404" s="1" t="s">
        <v>13</v>
      </c>
      <c r="J1404" s="1" t="s">
        <v>51</v>
      </c>
      <c r="K1404" s="3">
        <v>1819.84</v>
      </c>
      <c r="L1404" s="1">
        <v>2</v>
      </c>
      <c r="M1404" s="1" t="s">
        <v>34</v>
      </c>
      <c r="N1404" s="3">
        <v>329.19</v>
      </c>
      <c r="O1404" s="1" t="s">
        <v>2117</v>
      </c>
      <c r="P1404" s="1" t="s">
        <v>2076</v>
      </c>
      <c r="Q1404" s="1" t="str">
        <f>TEXT((Data[[#This Row],[Order_Date]]), "mmm")</f>
        <v>Dec</v>
      </c>
    </row>
    <row r="1405" spans="4:17" x14ac:dyDescent="0.3">
      <c r="D1405" s="1" t="s">
        <v>1467</v>
      </c>
      <c r="E1405" s="2">
        <v>45326</v>
      </c>
      <c r="F1405" s="2">
        <v>45327</v>
      </c>
      <c r="G1405" s="1" t="s">
        <v>11</v>
      </c>
      <c r="H1405" s="1" t="s">
        <v>23</v>
      </c>
      <c r="I1405" s="1" t="s">
        <v>24</v>
      </c>
      <c r="J1405" s="1" t="s">
        <v>93</v>
      </c>
      <c r="K1405" s="3">
        <v>1754.98</v>
      </c>
      <c r="L1405" s="1">
        <v>8</v>
      </c>
      <c r="M1405" s="1" t="s">
        <v>44</v>
      </c>
      <c r="N1405" s="3">
        <v>151.46</v>
      </c>
      <c r="O1405" s="1" t="s">
        <v>2108</v>
      </c>
      <c r="P1405" s="1" t="s">
        <v>2071</v>
      </c>
      <c r="Q1405" s="1" t="str">
        <f>TEXT((Data[[#This Row],[Order_Date]]), "mmm")</f>
        <v>Feb</v>
      </c>
    </row>
    <row r="1406" spans="4:17" x14ac:dyDescent="0.3">
      <c r="D1406" s="1" t="s">
        <v>1468</v>
      </c>
      <c r="E1406" s="2">
        <v>45584</v>
      </c>
      <c r="F1406" s="2">
        <v>45586</v>
      </c>
      <c r="G1406" s="1" t="s">
        <v>22</v>
      </c>
      <c r="H1406" s="1" t="s">
        <v>23</v>
      </c>
      <c r="I1406" s="1" t="s">
        <v>24</v>
      </c>
      <c r="J1406" s="1" t="s">
        <v>150</v>
      </c>
      <c r="K1406" s="3">
        <v>1236.28</v>
      </c>
      <c r="L1406" s="1">
        <v>3</v>
      </c>
      <c r="M1406" s="1" t="s">
        <v>15</v>
      </c>
      <c r="N1406" s="3">
        <v>130.62</v>
      </c>
      <c r="O1406" s="1" t="s">
        <v>2215</v>
      </c>
      <c r="P1406" s="1" t="s">
        <v>2078</v>
      </c>
      <c r="Q1406" s="1" t="str">
        <f>TEXT((Data[[#This Row],[Order_Date]]), "mmm")</f>
        <v>Oct</v>
      </c>
    </row>
    <row r="1407" spans="4:17" x14ac:dyDescent="0.3">
      <c r="D1407" s="1" t="s">
        <v>1469</v>
      </c>
      <c r="E1407" s="2">
        <v>45578</v>
      </c>
      <c r="F1407" s="2">
        <v>45578</v>
      </c>
      <c r="G1407" s="1" t="s">
        <v>22</v>
      </c>
      <c r="H1407" s="1" t="s">
        <v>17</v>
      </c>
      <c r="I1407" s="1" t="s">
        <v>18</v>
      </c>
      <c r="J1407" s="1" t="s">
        <v>54</v>
      </c>
      <c r="K1407" s="3">
        <v>749.56</v>
      </c>
      <c r="L1407" s="1">
        <v>13</v>
      </c>
      <c r="M1407" s="1" t="s">
        <v>20</v>
      </c>
      <c r="N1407" s="3">
        <v>121.1</v>
      </c>
      <c r="O1407" s="1" t="s">
        <v>2298</v>
      </c>
      <c r="P1407" s="1" t="s">
        <v>2076</v>
      </c>
      <c r="Q1407" s="1" t="str">
        <f>TEXT((Data[[#This Row],[Order_Date]]), "mmm")</f>
        <v>Oct</v>
      </c>
    </row>
    <row r="1408" spans="4:17" x14ac:dyDescent="0.3">
      <c r="D1408" s="1" t="s">
        <v>1470</v>
      </c>
      <c r="E1408" s="2">
        <v>45298</v>
      </c>
      <c r="F1408" s="2">
        <v>45299</v>
      </c>
      <c r="G1408" s="1" t="s">
        <v>36</v>
      </c>
      <c r="H1408" s="1" t="s">
        <v>12</v>
      </c>
      <c r="I1408" s="1" t="s">
        <v>38</v>
      </c>
      <c r="J1408" s="1" t="s">
        <v>85</v>
      </c>
      <c r="K1408" s="3">
        <v>3551.44</v>
      </c>
      <c r="L1408" s="1">
        <v>5</v>
      </c>
      <c r="M1408" s="1" t="s">
        <v>34</v>
      </c>
      <c r="N1408" s="3">
        <v>1158.55</v>
      </c>
      <c r="O1408" s="1" t="s">
        <v>2294</v>
      </c>
      <c r="P1408" s="1" t="s">
        <v>2071</v>
      </c>
      <c r="Q1408" s="1" t="str">
        <f>TEXT((Data[[#This Row],[Order_Date]]), "mmm")</f>
        <v>Jan</v>
      </c>
    </row>
    <row r="1409" spans="4:17" x14ac:dyDescent="0.3">
      <c r="D1409" s="1" t="s">
        <v>1471</v>
      </c>
      <c r="E1409" s="2">
        <v>45401</v>
      </c>
      <c r="F1409" s="2">
        <v>45404</v>
      </c>
      <c r="G1409" s="1" t="s">
        <v>31</v>
      </c>
      <c r="H1409" s="1" t="s">
        <v>23</v>
      </c>
      <c r="I1409" s="1" t="s">
        <v>65</v>
      </c>
      <c r="J1409" s="1" t="s">
        <v>66</v>
      </c>
      <c r="K1409" s="3">
        <v>621.42999999999995</v>
      </c>
      <c r="L1409" s="1">
        <v>13</v>
      </c>
      <c r="M1409" s="1" t="s">
        <v>29</v>
      </c>
      <c r="N1409" s="3">
        <v>149.15</v>
      </c>
      <c r="O1409" s="1" t="s">
        <v>2143</v>
      </c>
      <c r="P1409" s="1" t="s">
        <v>2071</v>
      </c>
      <c r="Q1409" s="1" t="str">
        <f>TEXT((Data[[#This Row],[Order_Date]]), "mmm")</f>
        <v>Apr</v>
      </c>
    </row>
    <row r="1410" spans="4:17" x14ac:dyDescent="0.3">
      <c r="D1410" s="1" t="s">
        <v>1472</v>
      </c>
      <c r="E1410" s="2">
        <v>45328</v>
      </c>
      <c r="F1410" s="2">
        <v>45330</v>
      </c>
      <c r="G1410" s="1" t="s">
        <v>22</v>
      </c>
      <c r="H1410" s="1" t="s">
        <v>12</v>
      </c>
      <c r="I1410" s="1" t="s">
        <v>58</v>
      </c>
      <c r="J1410" s="1" t="s">
        <v>120</v>
      </c>
      <c r="K1410" s="3">
        <v>2041.33</v>
      </c>
      <c r="L1410" s="1">
        <v>3</v>
      </c>
      <c r="M1410" s="1" t="s">
        <v>29</v>
      </c>
      <c r="N1410" s="3">
        <v>202.95</v>
      </c>
      <c r="O1410" s="1" t="s">
        <v>2275</v>
      </c>
      <c r="P1410" s="1" t="s">
        <v>2078</v>
      </c>
      <c r="Q1410" s="1" t="str">
        <f>TEXT((Data[[#This Row],[Order_Date]]), "mmm")</f>
        <v>Feb</v>
      </c>
    </row>
    <row r="1411" spans="4:17" x14ac:dyDescent="0.3">
      <c r="D1411" s="1" t="s">
        <v>1473</v>
      </c>
      <c r="E1411" s="2">
        <v>45503</v>
      </c>
      <c r="F1411" s="2">
        <v>45508</v>
      </c>
      <c r="G1411" s="1" t="s">
        <v>22</v>
      </c>
      <c r="H1411" s="1" t="s">
        <v>23</v>
      </c>
      <c r="I1411" s="1" t="s">
        <v>65</v>
      </c>
      <c r="J1411" s="1" t="s">
        <v>66</v>
      </c>
      <c r="K1411" s="3">
        <v>3071.39</v>
      </c>
      <c r="L1411" s="1">
        <v>2</v>
      </c>
      <c r="M1411" s="1" t="s">
        <v>34</v>
      </c>
      <c r="N1411" s="3">
        <v>-872.86</v>
      </c>
      <c r="O1411" s="1" t="s">
        <v>2299</v>
      </c>
      <c r="P1411" s="1" t="s">
        <v>2071</v>
      </c>
      <c r="Q1411" s="1" t="str">
        <f>TEXT((Data[[#This Row],[Order_Date]]), "mmm")</f>
        <v>Jul</v>
      </c>
    </row>
    <row r="1412" spans="4:17" x14ac:dyDescent="0.3">
      <c r="D1412" s="1" t="s">
        <v>1474</v>
      </c>
      <c r="E1412" s="2">
        <v>45635</v>
      </c>
      <c r="F1412" s="2">
        <v>45640</v>
      </c>
      <c r="G1412" s="1" t="s">
        <v>31</v>
      </c>
      <c r="H1412" s="1" t="s">
        <v>23</v>
      </c>
      <c r="I1412" s="1" t="s">
        <v>78</v>
      </c>
      <c r="J1412" s="1" t="s">
        <v>118</v>
      </c>
      <c r="K1412" s="3">
        <v>2047.62</v>
      </c>
      <c r="L1412" s="1">
        <v>17</v>
      </c>
      <c r="M1412" s="1" t="s">
        <v>49</v>
      </c>
      <c r="N1412" s="3">
        <v>499.23</v>
      </c>
      <c r="O1412" s="1" t="s">
        <v>2236</v>
      </c>
      <c r="P1412" s="1" t="s">
        <v>2078</v>
      </c>
      <c r="Q1412" s="1" t="str">
        <f>TEXT((Data[[#This Row],[Order_Date]]), "mmm")</f>
        <v>Dec</v>
      </c>
    </row>
    <row r="1413" spans="4:17" x14ac:dyDescent="0.3">
      <c r="D1413" s="1" t="s">
        <v>1475</v>
      </c>
      <c r="E1413" s="2">
        <v>45372</v>
      </c>
      <c r="F1413" s="2">
        <v>45375</v>
      </c>
      <c r="G1413" s="1" t="s">
        <v>36</v>
      </c>
      <c r="H1413" s="1" t="s">
        <v>23</v>
      </c>
      <c r="I1413" s="1" t="s">
        <v>61</v>
      </c>
      <c r="J1413" s="1" t="s">
        <v>98</v>
      </c>
      <c r="K1413" s="3">
        <v>2499.33</v>
      </c>
      <c r="L1413" s="1">
        <v>14</v>
      </c>
      <c r="M1413" s="1" t="s">
        <v>20</v>
      </c>
      <c r="N1413" s="3">
        <v>546.12</v>
      </c>
      <c r="O1413" s="1" t="s">
        <v>2177</v>
      </c>
      <c r="P1413" s="1" t="s">
        <v>2071</v>
      </c>
      <c r="Q1413" s="1" t="str">
        <f>TEXT((Data[[#This Row],[Order_Date]]), "mmm")</f>
        <v>Mar</v>
      </c>
    </row>
    <row r="1414" spans="4:17" x14ac:dyDescent="0.3">
      <c r="D1414" s="1" t="s">
        <v>1476</v>
      </c>
      <c r="E1414" s="2">
        <v>45366</v>
      </c>
      <c r="F1414" s="2">
        <v>45366</v>
      </c>
      <c r="G1414" s="1" t="s">
        <v>36</v>
      </c>
      <c r="H1414" s="1" t="s">
        <v>23</v>
      </c>
      <c r="I1414" s="1" t="s">
        <v>65</v>
      </c>
      <c r="J1414" s="1" t="s">
        <v>114</v>
      </c>
      <c r="K1414" s="3">
        <v>1991.9</v>
      </c>
      <c r="L1414" s="1">
        <v>11</v>
      </c>
      <c r="M1414" s="1" t="s">
        <v>34</v>
      </c>
      <c r="N1414" s="3">
        <v>599.36</v>
      </c>
      <c r="O1414" s="1" t="s">
        <v>2213</v>
      </c>
      <c r="P1414" s="1" t="s">
        <v>2076</v>
      </c>
      <c r="Q1414" s="1" t="str">
        <f>TEXT((Data[[#This Row],[Order_Date]]), "mmm")</f>
        <v>Mar</v>
      </c>
    </row>
    <row r="1415" spans="4:17" x14ac:dyDescent="0.3">
      <c r="D1415" s="1" t="s">
        <v>1477</v>
      </c>
      <c r="E1415" s="2">
        <v>45449</v>
      </c>
      <c r="F1415" s="2">
        <v>45456</v>
      </c>
      <c r="G1415" s="1" t="s">
        <v>31</v>
      </c>
      <c r="H1415" s="1" t="s">
        <v>23</v>
      </c>
      <c r="I1415" s="1" t="s">
        <v>78</v>
      </c>
      <c r="J1415" s="1" t="s">
        <v>79</v>
      </c>
      <c r="K1415" s="3">
        <v>1514.03</v>
      </c>
      <c r="L1415" s="1">
        <v>16</v>
      </c>
      <c r="M1415" s="1" t="s">
        <v>34</v>
      </c>
      <c r="N1415" s="3">
        <v>317.68</v>
      </c>
      <c r="O1415" s="1" t="s">
        <v>2268</v>
      </c>
      <c r="P1415" s="1" t="s">
        <v>2078</v>
      </c>
      <c r="Q1415" s="1" t="str">
        <f>TEXT((Data[[#This Row],[Order_Date]]), "mmm")</f>
        <v>Jun</v>
      </c>
    </row>
    <row r="1416" spans="4:17" x14ac:dyDescent="0.3">
      <c r="D1416" s="1" t="s">
        <v>1478</v>
      </c>
      <c r="E1416" s="2">
        <v>45324</v>
      </c>
      <c r="F1416" s="2">
        <v>45328</v>
      </c>
      <c r="G1416" s="1" t="s">
        <v>36</v>
      </c>
      <c r="H1416" s="1" t="s">
        <v>23</v>
      </c>
      <c r="I1416" s="1" t="s">
        <v>24</v>
      </c>
      <c r="J1416" s="1" t="s">
        <v>150</v>
      </c>
      <c r="K1416" s="3">
        <v>2175.69</v>
      </c>
      <c r="L1416" s="1">
        <v>11</v>
      </c>
      <c r="M1416" s="1" t="s">
        <v>34</v>
      </c>
      <c r="N1416" s="3">
        <v>700.93</v>
      </c>
      <c r="O1416" s="1" t="s">
        <v>2147</v>
      </c>
      <c r="P1416" s="1" t="s">
        <v>2078</v>
      </c>
      <c r="Q1416" s="1" t="str">
        <f>TEXT((Data[[#This Row],[Order_Date]]), "mmm")</f>
        <v>Feb</v>
      </c>
    </row>
    <row r="1417" spans="4:17" x14ac:dyDescent="0.3">
      <c r="D1417" s="1" t="s">
        <v>1479</v>
      </c>
      <c r="E1417" s="2">
        <v>45470</v>
      </c>
      <c r="F1417" s="2">
        <v>45474</v>
      </c>
      <c r="G1417" s="1" t="s">
        <v>22</v>
      </c>
      <c r="H1417" s="1" t="s">
        <v>23</v>
      </c>
      <c r="I1417" s="1" t="s">
        <v>65</v>
      </c>
      <c r="J1417" s="1" t="s">
        <v>114</v>
      </c>
      <c r="K1417" s="3">
        <v>1239.6600000000001</v>
      </c>
      <c r="L1417" s="1">
        <v>14</v>
      </c>
      <c r="M1417" s="1" t="s">
        <v>15</v>
      </c>
      <c r="N1417" s="3">
        <v>307.11</v>
      </c>
      <c r="O1417" s="1" t="s">
        <v>2141</v>
      </c>
      <c r="P1417" s="1" t="s">
        <v>2076</v>
      </c>
      <c r="Q1417" s="1" t="str">
        <f>TEXT((Data[[#This Row],[Order_Date]]), "mmm")</f>
        <v>Jun</v>
      </c>
    </row>
    <row r="1418" spans="4:17" x14ac:dyDescent="0.3">
      <c r="D1418" s="1" t="s">
        <v>1480</v>
      </c>
      <c r="E1418" s="2">
        <v>45363</v>
      </c>
      <c r="F1418" s="2">
        <v>45367</v>
      </c>
      <c r="G1418" s="1" t="s">
        <v>22</v>
      </c>
      <c r="H1418" s="1" t="s">
        <v>12</v>
      </c>
      <c r="I1418" s="1" t="s">
        <v>13</v>
      </c>
      <c r="J1418" s="1" t="s">
        <v>129</v>
      </c>
      <c r="K1418" s="3">
        <v>1016.74</v>
      </c>
      <c r="L1418" s="1">
        <v>15</v>
      </c>
      <c r="M1418" s="1" t="s">
        <v>29</v>
      </c>
      <c r="N1418" s="3">
        <v>-209.48</v>
      </c>
      <c r="O1418" s="1" t="s">
        <v>2269</v>
      </c>
      <c r="P1418" s="1" t="s">
        <v>2078</v>
      </c>
      <c r="Q1418" s="1" t="str">
        <f>TEXT((Data[[#This Row],[Order_Date]]), "mmm")</f>
        <v>Mar</v>
      </c>
    </row>
    <row r="1419" spans="4:17" x14ac:dyDescent="0.3">
      <c r="D1419" s="1" t="s">
        <v>1481</v>
      </c>
      <c r="E1419" s="2">
        <v>45441</v>
      </c>
      <c r="F1419" s="2">
        <v>45444</v>
      </c>
      <c r="G1419" s="1" t="s">
        <v>22</v>
      </c>
      <c r="H1419" s="1" t="s">
        <v>12</v>
      </c>
      <c r="I1419" s="1" t="s">
        <v>13</v>
      </c>
      <c r="J1419" s="1" t="s">
        <v>14</v>
      </c>
      <c r="K1419" s="3">
        <v>3577.27</v>
      </c>
      <c r="L1419" s="1">
        <v>16</v>
      </c>
      <c r="M1419" s="1" t="s">
        <v>34</v>
      </c>
      <c r="N1419" s="3">
        <v>442.47</v>
      </c>
      <c r="O1419" s="1" t="s">
        <v>2267</v>
      </c>
      <c r="P1419" s="1" t="s">
        <v>2071</v>
      </c>
      <c r="Q1419" s="1" t="str">
        <f>TEXT((Data[[#This Row],[Order_Date]]), "mmm")</f>
        <v>May</v>
      </c>
    </row>
    <row r="1420" spans="4:17" x14ac:dyDescent="0.3">
      <c r="D1420" s="1" t="s">
        <v>1482</v>
      </c>
      <c r="E1420" s="2">
        <v>45430</v>
      </c>
      <c r="F1420" s="2">
        <v>45437</v>
      </c>
      <c r="G1420" s="1" t="s">
        <v>36</v>
      </c>
      <c r="H1420" s="1" t="s">
        <v>17</v>
      </c>
      <c r="I1420" s="1" t="s">
        <v>27</v>
      </c>
      <c r="J1420" s="1" t="s">
        <v>28</v>
      </c>
      <c r="K1420" s="3">
        <v>1197.01</v>
      </c>
      <c r="L1420" s="1">
        <v>13</v>
      </c>
      <c r="M1420" s="1" t="s">
        <v>29</v>
      </c>
      <c r="N1420" s="3">
        <v>-413.16</v>
      </c>
      <c r="O1420" s="1" t="s">
        <v>2176</v>
      </c>
      <c r="P1420" s="1" t="s">
        <v>2076</v>
      </c>
      <c r="Q1420" s="1" t="str">
        <f>TEXT((Data[[#This Row],[Order_Date]]), "mmm")</f>
        <v>May</v>
      </c>
    </row>
    <row r="1421" spans="4:17" x14ac:dyDescent="0.3">
      <c r="D1421" s="1" t="s">
        <v>1483</v>
      </c>
      <c r="E1421" s="2">
        <v>45388</v>
      </c>
      <c r="F1421" s="2">
        <v>45392</v>
      </c>
      <c r="G1421" s="1" t="s">
        <v>31</v>
      </c>
      <c r="H1421" s="1" t="s">
        <v>23</v>
      </c>
      <c r="I1421" s="1" t="s">
        <v>24</v>
      </c>
      <c r="J1421" s="1" t="s">
        <v>150</v>
      </c>
      <c r="K1421" s="3">
        <v>2377.9499999999998</v>
      </c>
      <c r="L1421" s="1">
        <v>7</v>
      </c>
      <c r="M1421" s="1" t="s">
        <v>34</v>
      </c>
      <c r="N1421" s="3">
        <v>155.28</v>
      </c>
      <c r="O1421" s="1" t="s">
        <v>2212</v>
      </c>
      <c r="P1421" s="1" t="s">
        <v>2076</v>
      </c>
      <c r="Q1421" s="1" t="str">
        <f>TEXT((Data[[#This Row],[Order_Date]]), "mmm")</f>
        <v>Apr</v>
      </c>
    </row>
    <row r="1422" spans="4:17" x14ac:dyDescent="0.3">
      <c r="D1422" s="1" t="s">
        <v>1484</v>
      </c>
      <c r="E1422" s="2">
        <v>45542</v>
      </c>
      <c r="F1422" s="2">
        <v>45543</v>
      </c>
      <c r="G1422" s="1" t="s">
        <v>31</v>
      </c>
      <c r="H1422" s="1" t="s">
        <v>23</v>
      </c>
      <c r="I1422" s="1" t="s">
        <v>65</v>
      </c>
      <c r="J1422" s="1" t="s">
        <v>114</v>
      </c>
      <c r="K1422" s="3">
        <v>697.92</v>
      </c>
      <c r="L1422" s="1">
        <v>6</v>
      </c>
      <c r="M1422" s="1" t="s">
        <v>20</v>
      </c>
      <c r="N1422" s="3">
        <v>110.55</v>
      </c>
      <c r="O1422" s="1" t="s">
        <v>2272</v>
      </c>
      <c r="P1422" s="1" t="s">
        <v>2078</v>
      </c>
      <c r="Q1422" s="1" t="str">
        <f>TEXT((Data[[#This Row],[Order_Date]]), "mmm")</f>
        <v>Sep</v>
      </c>
    </row>
    <row r="1423" spans="4:17" x14ac:dyDescent="0.3">
      <c r="D1423" s="1" t="s">
        <v>1485</v>
      </c>
      <c r="E1423" s="2">
        <v>45319</v>
      </c>
      <c r="F1423" s="2">
        <v>45319</v>
      </c>
      <c r="G1423" s="1" t="s">
        <v>11</v>
      </c>
      <c r="H1423" s="1" t="s">
        <v>23</v>
      </c>
      <c r="I1423" s="1" t="s">
        <v>61</v>
      </c>
      <c r="J1423" s="1" t="s">
        <v>62</v>
      </c>
      <c r="K1423" s="3">
        <v>2257.08</v>
      </c>
      <c r="L1423" s="1">
        <v>5</v>
      </c>
      <c r="M1423" s="1" t="s">
        <v>20</v>
      </c>
      <c r="N1423" s="3">
        <v>739.7</v>
      </c>
      <c r="O1423" s="1" t="s">
        <v>2186</v>
      </c>
      <c r="P1423" s="1" t="s">
        <v>2076</v>
      </c>
      <c r="Q1423" s="1" t="str">
        <f>TEXT((Data[[#This Row],[Order_Date]]), "mmm")</f>
        <v>Jan</v>
      </c>
    </row>
    <row r="1424" spans="4:17" x14ac:dyDescent="0.3">
      <c r="D1424" s="1" t="s">
        <v>1486</v>
      </c>
      <c r="E1424" s="2">
        <v>45396</v>
      </c>
      <c r="F1424" s="2">
        <v>45396</v>
      </c>
      <c r="G1424" s="1" t="s">
        <v>11</v>
      </c>
      <c r="H1424" s="1" t="s">
        <v>17</v>
      </c>
      <c r="I1424" s="1" t="s">
        <v>18</v>
      </c>
      <c r="J1424" s="1" t="s">
        <v>54</v>
      </c>
      <c r="K1424" s="3">
        <v>3913.14</v>
      </c>
      <c r="L1424" s="1">
        <v>9</v>
      </c>
      <c r="M1424" s="1" t="s">
        <v>34</v>
      </c>
      <c r="N1424" s="3">
        <v>700.22</v>
      </c>
      <c r="O1424" s="1" t="s">
        <v>2288</v>
      </c>
      <c r="P1424" s="1" t="s">
        <v>2078</v>
      </c>
      <c r="Q1424" s="1" t="str">
        <f>TEXT((Data[[#This Row],[Order_Date]]), "mmm")</f>
        <v>Apr</v>
      </c>
    </row>
    <row r="1425" spans="4:17" x14ac:dyDescent="0.3">
      <c r="D1425" s="1" t="s">
        <v>1487</v>
      </c>
      <c r="E1425" s="2">
        <v>45608</v>
      </c>
      <c r="F1425" s="2">
        <v>45612</v>
      </c>
      <c r="G1425" s="1" t="s">
        <v>36</v>
      </c>
      <c r="H1425" s="1" t="s">
        <v>17</v>
      </c>
      <c r="I1425" s="1" t="s">
        <v>18</v>
      </c>
      <c r="J1425" s="1" t="s">
        <v>19</v>
      </c>
      <c r="K1425" s="3">
        <v>2326.41</v>
      </c>
      <c r="L1425" s="1">
        <v>11</v>
      </c>
      <c r="M1425" s="1" t="s">
        <v>44</v>
      </c>
      <c r="N1425" s="3">
        <v>236.25</v>
      </c>
      <c r="O1425" s="1" t="s">
        <v>2121</v>
      </c>
      <c r="P1425" s="1" t="s">
        <v>2076</v>
      </c>
      <c r="Q1425" s="1" t="str">
        <f>TEXT((Data[[#This Row],[Order_Date]]), "mmm")</f>
        <v>Nov</v>
      </c>
    </row>
    <row r="1426" spans="4:17" x14ac:dyDescent="0.3">
      <c r="D1426" s="1" t="s">
        <v>1488</v>
      </c>
      <c r="E1426" s="2">
        <v>45488</v>
      </c>
      <c r="F1426" s="2">
        <v>45491</v>
      </c>
      <c r="G1426" s="1" t="s">
        <v>11</v>
      </c>
      <c r="H1426" s="1" t="s">
        <v>17</v>
      </c>
      <c r="I1426" s="1" t="s">
        <v>18</v>
      </c>
      <c r="J1426" s="1" t="s">
        <v>90</v>
      </c>
      <c r="K1426" s="3">
        <v>3026.71</v>
      </c>
      <c r="L1426" s="1">
        <v>9</v>
      </c>
      <c r="M1426" s="1" t="s">
        <v>49</v>
      </c>
      <c r="N1426" s="3">
        <v>264.44</v>
      </c>
      <c r="O1426" s="1" t="s">
        <v>2149</v>
      </c>
      <c r="P1426" s="1" t="s">
        <v>2071</v>
      </c>
      <c r="Q1426" s="1" t="str">
        <f>TEXT((Data[[#This Row],[Order_Date]]), "mmm")</f>
        <v>Jul</v>
      </c>
    </row>
    <row r="1427" spans="4:17" x14ac:dyDescent="0.3">
      <c r="D1427" s="1" t="s">
        <v>1489</v>
      </c>
      <c r="E1427" s="2">
        <v>45500</v>
      </c>
      <c r="F1427" s="2">
        <v>45503</v>
      </c>
      <c r="G1427" s="1" t="s">
        <v>22</v>
      </c>
      <c r="H1427" s="1" t="s">
        <v>23</v>
      </c>
      <c r="I1427" s="1" t="s">
        <v>78</v>
      </c>
      <c r="J1427" s="1" t="s">
        <v>118</v>
      </c>
      <c r="K1427" s="3">
        <v>3691.1</v>
      </c>
      <c r="L1427" s="1">
        <v>9</v>
      </c>
      <c r="M1427" s="1" t="s">
        <v>20</v>
      </c>
      <c r="N1427" s="3">
        <v>188.06</v>
      </c>
      <c r="O1427" s="1" t="s">
        <v>2220</v>
      </c>
      <c r="P1427" s="1" t="s">
        <v>2078</v>
      </c>
      <c r="Q1427" s="1" t="str">
        <f>TEXT((Data[[#This Row],[Order_Date]]), "mmm")</f>
        <v>Jul</v>
      </c>
    </row>
    <row r="1428" spans="4:17" x14ac:dyDescent="0.3">
      <c r="D1428" s="1" t="s">
        <v>1490</v>
      </c>
      <c r="E1428" s="2">
        <v>45514</v>
      </c>
      <c r="F1428" s="2">
        <v>45520</v>
      </c>
      <c r="G1428" s="1" t="s">
        <v>31</v>
      </c>
      <c r="H1428" s="1" t="s">
        <v>17</v>
      </c>
      <c r="I1428" s="1" t="s">
        <v>18</v>
      </c>
      <c r="J1428" s="1" t="s">
        <v>19</v>
      </c>
      <c r="K1428" s="3">
        <v>3427.31</v>
      </c>
      <c r="L1428" s="1">
        <v>14</v>
      </c>
      <c r="M1428" s="1" t="s">
        <v>15</v>
      </c>
      <c r="N1428" s="3">
        <v>628.02</v>
      </c>
      <c r="O1428" s="1" t="s">
        <v>2217</v>
      </c>
      <c r="P1428" s="1" t="s">
        <v>2071</v>
      </c>
      <c r="Q1428" s="1" t="str">
        <f>TEXT((Data[[#This Row],[Order_Date]]), "mmm")</f>
        <v>Aug</v>
      </c>
    </row>
    <row r="1429" spans="4:17" x14ac:dyDescent="0.3">
      <c r="D1429" s="1" t="s">
        <v>1491</v>
      </c>
      <c r="E1429" s="2">
        <v>45488</v>
      </c>
      <c r="F1429" s="2">
        <v>45494</v>
      </c>
      <c r="G1429" s="1" t="s">
        <v>11</v>
      </c>
      <c r="H1429" s="1" t="s">
        <v>12</v>
      </c>
      <c r="I1429" s="1" t="s">
        <v>13</v>
      </c>
      <c r="J1429" s="1" t="s">
        <v>14</v>
      </c>
      <c r="K1429" s="3">
        <v>3556.77</v>
      </c>
      <c r="L1429" s="1">
        <v>16</v>
      </c>
      <c r="M1429" s="1" t="s">
        <v>49</v>
      </c>
      <c r="N1429" s="3">
        <v>1020.35</v>
      </c>
      <c r="O1429" s="1" t="s">
        <v>2110</v>
      </c>
      <c r="P1429" s="1" t="s">
        <v>2071</v>
      </c>
      <c r="Q1429" s="1" t="str">
        <f>TEXT((Data[[#This Row],[Order_Date]]), "mmm")</f>
        <v>Jul</v>
      </c>
    </row>
    <row r="1430" spans="4:17" x14ac:dyDescent="0.3">
      <c r="D1430" s="1" t="s">
        <v>1492</v>
      </c>
      <c r="E1430" s="2">
        <v>45456</v>
      </c>
      <c r="F1430" s="2">
        <v>45456</v>
      </c>
      <c r="G1430" s="1" t="s">
        <v>31</v>
      </c>
      <c r="H1430" s="1" t="s">
        <v>12</v>
      </c>
      <c r="I1430" s="1" t="s">
        <v>42</v>
      </c>
      <c r="J1430" s="1" t="s">
        <v>43</v>
      </c>
      <c r="K1430" s="3">
        <v>2524.58</v>
      </c>
      <c r="L1430" s="1">
        <v>12</v>
      </c>
      <c r="M1430" s="1" t="s">
        <v>44</v>
      </c>
      <c r="N1430" s="3">
        <v>659.01</v>
      </c>
      <c r="O1430" s="1" t="s">
        <v>2175</v>
      </c>
      <c r="P1430" s="1" t="s">
        <v>2076</v>
      </c>
      <c r="Q1430" s="1" t="str">
        <f>TEXT((Data[[#This Row],[Order_Date]]), "mmm")</f>
        <v>Jun</v>
      </c>
    </row>
    <row r="1431" spans="4:17" x14ac:dyDescent="0.3">
      <c r="D1431" s="1" t="s">
        <v>1493</v>
      </c>
      <c r="E1431" s="2">
        <v>45649</v>
      </c>
      <c r="F1431" s="2">
        <v>45655</v>
      </c>
      <c r="G1431" s="1" t="s">
        <v>22</v>
      </c>
      <c r="H1431" s="1" t="s">
        <v>23</v>
      </c>
      <c r="I1431" s="1" t="s">
        <v>78</v>
      </c>
      <c r="J1431" s="1" t="s">
        <v>118</v>
      </c>
      <c r="K1431" s="3">
        <v>1428.29</v>
      </c>
      <c r="L1431" s="1">
        <v>13</v>
      </c>
      <c r="M1431" s="1" t="s">
        <v>34</v>
      </c>
      <c r="N1431" s="3">
        <v>178.01</v>
      </c>
      <c r="O1431" s="1" t="s">
        <v>2280</v>
      </c>
      <c r="P1431" s="1" t="s">
        <v>2076</v>
      </c>
      <c r="Q1431" s="1" t="str">
        <f>TEXT((Data[[#This Row],[Order_Date]]), "mmm")</f>
        <v>Dec</v>
      </c>
    </row>
    <row r="1432" spans="4:17" x14ac:dyDescent="0.3">
      <c r="D1432" s="1" t="s">
        <v>1494</v>
      </c>
      <c r="E1432" s="2">
        <v>45410</v>
      </c>
      <c r="F1432" s="2">
        <v>45416</v>
      </c>
      <c r="G1432" s="1" t="s">
        <v>31</v>
      </c>
      <c r="H1432" s="1" t="s">
        <v>17</v>
      </c>
      <c r="I1432" s="1" t="s">
        <v>32</v>
      </c>
      <c r="J1432" s="1" t="s">
        <v>56</v>
      </c>
      <c r="K1432" s="3">
        <v>2670.54</v>
      </c>
      <c r="L1432" s="1">
        <v>3</v>
      </c>
      <c r="M1432" s="1" t="s">
        <v>49</v>
      </c>
      <c r="N1432" s="3">
        <v>-704.81</v>
      </c>
      <c r="O1432" s="1" t="s">
        <v>2218</v>
      </c>
      <c r="P1432" s="1" t="s">
        <v>2071</v>
      </c>
      <c r="Q1432" s="1" t="str">
        <f>TEXT((Data[[#This Row],[Order_Date]]), "mmm")</f>
        <v>Apr</v>
      </c>
    </row>
    <row r="1433" spans="4:17" x14ac:dyDescent="0.3">
      <c r="D1433" s="1" t="s">
        <v>1495</v>
      </c>
      <c r="E1433" s="2">
        <v>45584</v>
      </c>
      <c r="F1433" s="2">
        <v>45589</v>
      </c>
      <c r="G1433" s="1" t="s">
        <v>36</v>
      </c>
      <c r="H1433" s="1" t="s">
        <v>23</v>
      </c>
      <c r="I1433" s="1" t="s">
        <v>61</v>
      </c>
      <c r="J1433" s="1" t="s">
        <v>98</v>
      </c>
      <c r="K1433" s="3">
        <v>1886.09</v>
      </c>
      <c r="L1433" s="1">
        <v>15</v>
      </c>
      <c r="M1433" s="1" t="s">
        <v>49</v>
      </c>
      <c r="N1433" s="3">
        <v>144.91999999999999</v>
      </c>
      <c r="O1433" s="1" t="s">
        <v>2242</v>
      </c>
      <c r="P1433" s="1" t="s">
        <v>2071</v>
      </c>
      <c r="Q1433" s="1" t="str">
        <f>TEXT((Data[[#This Row],[Order_Date]]), "mmm")</f>
        <v>Oct</v>
      </c>
    </row>
    <row r="1434" spans="4:17" x14ac:dyDescent="0.3">
      <c r="D1434" s="1" t="s">
        <v>1496</v>
      </c>
      <c r="E1434" s="2">
        <v>45409</v>
      </c>
      <c r="F1434" s="2">
        <v>45413</v>
      </c>
      <c r="G1434" s="1" t="s">
        <v>36</v>
      </c>
      <c r="H1434" s="1" t="s">
        <v>23</v>
      </c>
      <c r="I1434" s="1" t="s">
        <v>65</v>
      </c>
      <c r="J1434" s="1" t="s">
        <v>66</v>
      </c>
      <c r="K1434" s="3">
        <v>882.03</v>
      </c>
      <c r="L1434" s="1">
        <v>19</v>
      </c>
      <c r="M1434" s="1" t="s">
        <v>15</v>
      </c>
      <c r="N1434" s="3">
        <v>180.95</v>
      </c>
      <c r="O1434" s="1" t="s">
        <v>2244</v>
      </c>
      <c r="P1434" s="1" t="s">
        <v>2076</v>
      </c>
      <c r="Q1434" s="1" t="str">
        <f>TEXT((Data[[#This Row],[Order_Date]]), "mmm")</f>
        <v>Apr</v>
      </c>
    </row>
    <row r="1435" spans="4:17" x14ac:dyDescent="0.3">
      <c r="D1435" s="1" t="s">
        <v>1497</v>
      </c>
      <c r="E1435" s="2">
        <v>45392</v>
      </c>
      <c r="F1435" s="2">
        <v>45392</v>
      </c>
      <c r="G1435" s="1" t="s">
        <v>31</v>
      </c>
      <c r="H1435" s="1" t="s">
        <v>23</v>
      </c>
      <c r="I1435" s="1" t="s">
        <v>61</v>
      </c>
      <c r="J1435" s="1" t="s">
        <v>76</v>
      </c>
      <c r="K1435" s="3">
        <v>587.4</v>
      </c>
      <c r="L1435" s="1">
        <v>6</v>
      </c>
      <c r="M1435" s="1" t="s">
        <v>20</v>
      </c>
      <c r="N1435" s="3">
        <v>137.82</v>
      </c>
      <c r="O1435" s="1" t="s">
        <v>2211</v>
      </c>
      <c r="P1435" s="1" t="s">
        <v>2076</v>
      </c>
      <c r="Q1435" s="1" t="str">
        <f>TEXT((Data[[#This Row],[Order_Date]]), "mmm")</f>
        <v>Apr</v>
      </c>
    </row>
    <row r="1436" spans="4:17" x14ac:dyDescent="0.3">
      <c r="D1436" s="1" t="s">
        <v>1498</v>
      </c>
      <c r="E1436" s="2">
        <v>45420</v>
      </c>
      <c r="F1436" s="2">
        <v>45421</v>
      </c>
      <c r="G1436" s="1" t="s">
        <v>36</v>
      </c>
      <c r="H1436" s="1" t="s">
        <v>23</v>
      </c>
      <c r="I1436" s="1" t="s">
        <v>78</v>
      </c>
      <c r="J1436" s="1" t="s">
        <v>79</v>
      </c>
      <c r="K1436" s="3">
        <v>781.13</v>
      </c>
      <c r="L1436" s="1">
        <v>14</v>
      </c>
      <c r="M1436" s="1" t="s">
        <v>34</v>
      </c>
      <c r="N1436" s="3">
        <v>243.17</v>
      </c>
      <c r="O1436" s="1" t="s">
        <v>2265</v>
      </c>
      <c r="P1436" s="1" t="s">
        <v>2078</v>
      </c>
      <c r="Q1436" s="1" t="str">
        <f>TEXT((Data[[#This Row],[Order_Date]]), "mmm")</f>
        <v>May</v>
      </c>
    </row>
    <row r="1437" spans="4:17" x14ac:dyDescent="0.3">
      <c r="D1437" s="1" t="s">
        <v>1499</v>
      </c>
      <c r="E1437" s="2">
        <v>45501</v>
      </c>
      <c r="F1437" s="2">
        <v>45505</v>
      </c>
      <c r="G1437" s="1" t="s">
        <v>22</v>
      </c>
      <c r="H1437" s="1" t="s">
        <v>12</v>
      </c>
      <c r="I1437" s="1" t="s">
        <v>38</v>
      </c>
      <c r="J1437" s="1" t="s">
        <v>81</v>
      </c>
      <c r="K1437" s="3">
        <v>3519.29</v>
      </c>
      <c r="L1437" s="1">
        <v>20</v>
      </c>
      <c r="M1437" s="1" t="s">
        <v>20</v>
      </c>
      <c r="N1437" s="3">
        <v>780.52</v>
      </c>
      <c r="O1437" s="1" t="s">
        <v>2115</v>
      </c>
      <c r="P1437" s="1" t="s">
        <v>2071</v>
      </c>
      <c r="Q1437" s="1" t="str">
        <f>TEXT((Data[[#This Row],[Order_Date]]), "mmm")</f>
        <v>Jul</v>
      </c>
    </row>
    <row r="1438" spans="4:17" x14ac:dyDescent="0.3">
      <c r="D1438" s="1" t="s">
        <v>1500</v>
      </c>
      <c r="E1438" s="2">
        <v>45382</v>
      </c>
      <c r="F1438" s="2">
        <v>45386</v>
      </c>
      <c r="G1438" s="1" t="s">
        <v>31</v>
      </c>
      <c r="H1438" s="1" t="s">
        <v>23</v>
      </c>
      <c r="I1438" s="1" t="s">
        <v>78</v>
      </c>
      <c r="J1438" s="1" t="s">
        <v>118</v>
      </c>
      <c r="K1438" s="3">
        <v>314.43</v>
      </c>
      <c r="L1438" s="1">
        <v>7</v>
      </c>
      <c r="M1438" s="1" t="s">
        <v>29</v>
      </c>
      <c r="N1438" s="3">
        <v>-82.93</v>
      </c>
      <c r="O1438" s="1" t="s">
        <v>2232</v>
      </c>
      <c r="P1438" s="1" t="s">
        <v>2076</v>
      </c>
      <c r="Q1438" s="1" t="str">
        <f>TEXT((Data[[#This Row],[Order_Date]]), "mmm")</f>
        <v>Mar</v>
      </c>
    </row>
    <row r="1439" spans="4:17" x14ac:dyDescent="0.3">
      <c r="D1439" s="1" t="s">
        <v>1501</v>
      </c>
      <c r="E1439" s="2">
        <v>45343</v>
      </c>
      <c r="F1439" s="2">
        <v>45347</v>
      </c>
      <c r="G1439" s="1" t="s">
        <v>22</v>
      </c>
      <c r="H1439" s="1" t="s">
        <v>12</v>
      </c>
      <c r="I1439" s="1" t="s">
        <v>38</v>
      </c>
      <c r="J1439" s="1" t="s">
        <v>85</v>
      </c>
      <c r="K1439" s="3">
        <v>2325.39</v>
      </c>
      <c r="L1439" s="1">
        <v>12</v>
      </c>
      <c r="M1439" s="1" t="s">
        <v>15</v>
      </c>
      <c r="N1439" s="3">
        <v>241.09</v>
      </c>
      <c r="O1439" s="1" t="s">
        <v>2122</v>
      </c>
      <c r="P1439" s="1" t="s">
        <v>2078</v>
      </c>
      <c r="Q1439" s="1" t="str">
        <f>TEXT((Data[[#This Row],[Order_Date]]), "mmm")</f>
        <v>Feb</v>
      </c>
    </row>
    <row r="1440" spans="4:17" x14ac:dyDescent="0.3">
      <c r="D1440" s="1" t="s">
        <v>1502</v>
      </c>
      <c r="E1440" s="2">
        <v>45387</v>
      </c>
      <c r="F1440" s="2">
        <v>45390</v>
      </c>
      <c r="G1440" s="1" t="s">
        <v>11</v>
      </c>
      <c r="H1440" s="1" t="s">
        <v>23</v>
      </c>
      <c r="I1440" s="1" t="s">
        <v>78</v>
      </c>
      <c r="J1440" s="1" t="s">
        <v>79</v>
      </c>
      <c r="K1440" s="3">
        <v>2174.67</v>
      </c>
      <c r="L1440" s="1">
        <v>1</v>
      </c>
      <c r="M1440" s="1" t="s">
        <v>29</v>
      </c>
      <c r="N1440" s="3">
        <v>-437.88</v>
      </c>
      <c r="O1440" s="1" t="s">
        <v>2073</v>
      </c>
      <c r="P1440" s="1" t="s">
        <v>2076</v>
      </c>
      <c r="Q1440" s="1" t="str">
        <f>TEXT((Data[[#This Row],[Order_Date]]), "mmm")</f>
        <v>Apr</v>
      </c>
    </row>
    <row r="1441" spans="4:17" x14ac:dyDescent="0.3">
      <c r="D1441" s="1" t="s">
        <v>1503</v>
      </c>
      <c r="E1441" s="2">
        <v>45361</v>
      </c>
      <c r="F1441" s="2">
        <v>45363</v>
      </c>
      <c r="G1441" s="1" t="s">
        <v>11</v>
      </c>
      <c r="H1441" s="1" t="s">
        <v>23</v>
      </c>
      <c r="I1441" s="1" t="s">
        <v>78</v>
      </c>
      <c r="J1441" s="1" t="s">
        <v>118</v>
      </c>
      <c r="K1441" s="3">
        <v>1157.22</v>
      </c>
      <c r="L1441" s="1">
        <v>20</v>
      </c>
      <c r="M1441" s="1" t="s">
        <v>34</v>
      </c>
      <c r="N1441" s="3">
        <v>257.08999999999997</v>
      </c>
      <c r="O1441" s="1" t="s">
        <v>2294</v>
      </c>
      <c r="P1441" s="1" t="s">
        <v>2071</v>
      </c>
      <c r="Q1441" s="1" t="str">
        <f>TEXT((Data[[#This Row],[Order_Date]]), "mmm")</f>
        <v>Mar</v>
      </c>
    </row>
    <row r="1442" spans="4:17" x14ac:dyDescent="0.3">
      <c r="D1442" s="1" t="s">
        <v>1504</v>
      </c>
      <c r="E1442" s="2">
        <v>45417</v>
      </c>
      <c r="F1442" s="2">
        <v>45424</v>
      </c>
      <c r="G1442" s="1" t="s">
        <v>22</v>
      </c>
      <c r="H1442" s="1" t="s">
        <v>12</v>
      </c>
      <c r="I1442" s="1" t="s">
        <v>38</v>
      </c>
      <c r="J1442" s="1" t="s">
        <v>39</v>
      </c>
      <c r="K1442" s="3">
        <v>1180.81</v>
      </c>
      <c r="L1442" s="1">
        <v>20</v>
      </c>
      <c r="M1442" s="1" t="s">
        <v>20</v>
      </c>
      <c r="N1442" s="3">
        <v>82.8</v>
      </c>
      <c r="O1442" s="1" t="s">
        <v>2309</v>
      </c>
      <c r="P1442" s="1" t="s">
        <v>2071</v>
      </c>
      <c r="Q1442" s="1" t="str">
        <f>TEXT((Data[[#This Row],[Order_Date]]), "mmm")</f>
        <v>May</v>
      </c>
    </row>
    <row r="1443" spans="4:17" x14ac:dyDescent="0.3">
      <c r="D1443" s="1" t="s">
        <v>1505</v>
      </c>
      <c r="E1443" s="2">
        <v>45292</v>
      </c>
      <c r="F1443" s="2">
        <v>45296</v>
      </c>
      <c r="G1443" s="1" t="s">
        <v>31</v>
      </c>
      <c r="H1443" s="1" t="s">
        <v>12</v>
      </c>
      <c r="I1443" s="1" t="s">
        <v>42</v>
      </c>
      <c r="J1443" s="1" t="s">
        <v>43</v>
      </c>
      <c r="K1443" s="3">
        <v>2313.6799999999998</v>
      </c>
      <c r="L1443" s="1">
        <v>13</v>
      </c>
      <c r="M1443" s="1" t="s">
        <v>29</v>
      </c>
      <c r="N1443" s="3">
        <v>439.57</v>
      </c>
      <c r="O1443" s="1" t="s">
        <v>2075</v>
      </c>
      <c r="P1443" s="1" t="s">
        <v>2078</v>
      </c>
      <c r="Q1443" s="1" t="str">
        <f>TEXT((Data[[#This Row],[Order_Date]]), "mmm")</f>
        <v>Jan</v>
      </c>
    </row>
    <row r="1444" spans="4:17" x14ac:dyDescent="0.3">
      <c r="D1444" s="1" t="s">
        <v>1506</v>
      </c>
      <c r="E1444" s="2">
        <v>45558</v>
      </c>
      <c r="F1444" s="2">
        <v>45563</v>
      </c>
      <c r="G1444" s="1" t="s">
        <v>31</v>
      </c>
      <c r="H1444" s="1" t="s">
        <v>23</v>
      </c>
      <c r="I1444" s="1" t="s">
        <v>65</v>
      </c>
      <c r="J1444" s="1" t="s">
        <v>66</v>
      </c>
      <c r="K1444" s="3">
        <v>2136.8200000000002</v>
      </c>
      <c r="L1444" s="1">
        <v>16</v>
      </c>
      <c r="M1444" s="1" t="s">
        <v>44</v>
      </c>
      <c r="N1444" s="3">
        <v>622.78</v>
      </c>
      <c r="O1444" s="1" t="s">
        <v>2101</v>
      </c>
      <c r="P1444" s="1" t="s">
        <v>2076</v>
      </c>
      <c r="Q1444" s="1" t="str">
        <f>TEXT((Data[[#This Row],[Order_Date]]), "mmm")</f>
        <v>Sep</v>
      </c>
    </row>
    <row r="1445" spans="4:17" x14ac:dyDescent="0.3">
      <c r="D1445" s="1" t="s">
        <v>1507</v>
      </c>
      <c r="E1445" s="2">
        <v>45599</v>
      </c>
      <c r="F1445" s="2">
        <v>45604</v>
      </c>
      <c r="G1445" s="1" t="s">
        <v>36</v>
      </c>
      <c r="H1445" s="1" t="s">
        <v>17</v>
      </c>
      <c r="I1445" s="1" t="s">
        <v>32</v>
      </c>
      <c r="J1445" s="1" t="s">
        <v>33</v>
      </c>
      <c r="K1445" s="3">
        <v>1684.65</v>
      </c>
      <c r="L1445" s="1">
        <v>10</v>
      </c>
      <c r="M1445" s="1" t="s">
        <v>34</v>
      </c>
      <c r="N1445" s="3">
        <v>96.3</v>
      </c>
      <c r="O1445" s="1" t="s">
        <v>2291</v>
      </c>
      <c r="P1445" s="1" t="s">
        <v>2076</v>
      </c>
      <c r="Q1445" s="1" t="str">
        <f>TEXT((Data[[#This Row],[Order_Date]]), "mmm")</f>
        <v>Nov</v>
      </c>
    </row>
    <row r="1446" spans="4:17" x14ac:dyDescent="0.3">
      <c r="D1446" s="1" t="s">
        <v>1508</v>
      </c>
      <c r="E1446" s="2">
        <v>45300</v>
      </c>
      <c r="F1446" s="2">
        <v>45303</v>
      </c>
      <c r="G1446" s="1" t="s">
        <v>31</v>
      </c>
      <c r="H1446" s="1" t="s">
        <v>12</v>
      </c>
      <c r="I1446" s="1" t="s">
        <v>58</v>
      </c>
      <c r="J1446" s="1" t="s">
        <v>105</v>
      </c>
      <c r="K1446" s="3">
        <v>3494.49</v>
      </c>
      <c r="L1446" s="1">
        <v>5</v>
      </c>
      <c r="M1446" s="1" t="s">
        <v>15</v>
      </c>
      <c r="N1446" s="3">
        <v>1006.86</v>
      </c>
      <c r="O1446" s="1" t="s">
        <v>2309</v>
      </c>
      <c r="P1446" s="1" t="s">
        <v>2071</v>
      </c>
      <c r="Q1446" s="1" t="str">
        <f>TEXT((Data[[#This Row],[Order_Date]]), "mmm")</f>
        <v>Jan</v>
      </c>
    </row>
    <row r="1447" spans="4:17" x14ac:dyDescent="0.3">
      <c r="D1447" s="1" t="s">
        <v>1509</v>
      </c>
      <c r="E1447" s="2">
        <v>45364</v>
      </c>
      <c r="F1447" s="2">
        <v>45364</v>
      </c>
      <c r="G1447" s="1" t="s">
        <v>22</v>
      </c>
      <c r="H1447" s="1" t="s">
        <v>23</v>
      </c>
      <c r="I1447" s="1" t="s">
        <v>24</v>
      </c>
      <c r="J1447" s="1" t="s">
        <v>93</v>
      </c>
      <c r="K1447" s="3">
        <v>1747.15</v>
      </c>
      <c r="L1447" s="1">
        <v>15</v>
      </c>
      <c r="M1447" s="1" t="s">
        <v>34</v>
      </c>
      <c r="N1447" s="3">
        <v>549.85</v>
      </c>
      <c r="O1447" s="1" t="s">
        <v>2107</v>
      </c>
      <c r="P1447" s="1" t="s">
        <v>2078</v>
      </c>
      <c r="Q1447" s="1" t="str">
        <f>TEXT((Data[[#This Row],[Order_Date]]), "mmm")</f>
        <v>Mar</v>
      </c>
    </row>
    <row r="1448" spans="4:17" x14ac:dyDescent="0.3">
      <c r="D1448" s="1" t="s">
        <v>1510</v>
      </c>
      <c r="E1448" s="2">
        <v>45504</v>
      </c>
      <c r="F1448" s="2">
        <v>45504</v>
      </c>
      <c r="G1448" s="1" t="s">
        <v>22</v>
      </c>
      <c r="H1448" s="1" t="s">
        <v>17</v>
      </c>
      <c r="I1448" s="1" t="s">
        <v>32</v>
      </c>
      <c r="J1448" s="1" t="s">
        <v>56</v>
      </c>
      <c r="K1448" s="3">
        <v>1357.82</v>
      </c>
      <c r="L1448" s="1">
        <v>2</v>
      </c>
      <c r="M1448" s="1" t="s">
        <v>34</v>
      </c>
      <c r="N1448" s="3">
        <v>257.33999999999997</v>
      </c>
      <c r="O1448" s="1" t="s">
        <v>2202</v>
      </c>
      <c r="P1448" s="1" t="s">
        <v>2076</v>
      </c>
      <c r="Q1448" s="1" t="str">
        <f>TEXT((Data[[#This Row],[Order_Date]]), "mmm")</f>
        <v>Jul</v>
      </c>
    </row>
    <row r="1449" spans="4:17" x14ac:dyDescent="0.3">
      <c r="D1449" s="1" t="s">
        <v>1511</v>
      </c>
      <c r="E1449" s="2">
        <v>45626</v>
      </c>
      <c r="F1449" s="2">
        <v>45632</v>
      </c>
      <c r="G1449" s="1" t="s">
        <v>11</v>
      </c>
      <c r="H1449" s="1" t="s">
        <v>12</v>
      </c>
      <c r="I1449" s="1" t="s">
        <v>13</v>
      </c>
      <c r="J1449" s="1" t="s">
        <v>129</v>
      </c>
      <c r="K1449" s="3">
        <v>3329.1</v>
      </c>
      <c r="L1449" s="1">
        <v>18</v>
      </c>
      <c r="M1449" s="1" t="s">
        <v>49</v>
      </c>
      <c r="N1449" s="3">
        <v>206.93</v>
      </c>
      <c r="O1449" s="1" t="s">
        <v>2070</v>
      </c>
      <c r="P1449" s="1" t="s">
        <v>2076</v>
      </c>
      <c r="Q1449" s="1" t="str">
        <f>TEXT((Data[[#This Row],[Order_Date]]), "mmm")</f>
        <v>Nov</v>
      </c>
    </row>
    <row r="1450" spans="4:17" x14ac:dyDescent="0.3">
      <c r="D1450" s="1" t="s">
        <v>1512</v>
      </c>
      <c r="E1450" s="2">
        <v>45537</v>
      </c>
      <c r="F1450" s="2">
        <v>45538</v>
      </c>
      <c r="G1450" s="1" t="s">
        <v>36</v>
      </c>
      <c r="H1450" s="1" t="s">
        <v>23</v>
      </c>
      <c r="I1450" s="1" t="s">
        <v>78</v>
      </c>
      <c r="J1450" s="1" t="s">
        <v>79</v>
      </c>
      <c r="K1450" s="3">
        <v>3707.44</v>
      </c>
      <c r="L1450" s="1">
        <v>6</v>
      </c>
      <c r="M1450" s="1" t="s">
        <v>20</v>
      </c>
      <c r="N1450" s="3">
        <v>-1288.82</v>
      </c>
      <c r="O1450" s="1" t="s">
        <v>2308</v>
      </c>
      <c r="P1450" s="1" t="s">
        <v>2071</v>
      </c>
      <c r="Q1450" s="1" t="str">
        <f>TEXT((Data[[#This Row],[Order_Date]]), "mmm")</f>
        <v>Sep</v>
      </c>
    </row>
    <row r="1451" spans="4:17" x14ac:dyDescent="0.3">
      <c r="D1451" s="1" t="s">
        <v>1513</v>
      </c>
      <c r="E1451" s="2">
        <v>45656</v>
      </c>
      <c r="F1451" s="2">
        <v>45660</v>
      </c>
      <c r="G1451" s="1" t="s">
        <v>11</v>
      </c>
      <c r="H1451" s="1" t="s">
        <v>17</v>
      </c>
      <c r="I1451" s="1" t="s">
        <v>32</v>
      </c>
      <c r="J1451" s="1" t="s">
        <v>56</v>
      </c>
      <c r="K1451" s="3">
        <v>2615.0300000000002</v>
      </c>
      <c r="L1451" s="1">
        <v>12</v>
      </c>
      <c r="M1451" s="1" t="s">
        <v>20</v>
      </c>
      <c r="N1451" s="3">
        <v>482.49</v>
      </c>
      <c r="O1451" s="1" t="s">
        <v>2092</v>
      </c>
      <c r="P1451" s="1" t="s">
        <v>2076</v>
      </c>
      <c r="Q1451" s="1" t="str">
        <f>TEXT((Data[[#This Row],[Order_Date]]), "mmm")</f>
        <v>Dec</v>
      </c>
    </row>
    <row r="1452" spans="4:17" x14ac:dyDescent="0.3">
      <c r="D1452" s="1" t="s">
        <v>1514</v>
      </c>
      <c r="E1452" s="2">
        <v>45605</v>
      </c>
      <c r="F1452" s="2">
        <v>45612</v>
      </c>
      <c r="G1452" s="1" t="s">
        <v>36</v>
      </c>
      <c r="H1452" s="1" t="s">
        <v>12</v>
      </c>
      <c r="I1452" s="1" t="s">
        <v>13</v>
      </c>
      <c r="J1452" s="1" t="s">
        <v>129</v>
      </c>
      <c r="K1452" s="3">
        <v>1629.88</v>
      </c>
      <c r="L1452" s="1">
        <v>17</v>
      </c>
      <c r="M1452" s="1" t="s">
        <v>29</v>
      </c>
      <c r="N1452" s="3">
        <v>141.78</v>
      </c>
      <c r="O1452" s="1" t="s">
        <v>2265</v>
      </c>
      <c r="P1452" s="1" t="s">
        <v>2078</v>
      </c>
      <c r="Q1452" s="1" t="str">
        <f>TEXT((Data[[#This Row],[Order_Date]]), "mmm")</f>
        <v>Nov</v>
      </c>
    </row>
    <row r="1453" spans="4:17" x14ac:dyDescent="0.3">
      <c r="D1453" s="1" t="s">
        <v>1515</v>
      </c>
      <c r="E1453" s="2">
        <v>45541</v>
      </c>
      <c r="F1453" s="2">
        <v>45547</v>
      </c>
      <c r="G1453" s="1" t="s">
        <v>11</v>
      </c>
      <c r="H1453" s="1" t="s">
        <v>12</v>
      </c>
      <c r="I1453" s="1" t="s">
        <v>38</v>
      </c>
      <c r="J1453" s="1" t="s">
        <v>81</v>
      </c>
      <c r="K1453" s="3">
        <v>3748.55</v>
      </c>
      <c r="L1453" s="1">
        <v>13</v>
      </c>
      <c r="M1453" s="1" t="s">
        <v>34</v>
      </c>
      <c r="N1453" s="3">
        <v>930.33</v>
      </c>
      <c r="O1453" s="1" t="s">
        <v>2182</v>
      </c>
      <c r="P1453" s="1" t="s">
        <v>2071</v>
      </c>
      <c r="Q1453" s="1" t="str">
        <f>TEXT((Data[[#This Row],[Order_Date]]), "mmm")</f>
        <v>Sep</v>
      </c>
    </row>
    <row r="1454" spans="4:17" x14ac:dyDescent="0.3">
      <c r="D1454" s="1" t="s">
        <v>1516</v>
      </c>
      <c r="E1454" s="2">
        <v>45617</v>
      </c>
      <c r="F1454" s="2">
        <v>45621</v>
      </c>
      <c r="G1454" s="1" t="s">
        <v>22</v>
      </c>
      <c r="H1454" s="1" t="s">
        <v>17</v>
      </c>
      <c r="I1454" s="1" t="s">
        <v>18</v>
      </c>
      <c r="J1454" s="1" t="s">
        <v>19</v>
      </c>
      <c r="K1454" s="3">
        <v>2563.2800000000002</v>
      </c>
      <c r="L1454" s="1">
        <v>9</v>
      </c>
      <c r="M1454" s="1" t="s">
        <v>49</v>
      </c>
      <c r="N1454" s="3">
        <v>-297.52</v>
      </c>
      <c r="O1454" s="1" t="s">
        <v>2098</v>
      </c>
      <c r="P1454" s="1" t="s">
        <v>2078</v>
      </c>
      <c r="Q1454" s="1" t="str">
        <f>TEXT((Data[[#This Row],[Order_Date]]), "mmm")</f>
        <v>Nov</v>
      </c>
    </row>
    <row r="1455" spans="4:17" x14ac:dyDescent="0.3">
      <c r="D1455" s="1" t="s">
        <v>1517</v>
      </c>
      <c r="E1455" s="2">
        <v>45298</v>
      </c>
      <c r="F1455" s="2">
        <v>45300</v>
      </c>
      <c r="G1455" s="1" t="s">
        <v>22</v>
      </c>
      <c r="H1455" s="1" t="s">
        <v>23</v>
      </c>
      <c r="I1455" s="1" t="s">
        <v>78</v>
      </c>
      <c r="J1455" s="1" t="s">
        <v>79</v>
      </c>
      <c r="K1455" s="3">
        <v>3248.02</v>
      </c>
      <c r="L1455" s="1">
        <v>5</v>
      </c>
      <c r="M1455" s="1" t="s">
        <v>49</v>
      </c>
      <c r="N1455" s="3">
        <v>695.46</v>
      </c>
      <c r="O1455" s="1" t="s">
        <v>2286</v>
      </c>
      <c r="P1455" s="1" t="s">
        <v>2078</v>
      </c>
      <c r="Q1455" s="1" t="str">
        <f>TEXT((Data[[#This Row],[Order_Date]]), "mmm")</f>
        <v>Jan</v>
      </c>
    </row>
    <row r="1456" spans="4:17" x14ac:dyDescent="0.3">
      <c r="D1456" s="1" t="s">
        <v>1518</v>
      </c>
      <c r="E1456" s="2">
        <v>45399</v>
      </c>
      <c r="F1456" s="2">
        <v>45399</v>
      </c>
      <c r="G1456" s="1" t="s">
        <v>11</v>
      </c>
      <c r="H1456" s="1" t="s">
        <v>17</v>
      </c>
      <c r="I1456" s="1" t="s">
        <v>18</v>
      </c>
      <c r="J1456" s="1" t="s">
        <v>54</v>
      </c>
      <c r="K1456" s="3">
        <v>2977.14</v>
      </c>
      <c r="L1456" s="1">
        <v>3</v>
      </c>
      <c r="M1456" s="1" t="s">
        <v>44</v>
      </c>
      <c r="N1456" s="3">
        <v>567.12</v>
      </c>
      <c r="O1456" s="1" t="s">
        <v>2096</v>
      </c>
      <c r="P1456" s="1" t="s">
        <v>2071</v>
      </c>
      <c r="Q1456" s="1" t="str">
        <f>TEXT((Data[[#This Row],[Order_Date]]), "mmm")</f>
        <v>Apr</v>
      </c>
    </row>
    <row r="1457" spans="4:17" x14ac:dyDescent="0.3">
      <c r="D1457" s="1" t="s">
        <v>1519</v>
      </c>
      <c r="E1457" s="2">
        <v>45636</v>
      </c>
      <c r="F1457" s="2">
        <v>45643</v>
      </c>
      <c r="G1457" s="1" t="s">
        <v>11</v>
      </c>
      <c r="H1457" s="1" t="s">
        <v>17</v>
      </c>
      <c r="I1457" s="1" t="s">
        <v>32</v>
      </c>
      <c r="J1457" s="1" t="s">
        <v>33</v>
      </c>
      <c r="K1457" s="3">
        <v>3293.84</v>
      </c>
      <c r="L1457" s="1">
        <v>11</v>
      </c>
      <c r="M1457" s="1" t="s">
        <v>29</v>
      </c>
      <c r="N1457" s="3">
        <v>883.99</v>
      </c>
      <c r="O1457" s="1" t="s">
        <v>2268</v>
      </c>
      <c r="P1457" s="1" t="s">
        <v>2076</v>
      </c>
      <c r="Q1457" s="1" t="str">
        <f>TEXT((Data[[#This Row],[Order_Date]]), "mmm")</f>
        <v>Dec</v>
      </c>
    </row>
    <row r="1458" spans="4:17" x14ac:dyDescent="0.3">
      <c r="D1458" s="1" t="s">
        <v>1520</v>
      </c>
      <c r="E1458" s="2">
        <v>45532</v>
      </c>
      <c r="F1458" s="2">
        <v>45536</v>
      </c>
      <c r="G1458" s="1" t="s">
        <v>36</v>
      </c>
      <c r="H1458" s="1" t="s">
        <v>12</v>
      </c>
      <c r="I1458" s="1" t="s">
        <v>13</v>
      </c>
      <c r="J1458" s="1" t="s">
        <v>14</v>
      </c>
      <c r="K1458" s="3">
        <v>2754.07</v>
      </c>
      <c r="L1458" s="1">
        <v>19</v>
      </c>
      <c r="M1458" s="1" t="s">
        <v>29</v>
      </c>
      <c r="N1458" s="3">
        <v>701.68</v>
      </c>
      <c r="O1458" s="1" t="s">
        <v>2073</v>
      </c>
      <c r="P1458" s="1" t="s">
        <v>2076</v>
      </c>
      <c r="Q1458" s="1" t="str">
        <f>TEXT((Data[[#This Row],[Order_Date]]), "mmm")</f>
        <v>Aug</v>
      </c>
    </row>
    <row r="1459" spans="4:17" x14ac:dyDescent="0.3">
      <c r="D1459" s="1" t="s">
        <v>1521</v>
      </c>
      <c r="E1459" s="2">
        <v>45417</v>
      </c>
      <c r="F1459" s="2">
        <v>45420</v>
      </c>
      <c r="G1459" s="1" t="s">
        <v>11</v>
      </c>
      <c r="H1459" s="1" t="s">
        <v>23</v>
      </c>
      <c r="I1459" s="1" t="s">
        <v>65</v>
      </c>
      <c r="J1459" s="1" t="s">
        <v>114</v>
      </c>
      <c r="K1459" s="3">
        <v>1480.58</v>
      </c>
      <c r="L1459" s="1">
        <v>17</v>
      </c>
      <c r="M1459" s="1" t="s">
        <v>34</v>
      </c>
      <c r="N1459" s="3">
        <v>295.62</v>
      </c>
      <c r="O1459" s="1" t="s">
        <v>2102</v>
      </c>
      <c r="P1459" s="1" t="s">
        <v>2071</v>
      </c>
      <c r="Q1459" s="1" t="str">
        <f>TEXT((Data[[#This Row],[Order_Date]]), "mmm")</f>
        <v>May</v>
      </c>
    </row>
    <row r="1460" spans="4:17" x14ac:dyDescent="0.3">
      <c r="D1460" s="1" t="s">
        <v>1522</v>
      </c>
      <c r="E1460" s="2">
        <v>45499</v>
      </c>
      <c r="F1460" s="2">
        <v>45499</v>
      </c>
      <c r="G1460" s="1" t="s">
        <v>36</v>
      </c>
      <c r="H1460" s="1" t="s">
        <v>23</v>
      </c>
      <c r="I1460" s="1" t="s">
        <v>61</v>
      </c>
      <c r="J1460" s="1" t="s">
        <v>76</v>
      </c>
      <c r="K1460" s="3">
        <v>2331.3000000000002</v>
      </c>
      <c r="L1460" s="1">
        <v>8</v>
      </c>
      <c r="M1460" s="1" t="s">
        <v>44</v>
      </c>
      <c r="N1460" s="3">
        <v>441.33</v>
      </c>
      <c r="O1460" s="1" t="s">
        <v>2079</v>
      </c>
      <c r="P1460" s="1" t="s">
        <v>2076</v>
      </c>
      <c r="Q1460" s="1" t="str">
        <f>TEXT((Data[[#This Row],[Order_Date]]), "mmm")</f>
        <v>Jul</v>
      </c>
    </row>
    <row r="1461" spans="4:17" x14ac:dyDescent="0.3">
      <c r="D1461" s="1" t="s">
        <v>1523</v>
      </c>
      <c r="E1461" s="2">
        <v>45342</v>
      </c>
      <c r="F1461" s="2">
        <v>45347</v>
      </c>
      <c r="G1461" s="1" t="s">
        <v>31</v>
      </c>
      <c r="H1461" s="1" t="s">
        <v>12</v>
      </c>
      <c r="I1461" s="1" t="s">
        <v>42</v>
      </c>
      <c r="J1461" s="1" t="s">
        <v>43</v>
      </c>
      <c r="K1461" s="3">
        <v>2374.65</v>
      </c>
      <c r="L1461" s="1">
        <v>10</v>
      </c>
      <c r="M1461" s="1" t="s">
        <v>20</v>
      </c>
      <c r="N1461" s="3">
        <v>291.48</v>
      </c>
      <c r="O1461" s="1" t="s">
        <v>2093</v>
      </c>
      <c r="P1461" s="1" t="s">
        <v>2076</v>
      </c>
      <c r="Q1461" s="1" t="str">
        <f>TEXT((Data[[#This Row],[Order_Date]]), "mmm")</f>
        <v>Feb</v>
      </c>
    </row>
    <row r="1462" spans="4:17" x14ac:dyDescent="0.3">
      <c r="D1462" s="1" t="s">
        <v>1524</v>
      </c>
      <c r="E1462" s="2">
        <v>45631</v>
      </c>
      <c r="F1462" s="2">
        <v>45632</v>
      </c>
      <c r="G1462" s="1" t="s">
        <v>36</v>
      </c>
      <c r="H1462" s="1" t="s">
        <v>17</v>
      </c>
      <c r="I1462" s="1" t="s">
        <v>27</v>
      </c>
      <c r="J1462" s="1" t="s">
        <v>108</v>
      </c>
      <c r="K1462" s="3">
        <v>3306.48</v>
      </c>
      <c r="L1462" s="1">
        <v>5</v>
      </c>
      <c r="M1462" s="1" t="s">
        <v>49</v>
      </c>
      <c r="N1462" s="3">
        <v>-634.69000000000005</v>
      </c>
      <c r="O1462" s="1" t="s">
        <v>2292</v>
      </c>
      <c r="P1462" s="1" t="s">
        <v>2078</v>
      </c>
      <c r="Q1462" s="1" t="str">
        <f>TEXT((Data[[#This Row],[Order_Date]]), "mmm")</f>
        <v>Dec</v>
      </c>
    </row>
    <row r="1463" spans="4:17" x14ac:dyDescent="0.3">
      <c r="D1463" s="1" t="s">
        <v>1525</v>
      </c>
      <c r="E1463" s="2">
        <v>45481</v>
      </c>
      <c r="F1463" s="2">
        <v>45482</v>
      </c>
      <c r="G1463" s="1" t="s">
        <v>36</v>
      </c>
      <c r="H1463" s="1" t="s">
        <v>17</v>
      </c>
      <c r="I1463" s="1" t="s">
        <v>27</v>
      </c>
      <c r="J1463" s="1" t="s">
        <v>108</v>
      </c>
      <c r="K1463" s="3">
        <v>3729.38</v>
      </c>
      <c r="L1463" s="1">
        <v>13</v>
      </c>
      <c r="M1463" s="1" t="s">
        <v>29</v>
      </c>
      <c r="N1463" s="3">
        <v>425.93</v>
      </c>
      <c r="O1463" s="1" t="s">
        <v>2269</v>
      </c>
      <c r="P1463" s="1" t="s">
        <v>2078</v>
      </c>
      <c r="Q1463" s="1" t="str">
        <f>TEXT((Data[[#This Row],[Order_Date]]), "mmm")</f>
        <v>Jul</v>
      </c>
    </row>
    <row r="1464" spans="4:17" x14ac:dyDescent="0.3">
      <c r="D1464" s="1" t="s">
        <v>1526</v>
      </c>
      <c r="E1464" s="2">
        <v>45412</v>
      </c>
      <c r="F1464" s="2">
        <v>45416</v>
      </c>
      <c r="G1464" s="1" t="s">
        <v>22</v>
      </c>
      <c r="H1464" s="1" t="s">
        <v>12</v>
      </c>
      <c r="I1464" s="1" t="s">
        <v>58</v>
      </c>
      <c r="J1464" s="1" t="s">
        <v>105</v>
      </c>
      <c r="K1464" s="3">
        <v>846.97</v>
      </c>
      <c r="L1464" s="1">
        <v>11</v>
      </c>
      <c r="M1464" s="1" t="s">
        <v>29</v>
      </c>
      <c r="N1464" s="3">
        <v>-138.1</v>
      </c>
      <c r="O1464" s="1" t="s">
        <v>2256</v>
      </c>
      <c r="P1464" s="1" t="s">
        <v>2071</v>
      </c>
      <c r="Q1464" s="1" t="str">
        <f>TEXT((Data[[#This Row],[Order_Date]]), "mmm")</f>
        <v>Apr</v>
      </c>
    </row>
    <row r="1465" spans="4:17" x14ac:dyDescent="0.3">
      <c r="D1465" s="1" t="s">
        <v>1527</v>
      </c>
      <c r="E1465" s="2">
        <v>45334</v>
      </c>
      <c r="F1465" s="2">
        <v>45335</v>
      </c>
      <c r="G1465" s="1" t="s">
        <v>11</v>
      </c>
      <c r="H1465" s="1" t="s">
        <v>17</v>
      </c>
      <c r="I1465" s="1" t="s">
        <v>32</v>
      </c>
      <c r="J1465" s="1" t="s">
        <v>33</v>
      </c>
      <c r="K1465" s="3">
        <v>2097.4299999999998</v>
      </c>
      <c r="L1465" s="1">
        <v>3</v>
      </c>
      <c r="M1465" s="1" t="s">
        <v>15</v>
      </c>
      <c r="N1465" s="3">
        <v>512.59</v>
      </c>
      <c r="O1465" s="1" t="s">
        <v>2111</v>
      </c>
      <c r="P1465" s="1" t="s">
        <v>2078</v>
      </c>
      <c r="Q1465" s="1" t="str">
        <f>TEXT((Data[[#This Row],[Order_Date]]), "mmm")</f>
        <v>Feb</v>
      </c>
    </row>
    <row r="1466" spans="4:17" x14ac:dyDescent="0.3">
      <c r="D1466" s="1" t="s">
        <v>1528</v>
      </c>
      <c r="E1466" s="2">
        <v>45293</v>
      </c>
      <c r="F1466" s="2">
        <v>45300</v>
      </c>
      <c r="G1466" s="1" t="s">
        <v>22</v>
      </c>
      <c r="H1466" s="1" t="s">
        <v>17</v>
      </c>
      <c r="I1466" s="1" t="s">
        <v>18</v>
      </c>
      <c r="J1466" s="1" t="s">
        <v>54</v>
      </c>
      <c r="K1466" s="3">
        <v>3938.88</v>
      </c>
      <c r="L1466" s="1">
        <v>12</v>
      </c>
      <c r="M1466" s="1" t="s">
        <v>15</v>
      </c>
      <c r="N1466" s="3">
        <v>1007.17</v>
      </c>
      <c r="O1466" s="1" t="s">
        <v>2262</v>
      </c>
      <c r="P1466" s="1" t="s">
        <v>2071</v>
      </c>
      <c r="Q1466" s="1" t="str">
        <f>TEXT((Data[[#This Row],[Order_Date]]), "mmm")</f>
        <v>Jan</v>
      </c>
    </row>
    <row r="1467" spans="4:17" x14ac:dyDescent="0.3">
      <c r="D1467" s="1" t="s">
        <v>1529</v>
      </c>
      <c r="E1467" s="2">
        <v>45474</v>
      </c>
      <c r="F1467" s="2">
        <v>45475</v>
      </c>
      <c r="G1467" s="1" t="s">
        <v>11</v>
      </c>
      <c r="H1467" s="1" t="s">
        <v>17</v>
      </c>
      <c r="I1467" s="1" t="s">
        <v>27</v>
      </c>
      <c r="J1467" s="1" t="s">
        <v>110</v>
      </c>
      <c r="K1467" s="3">
        <v>624.89</v>
      </c>
      <c r="L1467" s="1">
        <v>19</v>
      </c>
      <c r="M1467" s="1" t="s">
        <v>20</v>
      </c>
      <c r="N1467" s="3">
        <v>216.5</v>
      </c>
      <c r="O1467" s="1" t="s">
        <v>2187</v>
      </c>
      <c r="P1467" s="1" t="s">
        <v>2078</v>
      </c>
      <c r="Q1467" s="1" t="str">
        <f>TEXT((Data[[#This Row],[Order_Date]]), "mmm")</f>
        <v>Jul</v>
      </c>
    </row>
    <row r="1468" spans="4:17" x14ac:dyDescent="0.3">
      <c r="D1468" s="1" t="s">
        <v>1530</v>
      </c>
      <c r="E1468" s="2">
        <v>45390</v>
      </c>
      <c r="F1468" s="2">
        <v>45392</v>
      </c>
      <c r="G1468" s="1" t="s">
        <v>31</v>
      </c>
      <c r="H1468" s="1" t="s">
        <v>23</v>
      </c>
      <c r="I1468" s="1" t="s">
        <v>61</v>
      </c>
      <c r="J1468" s="1" t="s">
        <v>98</v>
      </c>
      <c r="K1468" s="3">
        <v>2475.14</v>
      </c>
      <c r="L1468" s="1">
        <v>20</v>
      </c>
      <c r="M1468" s="1" t="s">
        <v>29</v>
      </c>
      <c r="N1468" s="3">
        <v>176.98</v>
      </c>
      <c r="O1468" s="1" t="s">
        <v>2132</v>
      </c>
      <c r="P1468" s="1" t="s">
        <v>2071</v>
      </c>
      <c r="Q1468" s="1" t="str">
        <f>TEXT((Data[[#This Row],[Order_Date]]), "mmm")</f>
        <v>Apr</v>
      </c>
    </row>
    <row r="1469" spans="4:17" x14ac:dyDescent="0.3">
      <c r="D1469" s="1" t="s">
        <v>1531</v>
      </c>
      <c r="E1469" s="2">
        <v>45362</v>
      </c>
      <c r="F1469" s="2">
        <v>45363</v>
      </c>
      <c r="G1469" s="1" t="s">
        <v>31</v>
      </c>
      <c r="H1469" s="1" t="s">
        <v>12</v>
      </c>
      <c r="I1469" s="1" t="s">
        <v>13</v>
      </c>
      <c r="J1469" s="1" t="s">
        <v>14</v>
      </c>
      <c r="K1469" s="3">
        <v>2662.99</v>
      </c>
      <c r="L1469" s="1">
        <v>17</v>
      </c>
      <c r="M1469" s="1" t="s">
        <v>20</v>
      </c>
      <c r="N1469" s="3">
        <v>529.73</v>
      </c>
      <c r="O1469" s="1" t="s">
        <v>2151</v>
      </c>
      <c r="P1469" s="1" t="s">
        <v>2078</v>
      </c>
      <c r="Q1469" s="1" t="str">
        <f>TEXT((Data[[#This Row],[Order_Date]]), "mmm")</f>
        <v>Mar</v>
      </c>
    </row>
    <row r="1470" spans="4:17" x14ac:dyDescent="0.3">
      <c r="D1470" s="1" t="s">
        <v>1532</v>
      </c>
      <c r="E1470" s="2">
        <v>45437</v>
      </c>
      <c r="F1470" s="2">
        <v>45437</v>
      </c>
      <c r="G1470" s="1" t="s">
        <v>31</v>
      </c>
      <c r="H1470" s="1" t="s">
        <v>23</v>
      </c>
      <c r="I1470" s="1" t="s">
        <v>78</v>
      </c>
      <c r="J1470" s="1" t="s">
        <v>79</v>
      </c>
      <c r="K1470" s="3">
        <v>3288.52</v>
      </c>
      <c r="L1470" s="1">
        <v>12</v>
      </c>
      <c r="M1470" s="1" t="s">
        <v>29</v>
      </c>
      <c r="N1470" s="3">
        <v>466.71</v>
      </c>
      <c r="O1470" s="1" t="s">
        <v>2293</v>
      </c>
      <c r="P1470" s="1" t="s">
        <v>2076</v>
      </c>
      <c r="Q1470" s="1" t="str">
        <f>TEXT((Data[[#This Row],[Order_Date]]), "mmm")</f>
        <v>May</v>
      </c>
    </row>
    <row r="1471" spans="4:17" x14ac:dyDescent="0.3">
      <c r="D1471" s="1" t="s">
        <v>1533</v>
      </c>
      <c r="E1471" s="2">
        <v>45497</v>
      </c>
      <c r="F1471" s="2">
        <v>45503</v>
      </c>
      <c r="G1471" s="1" t="s">
        <v>22</v>
      </c>
      <c r="H1471" s="1" t="s">
        <v>23</v>
      </c>
      <c r="I1471" s="1" t="s">
        <v>24</v>
      </c>
      <c r="J1471" s="1" t="s">
        <v>25</v>
      </c>
      <c r="K1471" s="3">
        <v>1152.55</v>
      </c>
      <c r="L1471" s="1">
        <v>5</v>
      </c>
      <c r="M1471" s="1" t="s">
        <v>15</v>
      </c>
      <c r="N1471" s="3">
        <v>-111.3</v>
      </c>
      <c r="O1471" s="1" t="s">
        <v>2181</v>
      </c>
      <c r="P1471" s="1" t="s">
        <v>2078</v>
      </c>
      <c r="Q1471" s="1" t="str">
        <f>TEXT((Data[[#This Row],[Order_Date]]), "mmm")</f>
        <v>Jul</v>
      </c>
    </row>
    <row r="1472" spans="4:17" x14ac:dyDescent="0.3">
      <c r="D1472" s="1" t="s">
        <v>1534</v>
      </c>
      <c r="E1472" s="2">
        <v>45592</v>
      </c>
      <c r="F1472" s="2">
        <v>45593</v>
      </c>
      <c r="G1472" s="1" t="s">
        <v>22</v>
      </c>
      <c r="H1472" s="1" t="s">
        <v>17</v>
      </c>
      <c r="I1472" s="1" t="s">
        <v>27</v>
      </c>
      <c r="J1472" s="1" t="s">
        <v>132</v>
      </c>
      <c r="K1472" s="3">
        <v>809.98</v>
      </c>
      <c r="L1472" s="1">
        <v>3</v>
      </c>
      <c r="M1472" s="1" t="s">
        <v>34</v>
      </c>
      <c r="N1472" s="3">
        <v>227.69</v>
      </c>
      <c r="O1472" s="1" t="s">
        <v>2178</v>
      </c>
      <c r="P1472" s="1" t="s">
        <v>2071</v>
      </c>
      <c r="Q1472" s="1" t="str">
        <f>TEXT((Data[[#This Row],[Order_Date]]), "mmm")</f>
        <v>Oct</v>
      </c>
    </row>
    <row r="1473" spans="4:17" x14ac:dyDescent="0.3">
      <c r="D1473" s="1" t="s">
        <v>1535</v>
      </c>
      <c r="E1473" s="2">
        <v>45588</v>
      </c>
      <c r="F1473" s="2">
        <v>45591</v>
      </c>
      <c r="G1473" s="1" t="s">
        <v>31</v>
      </c>
      <c r="H1473" s="1" t="s">
        <v>23</v>
      </c>
      <c r="I1473" s="1" t="s">
        <v>65</v>
      </c>
      <c r="J1473" s="1" t="s">
        <v>66</v>
      </c>
      <c r="K1473" s="3">
        <v>3737.02</v>
      </c>
      <c r="L1473" s="1">
        <v>18</v>
      </c>
      <c r="M1473" s="1" t="s">
        <v>15</v>
      </c>
      <c r="N1473" s="3">
        <v>845.69</v>
      </c>
      <c r="O1473" s="1" t="s">
        <v>2308</v>
      </c>
      <c r="P1473" s="1" t="s">
        <v>2078</v>
      </c>
      <c r="Q1473" s="1" t="str">
        <f>TEXT((Data[[#This Row],[Order_Date]]), "mmm")</f>
        <v>Oct</v>
      </c>
    </row>
    <row r="1474" spans="4:17" x14ac:dyDescent="0.3">
      <c r="D1474" s="1" t="s">
        <v>1536</v>
      </c>
      <c r="E1474" s="2">
        <v>45399</v>
      </c>
      <c r="F1474" s="2">
        <v>45406</v>
      </c>
      <c r="G1474" s="1" t="s">
        <v>11</v>
      </c>
      <c r="H1474" s="1" t="s">
        <v>23</v>
      </c>
      <c r="I1474" s="1" t="s">
        <v>78</v>
      </c>
      <c r="J1474" s="1" t="s">
        <v>79</v>
      </c>
      <c r="K1474" s="3">
        <v>968.08</v>
      </c>
      <c r="L1474" s="1">
        <v>3</v>
      </c>
      <c r="M1474" s="1" t="s">
        <v>20</v>
      </c>
      <c r="N1474" s="3">
        <v>57.52</v>
      </c>
      <c r="O1474" s="1" t="s">
        <v>2227</v>
      </c>
      <c r="P1474" s="1" t="s">
        <v>2076</v>
      </c>
      <c r="Q1474" s="1" t="str">
        <f>TEXT((Data[[#This Row],[Order_Date]]), "mmm")</f>
        <v>Apr</v>
      </c>
    </row>
    <row r="1475" spans="4:17" x14ac:dyDescent="0.3">
      <c r="D1475" s="1" t="s">
        <v>1537</v>
      </c>
      <c r="E1475" s="2">
        <v>45421</v>
      </c>
      <c r="F1475" s="2">
        <v>45427</v>
      </c>
      <c r="G1475" s="1" t="s">
        <v>22</v>
      </c>
      <c r="H1475" s="1" t="s">
        <v>23</v>
      </c>
      <c r="I1475" s="1" t="s">
        <v>65</v>
      </c>
      <c r="J1475" s="1" t="s">
        <v>122</v>
      </c>
      <c r="K1475" s="3">
        <v>3874.57</v>
      </c>
      <c r="L1475" s="1">
        <v>11</v>
      </c>
      <c r="M1475" s="1" t="s">
        <v>49</v>
      </c>
      <c r="N1475" s="3">
        <v>348.21</v>
      </c>
      <c r="O1475" s="1" t="s">
        <v>2161</v>
      </c>
      <c r="P1475" s="1" t="s">
        <v>2071</v>
      </c>
      <c r="Q1475" s="1" t="str">
        <f>TEXT((Data[[#This Row],[Order_Date]]), "mmm")</f>
        <v>May</v>
      </c>
    </row>
    <row r="1476" spans="4:17" x14ac:dyDescent="0.3">
      <c r="D1476" s="1" t="s">
        <v>1538</v>
      </c>
      <c r="E1476" s="2">
        <v>45654</v>
      </c>
      <c r="F1476" s="2">
        <v>45660</v>
      </c>
      <c r="G1476" s="1" t="s">
        <v>36</v>
      </c>
      <c r="H1476" s="1" t="s">
        <v>12</v>
      </c>
      <c r="I1476" s="1" t="s">
        <v>58</v>
      </c>
      <c r="J1476" s="1" t="s">
        <v>120</v>
      </c>
      <c r="K1476" s="3">
        <v>3509.4</v>
      </c>
      <c r="L1476" s="1">
        <v>6</v>
      </c>
      <c r="M1476" s="1" t="s">
        <v>34</v>
      </c>
      <c r="N1476" s="3">
        <v>613.23</v>
      </c>
      <c r="O1476" s="1" t="s">
        <v>2094</v>
      </c>
      <c r="P1476" s="1" t="s">
        <v>2076</v>
      </c>
      <c r="Q1476" s="1" t="str">
        <f>TEXT((Data[[#This Row],[Order_Date]]), "mmm")</f>
        <v>Dec</v>
      </c>
    </row>
    <row r="1477" spans="4:17" x14ac:dyDescent="0.3">
      <c r="D1477" s="1" t="s">
        <v>1539</v>
      </c>
      <c r="E1477" s="2">
        <v>45463</v>
      </c>
      <c r="F1477" s="2">
        <v>45465</v>
      </c>
      <c r="G1477" s="1" t="s">
        <v>11</v>
      </c>
      <c r="H1477" s="1" t="s">
        <v>17</v>
      </c>
      <c r="I1477" s="1" t="s">
        <v>18</v>
      </c>
      <c r="J1477" s="1" t="s">
        <v>90</v>
      </c>
      <c r="K1477" s="3">
        <v>2514.71</v>
      </c>
      <c r="L1477" s="1">
        <v>9</v>
      </c>
      <c r="M1477" s="1" t="s">
        <v>44</v>
      </c>
      <c r="N1477" s="3">
        <v>669.5</v>
      </c>
      <c r="O1477" s="1" t="s">
        <v>2277</v>
      </c>
      <c r="P1477" s="1" t="s">
        <v>2071</v>
      </c>
      <c r="Q1477" s="1" t="str">
        <f>TEXT((Data[[#This Row],[Order_Date]]), "mmm")</f>
        <v>Jun</v>
      </c>
    </row>
    <row r="1478" spans="4:17" x14ac:dyDescent="0.3">
      <c r="D1478" s="1" t="s">
        <v>1540</v>
      </c>
      <c r="E1478" s="2">
        <v>45296</v>
      </c>
      <c r="F1478" s="2">
        <v>45301</v>
      </c>
      <c r="G1478" s="1" t="s">
        <v>36</v>
      </c>
      <c r="H1478" s="1" t="s">
        <v>12</v>
      </c>
      <c r="I1478" s="1" t="s">
        <v>13</v>
      </c>
      <c r="J1478" s="1" t="s">
        <v>129</v>
      </c>
      <c r="K1478" s="3">
        <v>260.26</v>
      </c>
      <c r="L1478" s="1">
        <v>16</v>
      </c>
      <c r="M1478" s="1" t="s">
        <v>29</v>
      </c>
      <c r="N1478" s="3">
        <v>-28.76</v>
      </c>
      <c r="O1478" s="1" t="s">
        <v>2241</v>
      </c>
      <c r="P1478" s="1" t="s">
        <v>2076</v>
      </c>
      <c r="Q1478" s="1" t="str">
        <f>TEXT((Data[[#This Row],[Order_Date]]), "mmm")</f>
        <v>Jan</v>
      </c>
    </row>
    <row r="1479" spans="4:17" x14ac:dyDescent="0.3">
      <c r="D1479" s="1" t="s">
        <v>1541</v>
      </c>
      <c r="E1479" s="2">
        <v>45640</v>
      </c>
      <c r="F1479" s="2">
        <v>45644</v>
      </c>
      <c r="G1479" s="1" t="s">
        <v>31</v>
      </c>
      <c r="H1479" s="1" t="s">
        <v>12</v>
      </c>
      <c r="I1479" s="1" t="s">
        <v>58</v>
      </c>
      <c r="J1479" s="1" t="s">
        <v>105</v>
      </c>
      <c r="K1479" s="3">
        <v>3136.42</v>
      </c>
      <c r="L1479" s="1">
        <v>2</v>
      </c>
      <c r="M1479" s="1" t="s">
        <v>49</v>
      </c>
      <c r="N1479" s="3">
        <v>1064.01</v>
      </c>
      <c r="O1479" s="1" t="s">
        <v>2248</v>
      </c>
      <c r="P1479" s="1" t="s">
        <v>2071</v>
      </c>
      <c r="Q1479" s="1" t="str">
        <f>TEXT((Data[[#This Row],[Order_Date]]), "mmm")</f>
        <v>Dec</v>
      </c>
    </row>
    <row r="1480" spans="4:17" x14ac:dyDescent="0.3">
      <c r="D1480" s="1" t="s">
        <v>1542</v>
      </c>
      <c r="E1480" s="2">
        <v>45440</v>
      </c>
      <c r="F1480" s="2">
        <v>45447</v>
      </c>
      <c r="G1480" s="1" t="s">
        <v>11</v>
      </c>
      <c r="H1480" s="1" t="s">
        <v>23</v>
      </c>
      <c r="I1480" s="1" t="s">
        <v>24</v>
      </c>
      <c r="J1480" s="1" t="s">
        <v>25</v>
      </c>
      <c r="K1480" s="3">
        <v>1777.51</v>
      </c>
      <c r="L1480" s="1">
        <v>3</v>
      </c>
      <c r="M1480" s="1" t="s">
        <v>49</v>
      </c>
      <c r="N1480" s="3">
        <v>531.24</v>
      </c>
      <c r="O1480" s="1" t="s">
        <v>2085</v>
      </c>
      <c r="P1480" s="1" t="s">
        <v>2076</v>
      </c>
      <c r="Q1480" s="1" t="str">
        <f>TEXT((Data[[#This Row],[Order_Date]]), "mmm")</f>
        <v>May</v>
      </c>
    </row>
    <row r="1481" spans="4:17" x14ac:dyDescent="0.3">
      <c r="D1481" s="1" t="s">
        <v>1543</v>
      </c>
      <c r="E1481" s="2">
        <v>45529</v>
      </c>
      <c r="F1481" s="2">
        <v>45532</v>
      </c>
      <c r="G1481" s="1" t="s">
        <v>36</v>
      </c>
      <c r="H1481" s="1" t="s">
        <v>12</v>
      </c>
      <c r="I1481" s="1" t="s">
        <v>58</v>
      </c>
      <c r="J1481" s="1" t="s">
        <v>105</v>
      </c>
      <c r="K1481" s="3">
        <v>1242.6300000000001</v>
      </c>
      <c r="L1481" s="1">
        <v>2</v>
      </c>
      <c r="M1481" s="1" t="s">
        <v>44</v>
      </c>
      <c r="N1481" s="3">
        <v>311.32</v>
      </c>
      <c r="O1481" s="1" t="s">
        <v>2252</v>
      </c>
      <c r="P1481" s="1" t="s">
        <v>2071</v>
      </c>
      <c r="Q1481" s="1" t="str">
        <f>TEXT((Data[[#This Row],[Order_Date]]), "mmm")</f>
        <v>Aug</v>
      </c>
    </row>
    <row r="1482" spans="4:17" x14ac:dyDescent="0.3">
      <c r="D1482" s="1" t="s">
        <v>1544</v>
      </c>
      <c r="E1482" s="2">
        <v>45494</v>
      </c>
      <c r="F1482" s="2">
        <v>45498</v>
      </c>
      <c r="G1482" s="1" t="s">
        <v>11</v>
      </c>
      <c r="H1482" s="1" t="s">
        <v>12</v>
      </c>
      <c r="I1482" s="1" t="s">
        <v>58</v>
      </c>
      <c r="J1482" s="1" t="s">
        <v>120</v>
      </c>
      <c r="K1482" s="3">
        <v>1081.75</v>
      </c>
      <c r="L1482" s="1">
        <v>15</v>
      </c>
      <c r="M1482" s="1" t="s">
        <v>44</v>
      </c>
      <c r="N1482" s="3">
        <v>182.92</v>
      </c>
      <c r="O1482" s="1" t="s">
        <v>2134</v>
      </c>
      <c r="P1482" s="1" t="s">
        <v>2071</v>
      </c>
      <c r="Q1482" s="1" t="str">
        <f>TEXT((Data[[#This Row],[Order_Date]]), "mmm")</f>
        <v>Jul</v>
      </c>
    </row>
    <row r="1483" spans="4:17" x14ac:dyDescent="0.3">
      <c r="D1483" s="1" t="s">
        <v>1545</v>
      </c>
      <c r="E1483" s="2">
        <v>45330</v>
      </c>
      <c r="F1483" s="2">
        <v>45334</v>
      </c>
      <c r="G1483" s="1" t="s">
        <v>31</v>
      </c>
      <c r="H1483" s="1" t="s">
        <v>17</v>
      </c>
      <c r="I1483" s="1" t="s">
        <v>32</v>
      </c>
      <c r="J1483" s="1" t="s">
        <v>33</v>
      </c>
      <c r="K1483" s="3">
        <v>3133.38</v>
      </c>
      <c r="L1483" s="1">
        <v>2</v>
      </c>
      <c r="M1483" s="1" t="s">
        <v>49</v>
      </c>
      <c r="N1483" s="3">
        <v>1086.22</v>
      </c>
      <c r="O1483" s="1" t="s">
        <v>2305</v>
      </c>
      <c r="P1483" s="1" t="s">
        <v>2078</v>
      </c>
      <c r="Q1483" s="1" t="str">
        <f>TEXT((Data[[#This Row],[Order_Date]]), "mmm")</f>
        <v>Feb</v>
      </c>
    </row>
    <row r="1484" spans="4:17" x14ac:dyDescent="0.3">
      <c r="D1484" s="1" t="s">
        <v>1546</v>
      </c>
      <c r="E1484" s="2">
        <v>45630</v>
      </c>
      <c r="F1484" s="2">
        <v>45634</v>
      </c>
      <c r="G1484" s="1" t="s">
        <v>11</v>
      </c>
      <c r="H1484" s="1" t="s">
        <v>17</v>
      </c>
      <c r="I1484" s="1" t="s">
        <v>27</v>
      </c>
      <c r="J1484" s="1" t="s">
        <v>110</v>
      </c>
      <c r="K1484" s="3">
        <v>914.64</v>
      </c>
      <c r="L1484" s="1">
        <v>7</v>
      </c>
      <c r="M1484" s="1" t="s">
        <v>20</v>
      </c>
      <c r="N1484" s="3">
        <v>-233.71</v>
      </c>
      <c r="O1484" s="1" t="s">
        <v>2111</v>
      </c>
      <c r="P1484" s="1" t="s">
        <v>2078</v>
      </c>
      <c r="Q1484" s="1" t="str">
        <f>TEXT((Data[[#This Row],[Order_Date]]), "mmm")</f>
        <v>Dec</v>
      </c>
    </row>
    <row r="1485" spans="4:17" x14ac:dyDescent="0.3">
      <c r="D1485" s="1" t="s">
        <v>1547</v>
      </c>
      <c r="E1485" s="2">
        <v>45623</v>
      </c>
      <c r="F1485" s="2">
        <v>45626</v>
      </c>
      <c r="G1485" s="1" t="s">
        <v>31</v>
      </c>
      <c r="H1485" s="1" t="s">
        <v>17</v>
      </c>
      <c r="I1485" s="1" t="s">
        <v>18</v>
      </c>
      <c r="J1485" s="1" t="s">
        <v>19</v>
      </c>
      <c r="K1485" s="3">
        <v>3741.56</v>
      </c>
      <c r="L1485" s="1">
        <v>9</v>
      </c>
      <c r="M1485" s="1" t="s">
        <v>44</v>
      </c>
      <c r="N1485" s="3">
        <v>925.05</v>
      </c>
      <c r="O1485" s="1" t="s">
        <v>2109</v>
      </c>
      <c r="P1485" s="1" t="s">
        <v>2071</v>
      </c>
      <c r="Q1485" s="1" t="str">
        <f>TEXT((Data[[#This Row],[Order_Date]]), "mmm")</f>
        <v>Nov</v>
      </c>
    </row>
    <row r="1486" spans="4:17" x14ac:dyDescent="0.3">
      <c r="D1486" s="1" t="s">
        <v>1548</v>
      </c>
      <c r="E1486" s="2">
        <v>45504</v>
      </c>
      <c r="F1486" s="2">
        <v>45506</v>
      </c>
      <c r="G1486" s="1" t="s">
        <v>31</v>
      </c>
      <c r="H1486" s="1" t="s">
        <v>17</v>
      </c>
      <c r="I1486" s="1" t="s">
        <v>32</v>
      </c>
      <c r="J1486" s="1" t="s">
        <v>56</v>
      </c>
      <c r="K1486" s="3">
        <v>1605.36</v>
      </c>
      <c r="L1486" s="1">
        <v>10</v>
      </c>
      <c r="M1486" s="1" t="s">
        <v>34</v>
      </c>
      <c r="N1486" s="3">
        <v>560.86</v>
      </c>
      <c r="O1486" s="1" t="s">
        <v>2109</v>
      </c>
      <c r="P1486" s="1" t="s">
        <v>2078</v>
      </c>
      <c r="Q1486" s="1" t="str">
        <f>TEXT((Data[[#This Row],[Order_Date]]), "mmm")</f>
        <v>Jul</v>
      </c>
    </row>
    <row r="1487" spans="4:17" x14ac:dyDescent="0.3">
      <c r="D1487" s="1" t="s">
        <v>1549</v>
      </c>
      <c r="E1487" s="2">
        <v>45619</v>
      </c>
      <c r="F1487" s="2">
        <v>45620</v>
      </c>
      <c r="G1487" s="1" t="s">
        <v>11</v>
      </c>
      <c r="H1487" s="1" t="s">
        <v>17</v>
      </c>
      <c r="I1487" s="1" t="s">
        <v>18</v>
      </c>
      <c r="J1487" s="1" t="s">
        <v>19</v>
      </c>
      <c r="K1487" s="3">
        <v>3825.95</v>
      </c>
      <c r="L1487" s="1">
        <v>3</v>
      </c>
      <c r="M1487" s="1" t="s">
        <v>34</v>
      </c>
      <c r="N1487" s="3">
        <v>-1299.07</v>
      </c>
      <c r="O1487" s="1" t="s">
        <v>2256</v>
      </c>
      <c r="P1487" s="1" t="s">
        <v>2076</v>
      </c>
      <c r="Q1487" s="1" t="str">
        <f>TEXT((Data[[#This Row],[Order_Date]]), "mmm")</f>
        <v>Nov</v>
      </c>
    </row>
    <row r="1488" spans="4:17" x14ac:dyDescent="0.3">
      <c r="D1488" s="1" t="s">
        <v>1550</v>
      </c>
      <c r="E1488" s="2">
        <v>45523</v>
      </c>
      <c r="F1488" s="2">
        <v>45528</v>
      </c>
      <c r="G1488" s="1" t="s">
        <v>11</v>
      </c>
      <c r="H1488" s="1" t="s">
        <v>12</v>
      </c>
      <c r="I1488" s="1" t="s">
        <v>42</v>
      </c>
      <c r="J1488" s="1" t="s">
        <v>48</v>
      </c>
      <c r="K1488" s="3">
        <v>2054.66</v>
      </c>
      <c r="L1488" s="1">
        <v>20</v>
      </c>
      <c r="M1488" s="1" t="s">
        <v>34</v>
      </c>
      <c r="N1488" s="3">
        <v>586.91</v>
      </c>
      <c r="O1488" s="1" t="s">
        <v>2084</v>
      </c>
      <c r="P1488" s="1" t="s">
        <v>2071</v>
      </c>
      <c r="Q1488" s="1" t="str">
        <f>TEXT((Data[[#This Row],[Order_Date]]), "mmm")</f>
        <v>Aug</v>
      </c>
    </row>
    <row r="1489" spans="4:17" x14ac:dyDescent="0.3">
      <c r="D1489" s="1" t="s">
        <v>1551</v>
      </c>
      <c r="E1489" s="2">
        <v>45339</v>
      </c>
      <c r="F1489" s="2">
        <v>45344</v>
      </c>
      <c r="G1489" s="1" t="s">
        <v>22</v>
      </c>
      <c r="H1489" s="1" t="s">
        <v>23</v>
      </c>
      <c r="I1489" s="1" t="s">
        <v>78</v>
      </c>
      <c r="J1489" s="1" t="s">
        <v>79</v>
      </c>
      <c r="K1489" s="3">
        <v>2969.93</v>
      </c>
      <c r="L1489" s="1">
        <v>20</v>
      </c>
      <c r="M1489" s="1" t="s">
        <v>20</v>
      </c>
      <c r="N1489" s="3">
        <v>1032.46</v>
      </c>
      <c r="O1489" s="1" t="s">
        <v>2114</v>
      </c>
      <c r="P1489" s="1" t="s">
        <v>2078</v>
      </c>
      <c r="Q1489" s="1" t="str">
        <f>TEXT((Data[[#This Row],[Order_Date]]), "mmm")</f>
        <v>Feb</v>
      </c>
    </row>
    <row r="1490" spans="4:17" x14ac:dyDescent="0.3">
      <c r="D1490" s="1" t="s">
        <v>1552</v>
      </c>
      <c r="E1490" s="2">
        <v>45467</v>
      </c>
      <c r="F1490" s="2">
        <v>45469</v>
      </c>
      <c r="G1490" s="1" t="s">
        <v>22</v>
      </c>
      <c r="H1490" s="1" t="s">
        <v>23</v>
      </c>
      <c r="I1490" s="1" t="s">
        <v>24</v>
      </c>
      <c r="J1490" s="1" t="s">
        <v>25</v>
      </c>
      <c r="K1490" s="3">
        <v>1525.68</v>
      </c>
      <c r="L1490" s="1">
        <v>13</v>
      </c>
      <c r="M1490" s="1" t="s">
        <v>49</v>
      </c>
      <c r="N1490" s="3">
        <v>123.69</v>
      </c>
      <c r="O1490" s="1" t="s">
        <v>2133</v>
      </c>
      <c r="P1490" s="1" t="s">
        <v>2076</v>
      </c>
      <c r="Q1490" s="1" t="str">
        <f>TEXT((Data[[#This Row],[Order_Date]]), "mmm")</f>
        <v>Jun</v>
      </c>
    </row>
    <row r="1491" spans="4:17" x14ac:dyDescent="0.3">
      <c r="D1491" s="1" t="s">
        <v>1553</v>
      </c>
      <c r="E1491" s="2">
        <v>45498</v>
      </c>
      <c r="F1491" s="2">
        <v>45501</v>
      </c>
      <c r="G1491" s="1" t="s">
        <v>22</v>
      </c>
      <c r="H1491" s="1" t="s">
        <v>17</v>
      </c>
      <c r="I1491" s="1" t="s">
        <v>32</v>
      </c>
      <c r="J1491" s="1" t="s">
        <v>33</v>
      </c>
      <c r="K1491" s="3">
        <v>3150.49</v>
      </c>
      <c r="L1491" s="1">
        <v>3</v>
      </c>
      <c r="M1491" s="1" t="s">
        <v>15</v>
      </c>
      <c r="N1491" s="3">
        <v>371.84</v>
      </c>
      <c r="O1491" s="1" t="s">
        <v>2292</v>
      </c>
      <c r="P1491" s="1" t="s">
        <v>2078</v>
      </c>
      <c r="Q1491" s="1" t="str">
        <f>TEXT((Data[[#This Row],[Order_Date]]), "mmm")</f>
        <v>Jul</v>
      </c>
    </row>
    <row r="1492" spans="4:17" x14ac:dyDescent="0.3">
      <c r="D1492" s="1" t="s">
        <v>1554</v>
      </c>
      <c r="E1492" s="2">
        <v>45545</v>
      </c>
      <c r="F1492" s="2">
        <v>45552</v>
      </c>
      <c r="G1492" s="1" t="s">
        <v>31</v>
      </c>
      <c r="H1492" s="1" t="s">
        <v>23</v>
      </c>
      <c r="I1492" s="1" t="s">
        <v>24</v>
      </c>
      <c r="J1492" s="1" t="s">
        <v>25</v>
      </c>
      <c r="K1492" s="3">
        <v>3624.89</v>
      </c>
      <c r="L1492" s="1">
        <v>2</v>
      </c>
      <c r="M1492" s="1" t="s">
        <v>49</v>
      </c>
      <c r="N1492" s="3">
        <v>385.78</v>
      </c>
      <c r="O1492" s="1" t="s">
        <v>2074</v>
      </c>
      <c r="P1492" s="1" t="s">
        <v>2076</v>
      </c>
      <c r="Q1492" s="1" t="str">
        <f>TEXT((Data[[#This Row],[Order_Date]]), "mmm")</f>
        <v>Sep</v>
      </c>
    </row>
    <row r="1493" spans="4:17" x14ac:dyDescent="0.3">
      <c r="D1493" s="1" t="s">
        <v>1555</v>
      </c>
      <c r="E1493" s="2">
        <v>45300</v>
      </c>
      <c r="F1493" s="2">
        <v>45305</v>
      </c>
      <c r="G1493" s="1" t="s">
        <v>36</v>
      </c>
      <c r="H1493" s="1" t="s">
        <v>23</v>
      </c>
      <c r="I1493" s="1" t="s">
        <v>61</v>
      </c>
      <c r="J1493" s="1" t="s">
        <v>98</v>
      </c>
      <c r="K1493" s="3">
        <v>3482.53</v>
      </c>
      <c r="L1493" s="1">
        <v>3</v>
      </c>
      <c r="M1493" s="1" t="s">
        <v>44</v>
      </c>
      <c r="N1493" s="3">
        <v>1054.8800000000001</v>
      </c>
      <c r="O1493" s="1" t="s">
        <v>2122</v>
      </c>
      <c r="P1493" s="1" t="s">
        <v>2076</v>
      </c>
      <c r="Q1493" s="1" t="str">
        <f>TEXT((Data[[#This Row],[Order_Date]]), "mmm")</f>
        <v>Jan</v>
      </c>
    </row>
    <row r="1494" spans="4:17" x14ac:dyDescent="0.3">
      <c r="D1494" s="1" t="s">
        <v>1556</v>
      </c>
      <c r="E1494" s="2">
        <v>45579</v>
      </c>
      <c r="F1494" s="2">
        <v>45580</v>
      </c>
      <c r="G1494" s="1" t="s">
        <v>22</v>
      </c>
      <c r="H1494" s="1" t="s">
        <v>23</v>
      </c>
      <c r="I1494" s="1" t="s">
        <v>65</v>
      </c>
      <c r="J1494" s="1" t="s">
        <v>122</v>
      </c>
      <c r="K1494" s="3">
        <v>3985.51</v>
      </c>
      <c r="L1494" s="1">
        <v>11</v>
      </c>
      <c r="M1494" s="1" t="s">
        <v>20</v>
      </c>
      <c r="N1494" s="3">
        <v>-946.49</v>
      </c>
      <c r="O1494" s="1" t="s">
        <v>2125</v>
      </c>
      <c r="P1494" s="1" t="s">
        <v>2076</v>
      </c>
      <c r="Q1494" s="1" t="str">
        <f>TEXT((Data[[#This Row],[Order_Date]]), "mmm")</f>
        <v>Oct</v>
      </c>
    </row>
    <row r="1495" spans="4:17" x14ac:dyDescent="0.3">
      <c r="D1495" s="1" t="s">
        <v>1557</v>
      </c>
      <c r="E1495" s="2">
        <v>45618</v>
      </c>
      <c r="F1495" s="2">
        <v>45623</v>
      </c>
      <c r="G1495" s="1" t="s">
        <v>22</v>
      </c>
      <c r="H1495" s="1" t="s">
        <v>23</v>
      </c>
      <c r="I1495" s="1" t="s">
        <v>65</v>
      </c>
      <c r="J1495" s="1" t="s">
        <v>114</v>
      </c>
      <c r="K1495" s="3">
        <v>396.02</v>
      </c>
      <c r="L1495" s="1">
        <v>4</v>
      </c>
      <c r="M1495" s="1" t="s">
        <v>20</v>
      </c>
      <c r="N1495" s="3">
        <v>131.37</v>
      </c>
      <c r="O1495" s="1" t="s">
        <v>2131</v>
      </c>
      <c r="P1495" s="1" t="s">
        <v>2071</v>
      </c>
      <c r="Q1495" s="1" t="str">
        <f>TEXT((Data[[#This Row],[Order_Date]]), "mmm")</f>
        <v>Nov</v>
      </c>
    </row>
    <row r="1496" spans="4:17" x14ac:dyDescent="0.3">
      <c r="D1496" s="1" t="s">
        <v>1558</v>
      </c>
      <c r="E1496" s="2">
        <v>45362</v>
      </c>
      <c r="F1496" s="2">
        <v>45366</v>
      </c>
      <c r="G1496" s="1" t="s">
        <v>31</v>
      </c>
      <c r="H1496" s="1" t="s">
        <v>17</v>
      </c>
      <c r="I1496" s="1" t="s">
        <v>27</v>
      </c>
      <c r="J1496" s="1" t="s">
        <v>110</v>
      </c>
      <c r="K1496" s="3">
        <v>3436.51</v>
      </c>
      <c r="L1496" s="1">
        <v>3</v>
      </c>
      <c r="M1496" s="1" t="s">
        <v>29</v>
      </c>
      <c r="N1496" s="3">
        <v>546.87</v>
      </c>
      <c r="O1496" s="1" t="s">
        <v>2111</v>
      </c>
      <c r="P1496" s="1" t="s">
        <v>2078</v>
      </c>
      <c r="Q1496" s="1" t="str">
        <f>TEXT((Data[[#This Row],[Order_Date]]), "mmm")</f>
        <v>Mar</v>
      </c>
    </row>
    <row r="1497" spans="4:17" x14ac:dyDescent="0.3">
      <c r="D1497" s="1" t="s">
        <v>1559</v>
      </c>
      <c r="E1497" s="2">
        <v>45445</v>
      </c>
      <c r="F1497" s="2">
        <v>45451</v>
      </c>
      <c r="G1497" s="1" t="s">
        <v>11</v>
      </c>
      <c r="H1497" s="1" t="s">
        <v>17</v>
      </c>
      <c r="I1497" s="1" t="s">
        <v>27</v>
      </c>
      <c r="J1497" s="1" t="s">
        <v>110</v>
      </c>
      <c r="K1497" s="3">
        <v>942.91</v>
      </c>
      <c r="L1497" s="1">
        <v>3</v>
      </c>
      <c r="M1497" s="1" t="s">
        <v>44</v>
      </c>
      <c r="N1497" s="3">
        <v>310.62</v>
      </c>
      <c r="O1497" s="1" t="s">
        <v>2295</v>
      </c>
      <c r="P1497" s="1" t="s">
        <v>2076</v>
      </c>
      <c r="Q1497" s="1" t="str">
        <f>TEXT((Data[[#This Row],[Order_Date]]), "mmm")</f>
        <v>Jun</v>
      </c>
    </row>
    <row r="1498" spans="4:17" x14ac:dyDescent="0.3">
      <c r="D1498" s="1" t="s">
        <v>1560</v>
      </c>
      <c r="E1498" s="2">
        <v>45343</v>
      </c>
      <c r="F1498" s="2">
        <v>45348</v>
      </c>
      <c r="G1498" s="1" t="s">
        <v>11</v>
      </c>
      <c r="H1498" s="1" t="s">
        <v>17</v>
      </c>
      <c r="I1498" s="1" t="s">
        <v>27</v>
      </c>
      <c r="J1498" s="1" t="s">
        <v>110</v>
      </c>
      <c r="K1498" s="3">
        <v>1443.67</v>
      </c>
      <c r="L1498" s="1">
        <v>4</v>
      </c>
      <c r="M1498" s="1" t="s">
        <v>44</v>
      </c>
      <c r="N1498" s="3">
        <v>321.83</v>
      </c>
      <c r="O1498" s="1" t="s">
        <v>2238</v>
      </c>
      <c r="P1498" s="1" t="s">
        <v>2078</v>
      </c>
      <c r="Q1498" s="1" t="str">
        <f>TEXT((Data[[#This Row],[Order_Date]]), "mmm")</f>
        <v>Feb</v>
      </c>
    </row>
    <row r="1499" spans="4:17" x14ac:dyDescent="0.3">
      <c r="D1499" s="1" t="s">
        <v>1561</v>
      </c>
      <c r="E1499" s="2">
        <v>45332</v>
      </c>
      <c r="F1499" s="2">
        <v>45335</v>
      </c>
      <c r="G1499" s="1" t="s">
        <v>11</v>
      </c>
      <c r="H1499" s="1" t="s">
        <v>23</v>
      </c>
      <c r="I1499" s="1" t="s">
        <v>24</v>
      </c>
      <c r="J1499" s="1" t="s">
        <v>150</v>
      </c>
      <c r="K1499" s="3">
        <v>3080.65</v>
      </c>
      <c r="L1499" s="1">
        <v>3</v>
      </c>
      <c r="M1499" s="1" t="s">
        <v>15</v>
      </c>
      <c r="N1499" s="3">
        <v>661.36</v>
      </c>
      <c r="O1499" s="1" t="s">
        <v>2210</v>
      </c>
      <c r="P1499" s="1" t="s">
        <v>2076</v>
      </c>
      <c r="Q1499" s="1" t="str">
        <f>TEXT((Data[[#This Row],[Order_Date]]), "mmm")</f>
        <v>Feb</v>
      </c>
    </row>
    <row r="1500" spans="4:17" x14ac:dyDescent="0.3">
      <c r="D1500" s="1" t="s">
        <v>1562</v>
      </c>
      <c r="E1500" s="2">
        <v>45645</v>
      </c>
      <c r="F1500" s="2">
        <v>45649</v>
      </c>
      <c r="G1500" s="1" t="s">
        <v>36</v>
      </c>
      <c r="H1500" s="1" t="s">
        <v>17</v>
      </c>
      <c r="I1500" s="1" t="s">
        <v>27</v>
      </c>
      <c r="J1500" s="1" t="s">
        <v>28</v>
      </c>
      <c r="K1500" s="3">
        <v>1419.6</v>
      </c>
      <c r="L1500" s="1">
        <v>14</v>
      </c>
      <c r="M1500" s="1" t="s">
        <v>20</v>
      </c>
      <c r="N1500" s="3">
        <v>351.17</v>
      </c>
      <c r="O1500" s="1" t="s">
        <v>2147</v>
      </c>
      <c r="P1500" s="1" t="s">
        <v>2071</v>
      </c>
      <c r="Q1500" s="1" t="str">
        <f>TEXT((Data[[#This Row],[Order_Date]]), "mmm")</f>
        <v>Dec</v>
      </c>
    </row>
    <row r="1501" spans="4:17" x14ac:dyDescent="0.3">
      <c r="D1501" s="1" t="s">
        <v>1563</v>
      </c>
      <c r="E1501" s="2">
        <v>45318</v>
      </c>
      <c r="F1501" s="2">
        <v>45320</v>
      </c>
      <c r="G1501" s="1" t="s">
        <v>11</v>
      </c>
      <c r="H1501" s="1" t="s">
        <v>17</v>
      </c>
      <c r="I1501" s="1" t="s">
        <v>32</v>
      </c>
      <c r="J1501" s="1" t="s">
        <v>56</v>
      </c>
      <c r="K1501" s="3">
        <v>650.61</v>
      </c>
      <c r="L1501" s="1">
        <v>16</v>
      </c>
      <c r="M1501" s="1" t="s">
        <v>20</v>
      </c>
      <c r="N1501" s="3">
        <v>124.11</v>
      </c>
      <c r="O1501" s="1" t="s">
        <v>2070</v>
      </c>
      <c r="P1501" s="1" t="s">
        <v>2071</v>
      </c>
      <c r="Q1501" s="1" t="str">
        <f>TEXT((Data[[#This Row],[Order_Date]]), "mmm")</f>
        <v>Jan</v>
      </c>
    </row>
    <row r="1502" spans="4:17" x14ac:dyDescent="0.3">
      <c r="D1502" s="1" t="s">
        <v>1564</v>
      </c>
      <c r="E1502" s="2">
        <v>45569</v>
      </c>
      <c r="F1502" s="2">
        <v>45570</v>
      </c>
      <c r="G1502" s="1" t="s">
        <v>36</v>
      </c>
      <c r="H1502" s="1" t="s">
        <v>17</v>
      </c>
      <c r="I1502" s="1" t="s">
        <v>32</v>
      </c>
      <c r="J1502" s="1" t="s">
        <v>56</v>
      </c>
      <c r="K1502" s="3">
        <v>557.53</v>
      </c>
      <c r="L1502" s="1">
        <v>6</v>
      </c>
      <c r="M1502" s="1" t="s">
        <v>44</v>
      </c>
      <c r="N1502" s="3">
        <v>136.34</v>
      </c>
      <c r="O1502" s="1" t="s">
        <v>2203</v>
      </c>
      <c r="P1502" s="1" t="s">
        <v>2076</v>
      </c>
      <c r="Q1502" s="1" t="str">
        <f>TEXT((Data[[#This Row],[Order_Date]]), "mmm")</f>
        <v>Oct</v>
      </c>
    </row>
    <row r="1503" spans="4:17" x14ac:dyDescent="0.3">
      <c r="D1503" s="1" t="s">
        <v>1565</v>
      </c>
      <c r="E1503" s="2">
        <v>45345</v>
      </c>
      <c r="F1503" s="2">
        <v>45345</v>
      </c>
      <c r="G1503" s="1" t="s">
        <v>31</v>
      </c>
      <c r="H1503" s="1" t="s">
        <v>17</v>
      </c>
      <c r="I1503" s="1" t="s">
        <v>32</v>
      </c>
      <c r="J1503" s="1" t="s">
        <v>56</v>
      </c>
      <c r="K1503" s="3">
        <v>885.14</v>
      </c>
      <c r="L1503" s="1">
        <v>17</v>
      </c>
      <c r="M1503" s="1" t="s">
        <v>44</v>
      </c>
      <c r="N1503" s="3">
        <v>-307.05</v>
      </c>
      <c r="O1503" s="1" t="s">
        <v>2180</v>
      </c>
      <c r="P1503" s="1" t="s">
        <v>2076</v>
      </c>
      <c r="Q1503" s="1" t="str">
        <f>TEXT((Data[[#This Row],[Order_Date]]), "mmm")</f>
        <v>Feb</v>
      </c>
    </row>
    <row r="1504" spans="4:17" x14ac:dyDescent="0.3">
      <c r="D1504" s="1" t="s">
        <v>1566</v>
      </c>
      <c r="E1504" s="2">
        <v>45559</v>
      </c>
      <c r="F1504" s="2">
        <v>45563</v>
      </c>
      <c r="G1504" s="1" t="s">
        <v>22</v>
      </c>
      <c r="H1504" s="1" t="s">
        <v>23</v>
      </c>
      <c r="I1504" s="1" t="s">
        <v>78</v>
      </c>
      <c r="J1504" s="1" t="s">
        <v>118</v>
      </c>
      <c r="K1504" s="3">
        <v>1861.46</v>
      </c>
      <c r="L1504" s="1">
        <v>20</v>
      </c>
      <c r="M1504" s="1" t="s">
        <v>15</v>
      </c>
      <c r="N1504" s="3">
        <v>309.99</v>
      </c>
      <c r="O1504" s="1" t="s">
        <v>2099</v>
      </c>
      <c r="P1504" s="1" t="s">
        <v>2076</v>
      </c>
      <c r="Q1504" s="1" t="str">
        <f>TEXT((Data[[#This Row],[Order_Date]]), "mmm")</f>
        <v>Sep</v>
      </c>
    </row>
    <row r="1505" spans="4:17" x14ac:dyDescent="0.3">
      <c r="D1505" s="1" t="s">
        <v>1567</v>
      </c>
      <c r="E1505" s="2">
        <v>45441</v>
      </c>
      <c r="F1505" s="2">
        <v>45446</v>
      </c>
      <c r="G1505" s="1" t="s">
        <v>22</v>
      </c>
      <c r="H1505" s="1" t="s">
        <v>23</v>
      </c>
      <c r="I1505" s="1" t="s">
        <v>65</v>
      </c>
      <c r="J1505" s="1" t="s">
        <v>122</v>
      </c>
      <c r="K1505" s="3">
        <v>1328.74</v>
      </c>
      <c r="L1505" s="1">
        <v>8</v>
      </c>
      <c r="M1505" s="1" t="s">
        <v>29</v>
      </c>
      <c r="N1505" s="3">
        <v>-407.71</v>
      </c>
      <c r="O1505" s="1" t="s">
        <v>2199</v>
      </c>
      <c r="P1505" s="1" t="s">
        <v>2076</v>
      </c>
      <c r="Q1505" s="1" t="str">
        <f>TEXT((Data[[#This Row],[Order_Date]]), "mmm")</f>
        <v>May</v>
      </c>
    </row>
    <row r="1506" spans="4:17" x14ac:dyDescent="0.3">
      <c r="D1506" s="1" t="s">
        <v>1568</v>
      </c>
      <c r="E1506" s="2">
        <v>45507</v>
      </c>
      <c r="F1506" s="2">
        <v>45511</v>
      </c>
      <c r="G1506" s="1" t="s">
        <v>31</v>
      </c>
      <c r="H1506" s="1" t="s">
        <v>17</v>
      </c>
      <c r="I1506" s="1" t="s">
        <v>18</v>
      </c>
      <c r="J1506" s="1" t="s">
        <v>54</v>
      </c>
      <c r="K1506" s="3">
        <v>2465.27</v>
      </c>
      <c r="L1506" s="1">
        <v>9</v>
      </c>
      <c r="M1506" s="1" t="s">
        <v>15</v>
      </c>
      <c r="N1506" s="3">
        <v>218.07</v>
      </c>
      <c r="O1506" s="1" t="s">
        <v>2190</v>
      </c>
      <c r="P1506" s="1" t="s">
        <v>2071</v>
      </c>
      <c r="Q1506" s="1" t="str">
        <f>TEXT((Data[[#This Row],[Order_Date]]), "mmm")</f>
        <v>Aug</v>
      </c>
    </row>
    <row r="1507" spans="4:17" x14ac:dyDescent="0.3">
      <c r="D1507" s="1" t="s">
        <v>1569</v>
      </c>
      <c r="E1507" s="2">
        <v>45620</v>
      </c>
      <c r="F1507" s="2">
        <v>45621</v>
      </c>
      <c r="G1507" s="1" t="s">
        <v>22</v>
      </c>
      <c r="H1507" s="1" t="s">
        <v>17</v>
      </c>
      <c r="I1507" s="1" t="s">
        <v>32</v>
      </c>
      <c r="J1507" s="1" t="s">
        <v>56</v>
      </c>
      <c r="K1507" s="3">
        <v>1115.71</v>
      </c>
      <c r="L1507" s="1">
        <v>8</v>
      </c>
      <c r="M1507" s="1" t="s">
        <v>15</v>
      </c>
      <c r="N1507" s="3">
        <v>-71.37</v>
      </c>
      <c r="O1507" s="1" t="s">
        <v>2146</v>
      </c>
      <c r="P1507" s="1" t="s">
        <v>2076</v>
      </c>
      <c r="Q1507" s="1" t="str">
        <f>TEXT((Data[[#This Row],[Order_Date]]), "mmm")</f>
        <v>Nov</v>
      </c>
    </row>
    <row r="1508" spans="4:17" x14ac:dyDescent="0.3">
      <c r="D1508" s="1" t="s">
        <v>1570</v>
      </c>
      <c r="E1508" s="2">
        <v>45494</v>
      </c>
      <c r="F1508" s="2">
        <v>45496</v>
      </c>
      <c r="G1508" s="1" t="s">
        <v>22</v>
      </c>
      <c r="H1508" s="1" t="s">
        <v>23</v>
      </c>
      <c r="I1508" s="1" t="s">
        <v>61</v>
      </c>
      <c r="J1508" s="1" t="s">
        <v>62</v>
      </c>
      <c r="K1508" s="3">
        <v>260.57</v>
      </c>
      <c r="L1508" s="1">
        <v>7</v>
      </c>
      <c r="M1508" s="1" t="s">
        <v>15</v>
      </c>
      <c r="N1508" s="3">
        <v>21.69</v>
      </c>
      <c r="O1508" s="1" t="s">
        <v>2202</v>
      </c>
      <c r="P1508" s="1" t="s">
        <v>2071</v>
      </c>
      <c r="Q1508" s="1" t="str">
        <f>TEXT((Data[[#This Row],[Order_Date]]), "mmm")</f>
        <v>Jul</v>
      </c>
    </row>
    <row r="1509" spans="4:17" x14ac:dyDescent="0.3">
      <c r="D1509" s="1" t="s">
        <v>1571</v>
      </c>
      <c r="E1509" s="2">
        <v>45503</v>
      </c>
      <c r="F1509" s="2">
        <v>45504</v>
      </c>
      <c r="G1509" s="1" t="s">
        <v>36</v>
      </c>
      <c r="H1509" s="1" t="s">
        <v>17</v>
      </c>
      <c r="I1509" s="1" t="s">
        <v>27</v>
      </c>
      <c r="J1509" s="1" t="s">
        <v>132</v>
      </c>
      <c r="K1509" s="3">
        <v>801.2</v>
      </c>
      <c r="L1509" s="1">
        <v>4</v>
      </c>
      <c r="M1509" s="1" t="s">
        <v>34</v>
      </c>
      <c r="N1509" s="3">
        <v>118.2</v>
      </c>
      <c r="O1509" s="1" t="s">
        <v>2168</v>
      </c>
      <c r="P1509" s="1" t="s">
        <v>2071</v>
      </c>
      <c r="Q1509" s="1" t="str">
        <f>TEXT((Data[[#This Row],[Order_Date]]), "mmm")</f>
        <v>Jul</v>
      </c>
    </row>
    <row r="1510" spans="4:17" x14ac:dyDescent="0.3">
      <c r="D1510" s="1" t="s">
        <v>1572</v>
      </c>
      <c r="E1510" s="2">
        <v>45629</v>
      </c>
      <c r="F1510" s="2">
        <v>45633</v>
      </c>
      <c r="G1510" s="1" t="s">
        <v>31</v>
      </c>
      <c r="H1510" s="1" t="s">
        <v>12</v>
      </c>
      <c r="I1510" s="1" t="s">
        <v>58</v>
      </c>
      <c r="J1510" s="1" t="s">
        <v>59</v>
      </c>
      <c r="K1510" s="3">
        <v>797.18</v>
      </c>
      <c r="L1510" s="1">
        <v>13</v>
      </c>
      <c r="M1510" s="1" t="s">
        <v>34</v>
      </c>
      <c r="N1510" s="3">
        <v>84.82</v>
      </c>
      <c r="O1510" s="1" t="s">
        <v>2180</v>
      </c>
      <c r="P1510" s="1" t="s">
        <v>2071</v>
      </c>
      <c r="Q1510" s="1" t="str">
        <f>TEXT((Data[[#This Row],[Order_Date]]), "mmm")</f>
        <v>Dec</v>
      </c>
    </row>
    <row r="1511" spans="4:17" x14ac:dyDescent="0.3">
      <c r="D1511" s="1" t="s">
        <v>1573</v>
      </c>
      <c r="E1511" s="2">
        <v>45631</v>
      </c>
      <c r="F1511" s="2">
        <v>45634</v>
      </c>
      <c r="G1511" s="1" t="s">
        <v>31</v>
      </c>
      <c r="H1511" s="1" t="s">
        <v>23</v>
      </c>
      <c r="I1511" s="1" t="s">
        <v>24</v>
      </c>
      <c r="J1511" s="1" t="s">
        <v>93</v>
      </c>
      <c r="K1511" s="3">
        <v>433.5</v>
      </c>
      <c r="L1511" s="1">
        <v>1</v>
      </c>
      <c r="M1511" s="1" t="s">
        <v>49</v>
      </c>
      <c r="N1511" s="3">
        <v>-81.96</v>
      </c>
      <c r="O1511" s="1" t="s">
        <v>2242</v>
      </c>
      <c r="P1511" s="1" t="s">
        <v>2078</v>
      </c>
      <c r="Q1511" s="1" t="str">
        <f>TEXT((Data[[#This Row],[Order_Date]]), "mmm")</f>
        <v>Dec</v>
      </c>
    </row>
    <row r="1512" spans="4:17" x14ac:dyDescent="0.3">
      <c r="D1512" s="1" t="s">
        <v>1574</v>
      </c>
      <c r="E1512" s="2">
        <v>45322</v>
      </c>
      <c r="F1512" s="2">
        <v>45329</v>
      </c>
      <c r="G1512" s="1" t="s">
        <v>36</v>
      </c>
      <c r="H1512" s="1" t="s">
        <v>17</v>
      </c>
      <c r="I1512" s="1" t="s">
        <v>27</v>
      </c>
      <c r="J1512" s="1" t="s">
        <v>28</v>
      </c>
      <c r="K1512" s="3">
        <v>3554.9</v>
      </c>
      <c r="L1512" s="1">
        <v>5</v>
      </c>
      <c r="M1512" s="1" t="s">
        <v>34</v>
      </c>
      <c r="N1512" s="3">
        <v>475.64</v>
      </c>
      <c r="O1512" s="1" t="s">
        <v>2301</v>
      </c>
      <c r="P1512" s="1" t="s">
        <v>2076</v>
      </c>
      <c r="Q1512" s="1" t="str">
        <f>TEXT((Data[[#This Row],[Order_Date]]), "mmm")</f>
        <v>Jan</v>
      </c>
    </row>
    <row r="1513" spans="4:17" x14ac:dyDescent="0.3">
      <c r="D1513" s="1" t="s">
        <v>1575</v>
      </c>
      <c r="E1513" s="2">
        <v>45299</v>
      </c>
      <c r="F1513" s="2">
        <v>45306</v>
      </c>
      <c r="G1513" s="1" t="s">
        <v>11</v>
      </c>
      <c r="H1513" s="1" t="s">
        <v>12</v>
      </c>
      <c r="I1513" s="1" t="s">
        <v>42</v>
      </c>
      <c r="J1513" s="1" t="s">
        <v>46</v>
      </c>
      <c r="K1513" s="3">
        <v>1386.98</v>
      </c>
      <c r="L1513" s="1">
        <v>8</v>
      </c>
      <c r="M1513" s="1" t="s">
        <v>49</v>
      </c>
      <c r="N1513" s="3">
        <v>152.94999999999999</v>
      </c>
      <c r="O1513" s="1" t="s">
        <v>2155</v>
      </c>
      <c r="P1513" s="1" t="s">
        <v>2071</v>
      </c>
      <c r="Q1513" s="1" t="str">
        <f>TEXT((Data[[#This Row],[Order_Date]]), "mmm")</f>
        <v>Jan</v>
      </c>
    </row>
    <row r="1514" spans="4:17" x14ac:dyDescent="0.3">
      <c r="D1514" s="1" t="s">
        <v>1576</v>
      </c>
      <c r="E1514" s="2">
        <v>45536</v>
      </c>
      <c r="F1514" s="2">
        <v>45542</v>
      </c>
      <c r="G1514" s="1" t="s">
        <v>36</v>
      </c>
      <c r="H1514" s="1" t="s">
        <v>17</v>
      </c>
      <c r="I1514" s="1" t="s">
        <v>27</v>
      </c>
      <c r="J1514" s="1" t="s">
        <v>132</v>
      </c>
      <c r="K1514" s="3">
        <v>1892.98</v>
      </c>
      <c r="L1514" s="1">
        <v>5</v>
      </c>
      <c r="M1514" s="1" t="s">
        <v>20</v>
      </c>
      <c r="N1514" s="3">
        <v>538.17999999999995</v>
      </c>
      <c r="O1514" s="1" t="s">
        <v>2074</v>
      </c>
      <c r="P1514" s="1" t="s">
        <v>2078</v>
      </c>
      <c r="Q1514" s="1" t="str">
        <f>TEXT((Data[[#This Row],[Order_Date]]), "mmm")</f>
        <v>Sep</v>
      </c>
    </row>
    <row r="1515" spans="4:17" x14ac:dyDescent="0.3">
      <c r="D1515" s="1" t="s">
        <v>1577</v>
      </c>
      <c r="E1515" s="2">
        <v>45488</v>
      </c>
      <c r="F1515" s="2">
        <v>45491</v>
      </c>
      <c r="G1515" s="1" t="s">
        <v>22</v>
      </c>
      <c r="H1515" s="1" t="s">
        <v>17</v>
      </c>
      <c r="I1515" s="1" t="s">
        <v>27</v>
      </c>
      <c r="J1515" s="1" t="s">
        <v>110</v>
      </c>
      <c r="K1515" s="3">
        <v>2207.61</v>
      </c>
      <c r="L1515" s="1">
        <v>4</v>
      </c>
      <c r="M1515" s="1" t="s">
        <v>34</v>
      </c>
      <c r="N1515" s="3">
        <v>681.27</v>
      </c>
      <c r="O1515" s="1" t="s">
        <v>2191</v>
      </c>
      <c r="P1515" s="1" t="s">
        <v>2078</v>
      </c>
      <c r="Q1515" s="1" t="str">
        <f>TEXT((Data[[#This Row],[Order_Date]]), "mmm")</f>
        <v>Jul</v>
      </c>
    </row>
    <row r="1516" spans="4:17" x14ac:dyDescent="0.3">
      <c r="D1516" s="1" t="s">
        <v>1578</v>
      </c>
      <c r="E1516" s="2">
        <v>45450</v>
      </c>
      <c r="F1516" s="2">
        <v>45456</v>
      </c>
      <c r="G1516" s="1" t="s">
        <v>11</v>
      </c>
      <c r="H1516" s="1" t="s">
        <v>17</v>
      </c>
      <c r="I1516" s="1" t="s">
        <v>32</v>
      </c>
      <c r="J1516" s="1" t="s">
        <v>56</v>
      </c>
      <c r="K1516" s="3">
        <v>1154.5999999999999</v>
      </c>
      <c r="L1516" s="1">
        <v>10</v>
      </c>
      <c r="M1516" s="1" t="s">
        <v>34</v>
      </c>
      <c r="N1516" s="3">
        <v>338.2</v>
      </c>
      <c r="O1516" s="1" t="s">
        <v>2085</v>
      </c>
      <c r="P1516" s="1" t="s">
        <v>2078</v>
      </c>
      <c r="Q1516" s="1" t="str">
        <f>TEXT((Data[[#This Row],[Order_Date]]), "mmm")</f>
        <v>Jun</v>
      </c>
    </row>
    <row r="1517" spans="4:17" x14ac:dyDescent="0.3">
      <c r="D1517" s="1" t="s">
        <v>1579</v>
      </c>
      <c r="E1517" s="2">
        <v>45634</v>
      </c>
      <c r="F1517" s="2">
        <v>45636</v>
      </c>
      <c r="G1517" s="1" t="s">
        <v>31</v>
      </c>
      <c r="H1517" s="1" t="s">
        <v>12</v>
      </c>
      <c r="I1517" s="1" t="s">
        <v>38</v>
      </c>
      <c r="J1517" s="1" t="s">
        <v>81</v>
      </c>
      <c r="K1517" s="3">
        <v>3844.83</v>
      </c>
      <c r="L1517" s="1">
        <v>11</v>
      </c>
      <c r="M1517" s="1" t="s">
        <v>15</v>
      </c>
      <c r="N1517" s="3">
        <v>1080.04</v>
      </c>
      <c r="O1517" s="1" t="s">
        <v>2121</v>
      </c>
      <c r="P1517" s="1" t="s">
        <v>2071</v>
      </c>
      <c r="Q1517" s="1" t="str">
        <f>TEXT((Data[[#This Row],[Order_Date]]), "mmm")</f>
        <v>Dec</v>
      </c>
    </row>
    <row r="1518" spans="4:17" x14ac:dyDescent="0.3">
      <c r="D1518" s="1" t="s">
        <v>1580</v>
      </c>
      <c r="E1518" s="2">
        <v>45466</v>
      </c>
      <c r="F1518" s="2">
        <v>45466</v>
      </c>
      <c r="G1518" s="1" t="s">
        <v>31</v>
      </c>
      <c r="H1518" s="1" t="s">
        <v>17</v>
      </c>
      <c r="I1518" s="1" t="s">
        <v>18</v>
      </c>
      <c r="J1518" s="1" t="s">
        <v>19</v>
      </c>
      <c r="K1518" s="3">
        <v>2997.32</v>
      </c>
      <c r="L1518" s="1">
        <v>14</v>
      </c>
      <c r="M1518" s="1" t="s">
        <v>34</v>
      </c>
      <c r="N1518" s="3">
        <v>775.73</v>
      </c>
      <c r="O1518" s="1" t="s">
        <v>2215</v>
      </c>
      <c r="P1518" s="1" t="s">
        <v>2071</v>
      </c>
      <c r="Q1518" s="1" t="str">
        <f>TEXT((Data[[#This Row],[Order_Date]]), "mmm")</f>
        <v>Jun</v>
      </c>
    </row>
    <row r="1519" spans="4:17" x14ac:dyDescent="0.3">
      <c r="D1519" s="1" t="s">
        <v>1581</v>
      </c>
      <c r="E1519" s="2">
        <v>45394</v>
      </c>
      <c r="F1519" s="2">
        <v>45400</v>
      </c>
      <c r="G1519" s="1" t="s">
        <v>36</v>
      </c>
      <c r="H1519" s="1" t="s">
        <v>17</v>
      </c>
      <c r="I1519" s="1" t="s">
        <v>27</v>
      </c>
      <c r="J1519" s="1" t="s">
        <v>108</v>
      </c>
      <c r="K1519" s="3">
        <v>2592.3200000000002</v>
      </c>
      <c r="L1519" s="1">
        <v>8</v>
      </c>
      <c r="M1519" s="1" t="s">
        <v>34</v>
      </c>
      <c r="N1519" s="3">
        <v>165.24</v>
      </c>
      <c r="O1519" s="1" t="s">
        <v>2158</v>
      </c>
      <c r="P1519" s="1" t="s">
        <v>2078</v>
      </c>
      <c r="Q1519" s="1" t="str">
        <f>TEXT((Data[[#This Row],[Order_Date]]), "mmm")</f>
        <v>Apr</v>
      </c>
    </row>
    <row r="1520" spans="4:17" x14ac:dyDescent="0.3">
      <c r="D1520" s="1" t="s">
        <v>1582</v>
      </c>
      <c r="E1520" s="2">
        <v>45533</v>
      </c>
      <c r="F1520" s="2">
        <v>45536</v>
      </c>
      <c r="G1520" s="1" t="s">
        <v>36</v>
      </c>
      <c r="H1520" s="1" t="s">
        <v>23</v>
      </c>
      <c r="I1520" s="1" t="s">
        <v>78</v>
      </c>
      <c r="J1520" s="1" t="s">
        <v>79</v>
      </c>
      <c r="K1520" s="3">
        <v>3840.63</v>
      </c>
      <c r="L1520" s="1">
        <v>1</v>
      </c>
      <c r="M1520" s="1" t="s">
        <v>15</v>
      </c>
      <c r="N1520" s="3">
        <v>279.91000000000003</v>
      </c>
      <c r="O1520" s="1" t="s">
        <v>2294</v>
      </c>
      <c r="P1520" s="1" t="s">
        <v>2078</v>
      </c>
      <c r="Q1520" s="1" t="str">
        <f>TEXT((Data[[#This Row],[Order_Date]]), "mmm")</f>
        <v>Aug</v>
      </c>
    </row>
    <row r="1521" spans="4:17" x14ac:dyDescent="0.3">
      <c r="D1521" s="1" t="s">
        <v>1583</v>
      </c>
      <c r="E1521" s="2">
        <v>45362</v>
      </c>
      <c r="F1521" s="2">
        <v>45365</v>
      </c>
      <c r="G1521" s="1" t="s">
        <v>31</v>
      </c>
      <c r="H1521" s="1" t="s">
        <v>17</v>
      </c>
      <c r="I1521" s="1" t="s">
        <v>18</v>
      </c>
      <c r="J1521" s="1" t="s">
        <v>54</v>
      </c>
      <c r="K1521" s="3">
        <v>1796.35</v>
      </c>
      <c r="L1521" s="1">
        <v>3</v>
      </c>
      <c r="M1521" s="1" t="s">
        <v>20</v>
      </c>
      <c r="N1521" s="3">
        <v>456.79</v>
      </c>
      <c r="O1521" s="1" t="s">
        <v>2169</v>
      </c>
      <c r="P1521" s="1" t="s">
        <v>2071</v>
      </c>
      <c r="Q1521" s="1" t="str">
        <f>TEXT((Data[[#This Row],[Order_Date]]), "mmm")</f>
        <v>Mar</v>
      </c>
    </row>
    <row r="1522" spans="4:17" x14ac:dyDescent="0.3">
      <c r="D1522" s="1" t="s">
        <v>1584</v>
      </c>
      <c r="E1522" s="2">
        <v>45517</v>
      </c>
      <c r="F1522" s="2">
        <v>45519</v>
      </c>
      <c r="G1522" s="1" t="s">
        <v>22</v>
      </c>
      <c r="H1522" s="1" t="s">
        <v>12</v>
      </c>
      <c r="I1522" s="1" t="s">
        <v>58</v>
      </c>
      <c r="J1522" s="1" t="s">
        <v>120</v>
      </c>
      <c r="K1522" s="3">
        <v>1640.79</v>
      </c>
      <c r="L1522" s="1">
        <v>2</v>
      </c>
      <c r="M1522" s="1" t="s">
        <v>34</v>
      </c>
      <c r="N1522" s="3">
        <v>87.8</v>
      </c>
      <c r="O1522" s="1" t="s">
        <v>2258</v>
      </c>
      <c r="P1522" s="1" t="s">
        <v>2071</v>
      </c>
      <c r="Q1522" s="1" t="str">
        <f>TEXT((Data[[#This Row],[Order_Date]]), "mmm")</f>
        <v>Aug</v>
      </c>
    </row>
    <row r="1523" spans="4:17" x14ac:dyDescent="0.3">
      <c r="D1523" s="1" t="s">
        <v>1585</v>
      </c>
      <c r="E1523" s="2">
        <v>45353</v>
      </c>
      <c r="F1523" s="2">
        <v>45357</v>
      </c>
      <c r="G1523" s="1" t="s">
        <v>31</v>
      </c>
      <c r="H1523" s="1" t="s">
        <v>17</v>
      </c>
      <c r="I1523" s="1" t="s">
        <v>18</v>
      </c>
      <c r="J1523" s="1" t="s">
        <v>54</v>
      </c>
      <c r="K1523" s="3">
        <v>3713.38</v>
      </c>
      <c r="L1523" s="1">
        <v>20</v>
      </c>
      <c r="M1523" s="1" t="s">
        <v>20</v>
      </c>
      <c r="N1523" s="3">
        <v>289.83999999999997</v>
      </c>
      <c r="O1523" s="1" t="s">
        <v>2157</v>
      </c>
      <c r="P1523" s="1" t="s">
        <v>2071</v>
      </c>
      <c r="Q1523" s="1" t="str">
        <f>TEXT((Data[[#This Row],[Order_Date]]), "mmm")</f>
        <v>Mar</v>
      </c>
    </row>
    <row r="1524" spans="4:17" x14ac:dyDescent="0.3">
      <c r="D1524" s="1" t="s">
        <v>1586</v>
      </c>
      <c r="E1524" s="2">
        <v>45598</v>
      </c>
      <c r="F1524" s="2">
        <v>45601</v>
      </c>
      <c r="G1524" s="1" t="s">
        <v>11</v>
      </c>
      <c r="H1524" s="1" t="s">
        <v>23</v>
      </c>
      <c r="I1524" s="1" t="s">
        <v>24</v>
      </c>
      <c r="J1524" s="1" t="s">
        <v>150</v>
      </c>
      <c r="K1524" s="3">
        <v>876.39</v>
      </c>
      <c r="L1524" s="1">
        <v>1</v>
      </c>
      <c r="M1524" s="1" t="s">
        <v>49</v>
      </c>
      <c r="N1524" s="3">
        <v>258.64</v>
      </c>
      <c r="O1524" s="1" t="s">
        <v>2195</v>
      </c>
      <c r="P1524" s="1" t="s">
        <v>2076</v>
      </c>
      <c r="Q1524" s="1" t="str">
        <f>TEXT((Data[[#This Row],[Order_Date]]), "mmm")</f>
        <v>Nov</v>
      </c>
    </row>
    <row r="1525" spans="4:17" x14ac:dyDescent="0.3">
      <c r="D1525" s="1" t="s">
        <v>1587</v>
      </c>
      <c r="E1525" s="2">
        <v>45502</v>
      </c>
      <c r="F1525" s="2">
        <v>45507</v>
      </c>
      <c r="G1525" s="1" t="s">
        <v>11</v>
      </c>
      <c r="H1525" s="1" t="s">
        <v>17</v>
      </c>
      <c r="I1525" s="1" t="s">
        <v>32</v>
      </c>
      <c r="J1525" s="1" t="s">
        <v>56</v>
      </c>
      <c r="K1525" s="3">
        <v>3718.04</v>
      </c>
      <c r="L1525" s="1">
        <v>9</v>
      </c>
      <c r="M1525" s="1" t="s">
        <v>20</v>
      </c>
      <c r="N1525" s="3">
        <v>662.3</v>
      </c>
      <c r="O1525" s="1" t="s">
        <v>2229</v>
      </c>
      <c r="P1525" s="1" t="s">
        <v>2071</v>
      </c>
      <c r="Q1525" s="1" t="str">
        <f>TEXT((Data[[#This Row],[Order_Date]]), "mmm")</f>
        <v>Jul</v>
      </c>
    </row>
    <row r="1526" spans="4:17" x14ac:dyDescent="0.3">
      <c r="D1526" s="1" t="s">
        <v>1588</v>
      </c>
      <c r="E1526" s="2">
        <v>45474</v>
      </c>
      <c r="F1526" s="2">
        <v>45481</v>
      </c>
      <c r="G1526" s="1" t="s">
        <v>22</v>
      </c>
      <c r="H1526" s="1" t="s">
        <v>17</v>
      </c>
      <c r="I1526" s="1" t="s">
        <v>32</v>
      </c>
      <c r="J1526" s="1" t="s">
        <v>56</v>
      </c>
      <c r="K1526" s="3">
        <v>3927.64</v>
      </c>
      <c r="L1526" s="1">
        <v>19</v>
      </c>
      <c r="M1526" s="1" t="s">
        <v>20</v>
      </c>
      <c r="N1526" s="3">
        <v>982.65</v>
      </c>
      <c r="O1526" s="1" t="s">
        <v>2282</v>
      </c>
      <c r="P1526" s="1" t="s">
        <v>2076</v>
      </c>
      <c r="Q1526" s="1" t="str">
        <f>TEXT((Data[[#This Row],[Order_Date]]), "mmm")</f>
        <v>Jul</v>
      </c>
    </row>
    <row r="1527" spans="4:17" x14ac:dyDescent="0.3">
      <c r="D1527" s="1" t="s">
        <v>1589</v>
      </c>
      <c r="E1527" s="2">
        <v>45372</v>
      </c>
      <c r="F1527" s="2">
        <v>45375</v>
      </c>
      <c r="G1527" s="1" t="s">
        <v>11</v>
      </c>
      <c r="H1527" s="1" t="s">
        <v>12</v>
      </c>
      <c r="I1527" s="1" t="s">
        <v>58</v>
      </c>
      <c r="J1527" s="1" t="s">
        <v>120</v>
      </c>
      <c r="K1527" s="3">
        <v>3352.29</v>
      </c>
      <c r="L1527" s="1">
        <v>7</v>
      </c>
      <c r="M1527" s="1" t="s">
        <v>44</v>
      </c>
      <c r="N1527" s="3">
        <v>-464.29</v>
      </c>
      <c r="O1527" s="1" t="s">
        <v>2120</v>
      </c>
      <c r="P1527" s="1" t="s">
        <v>2078</v>
      </c>
      <c r="Q1527" s="1" t="str">
        <f>TEXT((Data[[#This Row],[Order_Date]]), "mmm")</f>
        <v>Mar</v>
      </c>
    </row>
    <row r="1528" spans="4:17" x14ac:dyDescent="0.3">
      <c r="D1528" s="1" t="s">
        <v>1590</v>
      </c>
      <c r="E1528" s="2">
        <v>45522</v>
      </c>
      <c r="F1528" s="2">
        <v>45525</v>
      </c>
      <c r="G1528" s="1" t="s">
        <v>22</v>
      </c>
      <c r="H1528" s="1" t="s">
        <v>17</v>
      </c>
      <c r="I1528" s="1" t="s">
        <v>18</v>
      </c>
      <c r="J1528" s="1" t="s">
        <v>90</v>
      </c>
      <c r="K1528" s="3">
        <v>3670.9</v>
      </c>
      <c r="L1528" s="1">
        <v>7</v>
      </c>
      <c r="M1528" s="1" t="s">
        <v>34</v>
      </c>
      <c r="N1528" s="3">
        <v>874.19</v>
      </c>
      <c r="O1528" s="1" t="s">
        <v>2267</v>
      </c>
      <c r="P1528" s="1" t="s">
        <v>2076</v>
      </c>
      <c r="Q1528" s="1" t="str">
        <f>TEXT((Data[[#This Row],[Order_Date]]), "mmm")</f>
        <v>Aug</v>
      </c>
    </row>
    <row r="1529" spans="4:17" x14ac:dyDescent="0.3">
      <c r="D1529" s="1" t="s">
        <v>1591</v>
      </c>
      <c r="E1529" s="2">
        <v>45445</v>
      </c>
      <c r="F1529" s="2">
        <v>45451</v>
      </c>
      <c r="G1529" s="1" t="s">
        <v>22</v>
      </c>
      <c r="H1529" s="1" t="s">
        <v>12</v>
      </c>
      <c r="I1529" s="1" t="s">
        <v>38</v>
      </c>
      <c r="J1529" s="1" t="s">
        <v>81</v>
      </c>
      <c r="K1529" s="3">
        <v>2026.49</v>
      </c>
      <c r="L1529" s="1">
        <v>1</v>
      </c>
      <c r="M1529" s="1" t="s">
        <v>44</v>
      </c>
      <c r="N1529" s="3">
        <v>329.02</v>
      </c>
      <c r="O1529" s="1" t="s">
        <v>2228</v>
      </c>
      <c r="P1529" s="1" t="s">
        <v>2071</v>
      </c>
      <c r="Q1529" s="1" t="str">
        <f>TEXT((Data[[#This Row],[Order_Date]]), "mmm")</f>
        <v>Jun</v>
      </c>
    </row>
    <row r="1530" spans="4:17" x14ac:dyDescent="0.3">
      <c r="D1530" s="1" t="s">
        <v>1592</v>
      </c>
      <c r="E1530" s="2">
        <v>45642</v>
      </c>
      <c r="F1530" s="2">
        <v>45648</v>
      </c>
      <c r="G1530" s="1" t="s">
        <v>11</v>
      </c>
      <c r="H1530" s="1" t="s">
        <v>17</v>
      </c>
      <c r="I1530" s="1" t="s">
        <v>18</v>
      </c>
      <c r="J1530" s="1" t="s">
        <v>19</v>
      </c>
      <c r="K1530" s="3">
        <v>524.54999999999995</v>
      </c>
      <c r="L1530" s="1">
        <v>14</v>
      </c>
      <c r="M1530" s="1" t="s">
        <v>20</v>
      </c>
      <c r="N1530" s="3">
        <v>94.62</v>
      </c>
      <c r="O1530" s="1" t="s">
        <v>2273</v>
      </c>
      <c r="P1530" s="1" t="s">
        <v>2078</v>
      </c>
      <c r="Q1530" s="1" t="str">
        <f>TEXT((Data[[#This Row],[Order_Date]]), "mmm")</f>
        <v>Dec</v>
      </c>
    </row>
    <row r="1531" spans="4:17" x14ac:dyDescent="0.3">
      <c r="D1531" s="1" t="s">
        <v>1593</v>
      </c>
      <c r="E1531" s="2">
        <v>45377</v>
      </c>
      <c r="F1531" s="2">
        <v>45381</v>
      </c>
      <c r="G1531" s="1" t="s">
        <v>36</v>
      </c>
      <c r="H1531" s="1" t="s">
        <v>23</v>
      </c>
      <c r="I1531" s="1" t="s">
        <v>78</v>
      </c>
      <c r="J1531" s="1" t="s">
        <v>118</v>
      </c>
      <c r="K1531" s="3">
        <v>3826.07</v>
      </c>
      <c r="L1531" s="1">
        <v>14</v>
      </c>
      <c r="M1531" s="1" t="s">
        <v>44</v>
      </c>
      <c r="N1531" s="3">
        <v>892.56</v>
      </c>
      <c r="O1531" s="1" t="s">
        <v>2165</v>
      </c>
      <c r="P1531" s="1" t="s">
        <v>2071</v>
      </c>
      <c r="Q1531" s="1" t="str">
        <f>TEXT((Data[[#This Row],[Order_Date]]), "mmm")</f>
        <v>Mar</v>
      </c>
    </row>
    <row r="1532" spans="4:17" x14ac:dyDescent="0.3">
      <c r="D1532" s="1" t="s">
        <v>1594</v>
      </c>
      <c r="E1532" s="2">
        <v>45434</v>
      </c>
      <c r="F1532" s="2">
        <v>45439</v>
      </c>
      <c r="G1532" s="1" t="s">
        <v>36</v>
      </c>
      <c r="H1532" s="1" t="s">
        <v>12</v>
      </c>
      <c r="I1532" s="1" t="s">
        <v>58</v>
      </c>
      <c r="J1532" s="1" t="s">
        <v>59</v>
      </c>
      <c r="K1532" s="3">
        <v>3243.63</v>
      </c>
      <c r="L1532" s="1">
        <v>1</v>
      </c>
      <c r="M1532" s="1" t="s">
        <v>44</v>
      </c>
      <c r="N1532" s="3">
        <v>557.08000000000004</v>
      </c>
      <c r="O1532" s="1" t="s">
        <v>2207</v>
      </c>
      <c r="P1532" s="1" t="s">
        <v>2076</v>
      </c>
      <c r="Q1532" s="1" t="str">
        <f>TEXT((Data[[#This Row],[Order_Date]]), "mmm")</f>
        <v>May</v>
      </c>
    </row>
    <row r="1533" spans="4:17" x14ac:dyDescent="0.3">
      <c r="D1533" s="1" t="s">
        <v>1595</v>
      </c>
      <c r="E1533" s="2">
        <v>45566</v>
      </c>
      <c r="F1533" s="2">
        <v>45573</v>
      </c>
      <c r="G1533" s="1" t="s">
        <v>11</v>
      </c>
      <c r="H1533" s="1" t="s">
        <v>12</v>
      </c>
      <c r="I1533" s="1" t="s">
        <v>38</v>
      </c>
      <c r="J1533" s="1" t="s">
        <v>39</v>
      </c>
      <c r="K1533" s="3">
        <v>725.42</v>
      </c>
      <c r="L1533" s="1">
        <v>2</v>
      </c>
      <c r="M1533" s="1" t="s">
        <v>44</v>
      </c>
      <c r="N1533" s="3">
        <v>196.66</v>
      </c>
      <c r="O1533" s="1" t="s">
        <v>2280</v>
      </c>
      <c r="P1533" s="1" t="s">
        <v>2078</v>
      </c>
      <c r="Q1533" s="1" t="str">
        <f>TEXT((Data[[#This Row],[Order_Date]]), "mmm")</f>
        <v>Oct</v>
      </c>
    </row>
    <row r="1534" spans="4:17" x14ac:dyDescent="0.3">
      <c r="D1534" s="1" t="s">
        <v>1596</v>
      </c>
      <c r="E1534" s="2">
        <v>45349</v>
      </c>
      <c r="F1534" s="2">
        <v>45356</v>
      </c>
      <c r="G1534" s="1" t="s">
        <v>31</v>
      </c>
      <c r="H1534" s="1" t="s">
        <v>12</v>
      </c>
      <c r="I1534" s="1" t="s">
        <v>58</v>
      </c>
      <c r="J1534" s="1" t="s">
        <v>120</v>
      </c>
      <c r="K1534" s="3">
        <v>2192.33</v>
      </c>
      <c r="L1534" s="1">
        <v>18</v>
      </c>
      <c r="M1534" s="1" t="s">
        <v>44</v>
      </c>
      <c r="N1534" s="3">
        <v>635.08000000000004</v>
      </c>
      <c r="O1534" s="1" t="s">
        <v>2259</v>
      </c>
      <c r="P1534" s="1" t="s">
        <v>2078</v>
      </c>
      <c r="Q1534" s="1" t="str">
        <f>TEXT((Data[[#This Row],[Order_Date]]), "mmm")</f>
        <v>Feb</v>
      </c>
    </row>
    <row r="1535" spans="4:17" x14ac:dyDescent="0.3">
      <c r="D1535" s="1" t="s">
        <v>1597</v>
      </c>
      <c r="E1535" s="2">
        <v>45317</v>
      </c>
      <c r="F1535" s="2">
        <v>45318</v>
      </c>
      <c r="G1535" s="1" t="s">
        <v>22</v>
      </c>
      <c r="H1535" s="1" t="s">
        <v>12</v>
      </c>
      <c r="I1535" s="1" t="s">
        <v>38</v>
      </c>
      <c r="J1535" s="1" t="s">
        <v>85</v>
      </c>
      <c r="K1535" s="3">
        <v>2219.0300000000002</v>
      </c>
      <c r="L1535" s="1">
        <v>3</v>
      </c>
      <c r="M1535" s="1" t="s">
        <v>34</v>
      </c>
      <c r="N1535" s="3">
        <v>284.79000000000002</v>
      </c>
      <c r="O1535" s="1" t="s">
        <v>2229</v>
      </c>
      <c r="P1535" s="1" t="s">
        <v>2078</v>
      </c>
      <c r="Q1535" s="1" t="str">
        <f>TEXT((Data[[#This Row],[Order_Date]]), "mmm")</f>
        <v>Jan</v>
      </c>
    </row>
    <row r="1536" spans="4:17" x14ac:dyDescent="0.3">
      <c r="D1536" s="1" t="s">
        <v>1598</v>
      </c>
      <c r="E1536" s="2">
        <v>45383</v>
      </c>
      <c r="F1536" s="2">
        <v>45383</v>
      </c>
      <c r="G1536" s="1" t="s">
        <v>31</v>
      </c>
      <c r="H1536" s="1" t="s">
        <v>23</v>
      </c>
      <c r="I1536" s="1" t="s">
        <v>78</v>
      </c>
      <c r="J1536" s="1" t="s">
        <v>118</v>
      </c>
      <c r="K1536" s="3">
        <v>3260.76</v>
      </c>
      <c r="L1536" s="1">
        <v>8</v>
      </c>
      <c r="M1536" s="1" t="s">
        <v>15</v>
      </c>
      <c r="N1536" s="3">
        <v>785.43</v>
      </c>
      <c r="O1536" s="1" t="s">
        <v>2127</v>
      </c>
      <c r="P1536" s="1" t="s">
        <v>2071</v>
      </c>
      <c r="Q1536" s="1" t="str">
        <f>TEXT((Data[[#This Row],[Order_Date]]), "mmm")</f>
        <v>Apr</v>
      </c>
    </row>
    <row r="1537" spans="4:17" x14ac:dyDescent="0.3">
      <c r="D1537" s="1" t="s">
        <v>1599</v>
      </c>
      <c r="E1537" s="2">
        <v>45611</v>
      </c>
      <c r="F1537" s="2">
        <v>45618</v>
      </c>
      <c r="G1537" s="1" t="s">
        <v>11</v>
      </c>
      <c r="H1537" s="1" t="s">
        <v>23</v>
      </c>
      <c r="I1537" s="1" t="s">
        <v>61</v>
      </c>
      <c r="J1537" s="1" t="s">
        <v>62</v>
      </c>
      <c r="K1537" s="3">
        <v>3100.52</v>
      </c>
      <c r="L1537" s="1">
        <v>15</v>
      </c>
      <c r="M1537" s="1" t="s">
        <v>44</v>
      </c>
      <c r="N1537" s="3">
        <v>788.78</v>
      </c>
      <c r="O1537" s="1" t="s">
        <v>2166</v>
      </c>
      <c r="P1537" s="1" t="s">
        <v>2071</v>
      </c>
      <c r="Q1537" s="1" t="str">
        <f>TEXT((Data[[#This Row],[Order_Date]]), "mmm")</f>
        <v>Nov</v>
      </c>
    </row>
    <row r="1538" spans="4:17" x14ac:dyDescent="0.3">
      <c r="D1538" s="1" t="s">
        <v>1600</v>
      </c>
      <c r="E1538" s="2">
        <v>45464</v>
      </c>
      <c r="F1538" s="2">
        <v>45464</v>
      </c>
      <c r="G1538" s="1" t="s">
        <v>11</v>
      </c>
      <c r="H1538" s="1" t="s">
        <v>17</v>
      </c>
      <c r="I1538" s="1" t="s">
        <v>18</v>
      </c>
      <c r="J1538" s="1" t="s">
        <v>90</v>
      </c>
      <c r="K1538" s="3">
        <v>2840.81</v>
      </c>
      <c r="L1538" s="1">
        <v>1</v>
      </c>
      <c r="M1538" s="1" t="s">
        <v>20</v>
      </c>
      <c r="N1538" s="3">
        <v>416.89</v>
      </c>
      <c r="O1538" s="1" t="s">
        <v>2096</v>
      </c>
      <c r="P1538" s="1" t="s">
        <v>2071</v>
      </c>
      <c r="Q1538" s="1" t="str">
        <f>TEXT((Data[[#This Row],[Order_Date]]), "mmm")</f>
        <v>Jun</v>
      </c>
    </row>
    <row r="1539" spans="4:17" x14ac:dyDescent="0.3">
      <c r="D1539" s="1" t="s">
        <v>1601</v>
      </c>
      <c r="E1539" s="2">
        <v>45618</v>
      </c>
      <c r="F1539" s="2">
        <v>45619</v>
      </c>
      <c r="G1539" s="1" t="s">
        <v>11</v>
      </c>
      <c r="H1539" s="1" t="s">
        <v>12</v>
      </c>
      <c r="I1539" s="1" t="s">
        <v>58</v>
      </c>
      <c r="J1539" s="1" t="s">
        <v>105</v>
      </c>
      <c r="K1539" s="3">
        <v>3824.08</v>
      </c>
      <c r="L1539" s="1">
        <v>4</v>
      </c>
      <c r="M1539" s="1" t="s">
        <v>49</v>
      </c>
      <c r="N1539" s="3">
        <v>1090.23</v>
      </c>
      <c r="O1539" s="1" t="s">
        <v>2263</v>
      </c>
      <c r="P1539" s="1" t="s">
        <v>2076</v>
      </c>
      <c r="Q1539" s="1" t="str">
        <f>TEXT((Data[[#This Row],[Order_Date]]), "mmm")</f>
        <v>Nov</v>
      </c>
    </row>
    <row r="1540" spans="4:17" x14ac:dyDescent="0.3">
      <c r="D1540" s="1" t="s">
        <v>1602</v>
      </c>
      <c r="E1540" s="2">
        <v>45482</v>
      </c>
      <c r="F1540" s="2">
        <v>45482</v>
      </c>
      <c r="G1540" s="1" t="s">
        <v>11</v>
      </c>
      <c r="H1540" s="1" t="s">
        <v>12</v>
      </c>
      <c r="I1540" s="1" t="s">
        <v>58</v>
      </c>
      <c r="J1540" s="1" t="s">
        <v>105</v>
      </c>
      <c r="K1540" s="3">
        <v>1423.17</v>
      </c>
      <c r="L1540" s="1">
        <v>4</v>
      </c>
      <c r="M1540" s="1" t="s">
        <v>29</v>
      </c>
      <c r="N1540" s="3">
        <v>346.8</v>
      </c>
      <c r="O1540" s="1" t="s">
        <v>2235</v>
      </c>
      <c r="P1540" s="1" t="s">
        <v>2071</v>
      </c>
      <c r="Q1540" s="1" t="str">
        <f>TEXT((Data[[#This Row],[Order_Date]]), "mmm")</f>
        <v>Jul</v>
      </c>
    </row>
    <row r="1541" spans="4:17" x14ac:dyDescent="0.3">
      <c r="D1541" s="1" t="s">
        <v>1603</v>
      </c>
      <c r="E1541" s="2">
        <v>45425</v>
      </c>
      <c r="F1541" s="2">
        <v>45427</v>
      </c>
      <c r="G1541" s="1" t="s">
        <v>11</v>
      </c>
      <c r="H1541" s="1" t="s">
        <v>12</v>
      </c>
      <c r="I1541" s="1" t="s">
        <v>58</v>
      </c>
      <c r="J1541" s="1" t="s">
        <v>59</v>
      </c>
      <c r="K1541" s="3">
        <v>2755.54</v>
      </c>
      <c r="L1541" s="1">
        <v>18</v>
      </c>
      <c r="M1541" s="1" t="s">
        <v>49</v>
      </c>
      <c r="N1541" s="3">
        <v>375.18</v>
      </c>
      <c r="O1541" s="1" t="s">
        <v>2167</v>
      </c>
      <c r="P1541" s="1" t="s">
        <v>2078</v>
      </c>
      <c r="Q1541" s="1" t="str">
        <f>TEXT((Data[[#This Row],[Order_Date]]), "mmm")</f>
        <v>May</v>
      </c>
    </row>
    <row r="1542" spans="4:17" x14ac:dyDescent="0.3">
      <c r="D1542" s="1" t="s">
        <v>1604</v>
      </c>
      <c r="E1542" s="2">
        <v>45331</v>
      </c>
      <c r="F1542" s="2">
        <v>45333</v>
      </c>
      <c r="G1542" s="1" t="s">
        <v>22</v>
      </c>
      <c r="H1542" s="1" t="s">
        <v>23</v>
      </c>
      <c r="I1542" s="1" t="s">
        <v>61</v>
      </c>
      <c r="J1542" s="1" t="s">
        <v>98</v>
      </c>
      <c r="K1542" s="3">
        <v>1672.92</v>
      </c>
      <c r="L1542" s="1">
        <v>2</v>
      </c>
      <c r="M1542" s="1" t="s">
        <v>29</v>
      </c>
      <c r="N1542" s="3">
        <v>-301.81</v>
      </c>
      <c r="O1542" s="1" t="s">
        <v>2270</v>
      </c>
      <c r="P1542" s="1" t="s">
        <v>2071</v>
      </c>
      <c r="Q1542" s="1" t="str">
        <f>TEXT((Data[[#This Row],[Order_Date]]), "mmm")</f>
        <v>Feb</v>
      </c>
    </row>
    <row r="1543" spans="4:17" x14ac:dyDescent="0.3">
      <c r="D1543" s="1" t="s">
        <v>1605</v>
      </c>
      <c r="E1543" s="2">
        <v>45598</v>
      </c>
      <c r="F1543" s="2">
        <v>45598</v>
      </c>
      <c r="G1543" s="1" t="s">
        <v>11</v>
      </c>
      <c r="H1543" s="1" t="s">
        <v>12</v>
      </c>
      <c r="I1543" s="1" t="s">
        <v>13</v>
      </c>
      <c r="J1543" s="1" t="s">
        <v>14</v>
      </c>
      <c r="K1543" s="3">
        <v>1667.11</v>
      </c>
      <c r="L1543" s="1">
        <v>11</v>
      </c>
      <c r="M1543" s="1" t="s">
        <v>20</v>
      </c>
      <c r="N1543" s="3">
        <v>264.14</v>
      </c>
      <c r="O1543" s="1" t="s">
        <v>2174</v>
      </c>
      <c r="P1543" s="1" t="s">
        <v>2076</v>
      </c>
      <c r="Q1543" s="1" t="str">
        <f>TEXT((Data[[#This Row],[Order_Date]]), "mmm")</f>
        <v>Nov</v>
      </c>
    </row>
    <row r="1544" spans="4:17" x14ac:dyDescent="0.3">
      <c r="D1544" s="1" t="s">
        <v>1606</v>
      </c>
      <c r="E1544" s="2">
        <v>45563</v>
      </c>
      <c r="F1544" s="2">
        <v>45565</v>
      </c>
      <c r="G1544" s="1" t="s">
        <v>31</v>
      </c>
      <c r="H1544" s="1" t="s">
        <v>23</v>
      </c>
      <c r="I1544" s="1" t="s">
        <v>61</v>
      </c>
      <c r="J1544" s="1" t="s">
        <v>76</v>
      </c>
      <c r="K1544" s="3">
        <v>1798.65</v>
      </c>
      <c r="L1544" s="1">
        <v>9</v>
      </c>
      <c r="M1544" s="1" t="s">
        <v>29</v>
      </c>
      <c r="N1544" s="3">
        <v>212.88</v>
      </c>
      <c r="O1544" s="1" t="s">
        <v>2094</v>
      </c>
      <c r="P1544" s="1" t="s">
        <v>2076</v>
      </c>
      <c r="Q1544" s="1" t="str">
        <f>TEXT((Data[[#This Row],[Order_Date]]), "mmm")</f>
        <v>Sep</v>
      </c>
    </row>
    <row r="1545" spans="4:17" x14ac:dyDescent="0.3">
      <c r="D1545" s="1" t="s">
        <v>1607</v>
      </c>
      <c r="E1545" s="2">
        <v>45630</v>
      </c>
      <c r="F1545" s="2">
        <v>45630</v>
      </c>
      <c r="G1545" s="1" t="s">
        <v>36</v>
      </c>
      <c r="H1545" s="1" t="s">
        <v>23</v>
      </c>
      <c r="I1545" s="1" t="s">
        <v>78</v>
      </c>
      <c r="J1545" s="1" t="s">
        <v>79</v>
      </c>
      <c r="K1545" s="3">
        <v>2986</v>
      </c>
      <c r="L1545" s="1">
        <v>18</v>
      </c>
      <c r="M1545" s="1" t="s">
        <v>15</v>
      </c>
      <c r="N1545" s="3">
        <v>184.57</v>
      </c>
      <c r="O1545" s="1" t="s">
        <v>2160</v>
      </c>
      <c r="P1545" s="1" t="s">
        <v>2078</v>
      </c>
      <c r="Q1545" s="1" t="str">
        <f>TEXT((Data[[#This Row],[Order_Date]]), "mmm")</f>
        <v>Dec</v>
      </c>
    </row>
    <row r="1546" spans="4:17" x14ac:dyDescent="0.3">
      <c r="D1546" s="1" t="s">
        <v>1608</v>
      </c>
      <c r="E1546" s="2">
        <v>45500</v>
      </c>
      <c r="F1546" s="2">
        <v>45503</v>
      </c>
      <c r="G1546" s="1" t="s">
        <v>22</v>
      </c>
      <c r="H1546" s="1" t="s">
        <v>23</v>
      </c>
      <c r="I1546" s="1" t="s">
        <v>65</v>
      </c>
      <c r="J1546" s="1" t="s">
        <v>122</v>
      </c>
      <c r="K1546" s="3">
        <v>1581.54</v>
      </c>
      <c r="L1546" s="1">
        <v>1</v>
      </c>
      <c r="M1546" s="1" t="s">
        <v>29</v>
      </c>
      <c r="N1546" s="3">
        <v>448.5</v>
      </c>
      <c r="O1546" s="1" t="s">
        <v>2145</v>
      </c>
      <c r="P1546" s="1" t="s">
        <v>2076</v>
      </c>
      <c r="Q1546" s="1" t="str">
        <f>TEXT((Data[[#This Row],[Order_Date]]), "mmm")</f>
        <v>Jul</v>
      </c>
    </row>
    <row r="1547" spans="4:17" x14ac:dyDescent="0.3">
      <c r="D1547" s="1" t="s">
        <v>1609</v>
      </c>
      <c r="E1547" s="2">
        <v>45561</v>
      </c>
      <c r="F1547" s="2">
        <v>45563</v>
      </c>
      <c r="G1547" s="1" t="s">
        <v>22</v>
      </c>
      <c r="H1547" s="1" t="s">
        <v>17</v>
      </c>
      <c r="I1547" s="1" t="s">
        <v>18</v>
      </c>
      <c r="J1547" s="1" t="s">
        <v>54</v>
      </c>
      <c r="K1547" s="3">
        <v>3257.48</v>
      </c>
      <c r="L1547" s="1">
        <v>4</v>
      </c>
      <c r="M1547" s="1" t="s">
        <v>49</v>
      </c>
      <c r="N1547" s="3">
        <v>409.94</v>
      </c>
      <c r="O1547" s="1" t="s">
        <v>2304</v>
      </c>
      <c r="P1547" s="1" t="s">
        <v>2078</v>
      </c>
      <c r="Q1547" s="1" t="str">
        <f>TEXT((Data[[#This Row],[Order_Date]]), "mmm")</f>
        <v>Sep</v>
      </c>
    </row>
    <row r="1548" spans="4:17" x14ac:dyDescent="0.3">
      <c r="D1548" s="1" t="s">
        <v>1610</v>
      </c>
      <c r="E1548" s="2">
        <v>45576</v>
      </c>
      <c r="F1548" s="2">
        <v>45576</v>
      </c>
      <c r="G1548" s="1" t="s">
        <v>36</v>
      </c>
      <c r="H1548" s="1" t="s">
        <v>12</v>
      </c>
      <c r="I1548" s="1" t="s">
        <v>13</v>
      </c>
      <c r="J1548" s="1" t="s">
        <v>14</v>
      </c>
      <c r="K1548" s="3">
        <v>2303.04</v>
      </c>
      <c r="L1548" s="1">
        <v>16</v>
      </c>
      <c r="M1548" s="1" t="s">
        <v>49</v>
      </c>
      <c r="N1548" s="3">
        <v>723.47</v>
      </c>
      <c r="O1548" s="1" t="s">
        <v>2081</v>
      </c>
      <c r="P1548" s="1" t="s">
        <v>2078</v>
      </c>
      <c r="Q1548" s="1" t="str">
        <f>TEXT((Data[[#This Row],[Order_Date]]), "mmm")</f>
        <v>Oct</v>
      </c>
    </row>
    <row r="1549" spans="4:17" x14ac:dyDescent="0.3">
      <c r="D1549" s="1" t="s">
        <v>1611</v>
      </c>
      <c r="E1549" s="2">
        <v>45391</v>
      </c>
      <c r="F1549" s="2">
        <v>45397</v>
      </c>
      <c r="G1549" s="1" t="s">
        <v>22</v>
      </c>
      <c r="H1549" s="1" t="s">
        <v>12</v>
      </c>
      <c r="I1549" s="1" t="s">
        <v>38</v>
      </c>
      <c r="J1549" s="1" t="s">
        <v>85</v>
      </c>
      <c r="K1549" s="3">
        <v>1254.25</v>
      </c>
      <c r="L1549" s="1">
        <v>5</v>
      </c>
      <c r="M1549" s="1" t="s">
        <v>15</v>
      </c>
      <c r="N1549" s="3">
        <v>87.37</v>
      </c>
      <c r="O1549" s="1" t="s">
        <v>2145</v>
      </c>
      <c r="P1549" s="1" t="s">
        <v>2078</v>
      </c>
      <c r="Q1549" s="1" t="str">
        <f>TEXT((Data[[#This Row],[Order_Date]]), "mmm")</f>
        <v>Apr</v>
      </c>
    </row>
    <row r="1550" spans="4:17" x14ac:dyDescent="0.3">
      <c r="D1550" s="1" t="s">
        <v>1612</v>
      </c>
      <c r="E1550" s="2">
        <v>45608</v>
      </c>
      <c r="F1550" s="2">
        <v>45612</v>
      </c>
      <c r="G1550" s="1" t="s">
        <v>22</v>
      </c>
      <c r="H1550" s="1" t="s">
        <v>12</v>
      </c>
      <c r="I1550" s="1" t="s">
        <v>13</v>
      </c>
      <c r="J1550" s="1" t="s">
        <v>96</v>
      </c>
      <c r="K1550" s="3">
        <v>1365.95</v>
      </c>
      <c r="L1550" s="1">
        <v>1</v>
      </c>
      <c r="M1550" s="1" t="s">
        <v>44</v>
      </c>
      <c r="N1550" s="3">
        <v>428.68</v>
      </c>
      <c r="O1550" s="1" t="s">
        <v>2195</v>
      </c>
      <c r="P1550" s="1" t="s">
        <v>2076</v>
      </c>
      <c r="Q1550" s="1" t="str">
        <f>TEXT((Data[[#This Row],[Order_Date]]), "mmm")</f>
        <v>Nov</v>
      </c>
    </row>
    <row r="1551" spans="4:17" x14ac:dyDescent="0.3">
      <c r="D1551" s="1" t="s">
        <v>1613</v>
      </c>
      <c r="E1551" s="2">
        <v>45358</v>
      </c>
      <c r="F1551" s="2">
        <v>45363</v>
      </c>
      <c r="G1551" s="1" t="s">
        <v>31</v>
      </c>
      <c r="H1551" s="1" t="s">
        <v>17</v>
      </c>
      <c r="I1551" s="1" t="s">
        <v>18</v>
      </c>
      <c r="J1551" s="1" t="s">
        <v>54</v>
      </c>
      <c r="K1551" s="3">
        <v>3852.9</v>
      </c>
      <c r="L1551" s="1">
        <v>9</v>
      </c>
      <c r="M1551" s="1" t="s">
        <v>20</v>
      </c>
      <c r="N1551" s="3">
        <v>-726.62</v>
      </c>
      <c r="O1551" s="1" t="s">
        <v>2201</v>
      </c>
      <c r="P1551" s="1" t="s">
        <v>2078</v>
      </c>
      <c r="Q1551" s="1" t="str">
        <f>TEXT((Data[[#This Row],[Order_Date]]), "mmm")</f>
        <v>Mar</v>
      </c>
    </row>
    <row r="1552" spans="4:17" x14ac:dyDescent="0.3">
      <c r="D1552" s="1" t="s">
        <v>1614</v>
      </c>
      <c r="E1552" s="2">
        <v>45491</v>
      </c>
      <c r="F1552" s="2">
        <v>45495</v>
      </c>
      <c r="G1552" s="1" t="s">
        <v>31</v>
      </c>
      <c r="H1552" s="1" t="s">
        <v>17</v>
      </c>
      <c r="I1552" s="1" t="s">
        <v>27</v>
      </c>
      <c r="J1552" s="1" t="s">
        <v>110</v>
      </c>
      <c r="K1552" s="3">
        <v>3091.22</v>
      </c>
      <c r="L1552" s="1">
        <v>2</v>
      </c>
      <c r="M1552" s="1" t="s">
        <v>44</v>
      </c>
      <c r="N1552" s="3">
        <v>528.54999999999995</v>
      </c>
      <c r="O1552" s="1" t="s">
        <v>2117</v>
      </c>
      <c r="P1552" s="1" t="s">
        <v>2071</v>
      </c>
      <c r="Q1552" s="1" t="str">
        <f>TEXT((Data[[#This Row],[Order_Date]]), "mmm")</f>
        <v>Jul</v>
      </c>
    </row>
    <row r="1553" spans="4:17" x14ac:dyDescent="0.3">
      <c r="D1553" s="1" t="s">
        <v>1615</v>
      </c>
      <c r="E1553" s="2">
        <v>45637</v>
      </c>
      <c r="F1553" s="2">
        <v>45642</v>
      </c>
      <c r="G1553" s="1" t="s">
        <v>36</v>
      </c>
      <c r="H1553" s="1" t="s">
        <v>12</v>
      </c>
      <c r="I1553" s="1" t="s">
        <v>58</v>
      </c>
      <c r="J1553" s="1" t="s">
        <v>105</v>
      </c>
      <c r="K1553" s="3">
        <v>968.77</v>
      </c>
      <c r="L1553" s="1">
        <v>1</v>
      </c>
      <c r="M1553" s="1" t="s">
        <v>15</v>
      </c>
      <c r="N1553" s="3">
        <v>73.03</v>
      </c>
      <c r="O1553" s="1" t="s">
        <v>2293</v>
      </c>
      <c r="P1553" s="1" t="s">
        <v>2071</v>
      </c>
      <c r="Q1553" s="1" t="str">
        <f>TEXT((Data[[#This Row],[Order_Date]]), "mmm")</f>
        <v>Dec</v>
      </c>
    </row>
    <row r="1554" spans="4:17" x14ac:dyDescent="0.3">
      <c r="D1554" s="1" t="s">
        <v>1616</v>
      </c>
      <c r="E1554" s="2">
        <v>45502</v>
      </c>
      <c r="F1554" s="2">
        <v>45506</v>
      </c>
      <c r="G1554" s="1" t="s">
        <v>36</v>
      </c>
      <c r="H1554" s="1" t="s">
        <v>12</v>
      </c>
      <c r="I1554" s="1" t="s">
        <v>38</v>
      </c>
      <c r="J1554" s="1" t="s">
        <v>81</v>
      </c>
      <c r="K1554" s="3">
        <v>2990.43</v>
      </c>
      <c r="L1554" s="1">
        <v>12</v>
      </c>
      <c r="M1554" s="1" t="s">
        <v>44</v>
      </c>
      <c r="N1554" s="3">
        <v>648.41</v>
      </c>
      <c r="O1554" s="1" t="s">
        <v>2289</v>
      </c>
      <c r="P1554" s="1" t="s">
        <v>2078</v>
      </c>
      <c r="Q1554" s="1" t="str">
        <f>TEXT((Data[[#This Row],[Order_Date]]), "mmm")</f>
        <v>Jul</v>
      </c>
    </row>
    <row r="1555" spans="4:17" x14ac:dyDescent="0.3">
      <c r="D1555" s="1" t="s">
        <v>1617</v>
      </c>
      <c r="E1555" s="2">
        <v>45383</v>
      </c>
      <c r="F1555" s="2">
        <v>45387</v>
      </c>
      <c r="G1555" s="1" t="s">
        <v>36</v>
      </c>
      <c r="H1555" s="1" t="s">
        <v>12</v>
      </c>
      <c r="I1555" s="1" t="s">
        <v>58</v>
      </c>
      <c r="J1555" s="1" t="s">
        <v>105</v>
      </c>
      <c r="K1555" s="3">
        <v>2537.86</v>
      </c>
      <c r="L1555" s="1">
        <v>2</v>
      </c>
      <c r="M1555" s="1" t="s">
        <v>15</v>
      </c>
      <c r="N1555" s="3">
        <v>-650.9</v>
      </c>
      <c r="O1555" s="1" t="s">
        <v>2118</v>
      </c>
      <c r="P1555" s="1" t="s">
        <v>2078</v>
      </c>
      <c r="Q1555" s="1" t="str">
        <f>TEXT((Data[[#This Row],[Order_Date]]), "mmm")</f>
        <v>Apr</v>
      </c>
    </row>
    <row r="1556" spans="4:17" x14ac:dyDescent="0.3">
      <c r="D1556" s="1" t="s">
        <v>1618</v>
      </c>
      <c r="E1556" s="2">
        <v>45643</v>
      </c>
      <c r="F1556" s="2">
        <v>45643</v>
      </c>
      <c r="G1556" s="1" t="s">
        <v>36</v>
      </c>
      <c r="H1556" s="1" t="s">
        <v>17</v>
      </c>
      <c r="I1556" s="1" t="s">
        <v>18</v>
      </c>
      <c r="J1556" s="1" t="s">
        <v>19</v>
      </c>
      <c r="K1556" s="3">
        <v>1033.51</v>
      </c>
      <c r="L1556" s="1">
        <v>12</v>
      </c>
      <c r="M1556" s="1" t="s">
        <v>44</v>
      </c>
      <c r="N1556" s="3">
        <v>308.56</v>
      </c>
      <c r="O1556" s="1" t="s">
        <v>2256</v>
      </c>
      <c r="P1556" s="1" t="s">
        <v>2071</v>
      </c>
      <c r="Q1556" s="1" t="str">
        <f>TEXT((Data[[#This Row],[Order_Date]]), "mmm")</f>
        <v>Dec</v>
      </c>
    </row>
    <row r="1557" spans="4:17" x14ac:dyDescent="0.3">
      <c r="D1557" s="1" t="s">
        <v>1619</v>
      </c>
      <c r="E1557" s="2">
        <v>45453</v>
      </c>
      <c r="F1557" s="2">
        <v>45454</v>
      </c>
      <c r="G1557" s="1" t="s">
        <v>31</v>
      </c>
      <c r="H1557" s="1" t="s">
        <v>12</v>
      </c>
      <c r="I1557" s="1" t="s">
        <v>58</v>
      </c>
      <c r="J1557" s="1" t="s">
        <v>120</v>
      </c>
      <c r="K1557" s="3">
        <v>3272.3</v>
      </c>
      <c r="L1557" s="1">
        <v>3</v>
      </c>
      <c r="M1557" s="1" t="s">
        <v>20</v>
      </c>
      <c r="N1557" s="3">
        <v>861.9</v>
      </c>
      <c r="O1557" s="1" t="s">
        <v>2308</v>
      </c>
      <c r="P1557" s="1" t="s">
        <v>2071</v>
      </c>
      <c r="Q1557" s="1" t="str">
        <f>TEXT((Data[[#This Row],[Order_Date]]), "mmm")</f>
        <v>Jun</v>
      </c>
    </row>
    <row r="1558" spans="4:17" x14ac:dyDescent="0.3">
      <c r="D1558" s="1" t="s">
        <v>1620</v>
      </c>
      <c r="E1558" s="2">
        <v>45530</v>
      </c>
      <c r="F1558" s="2">
        <v>45531</v>
      </c>
      <c r="G1558" s="1" t="s">
        <v>11</v>
      </c>
      <c r="H1558" s="1" t="s">
        <v>12</v>
      </c>
      <c r="I1558" s="1" t="s">
        <v>58</v>
      </c>
      <c r="J1558" s="1" t="s">
        <v>120</v>
      </c>
      <c r="K1558" s="3">
        <v>2474.94</v>
      </c>
      <c r="L1558" s="1">
        <v>7</v>
      </c>
      <c r="M1558" s="1" t="s">
        <v>49</v>
      </c>
      <c r="N1558" s="3">
        <v>284.7</v>
      </c>
      <c r="O1558" s="1" t="s">
        <v>2240</v>
      </c>
      <c r="P1558" s="1" t="s">
        <v>2078</v>
      </c>
      <c r="Q1558" s="1" t="str">
        <f>TEXT((Data[[#This Row],[Order_Date]]), "mmm")</f>
        <v>Aug</v>
      </c>
    </row>
    <row r="1559" spans="4:17" x14ac:dyDescent="0.3">
      <c r="D1559" s="1" t="s">
        <v>1621</v>
      </c>
      <c r="E1559" s="2">
        <v>45457</v>
      </c>
      <c r="F1559" s="2">
        <v>45460</v>
      </c>
      <c r="G1559" s="1" t="s">
        <v>11</v>
      </c>
      <c r="H1559" s="1" t="s">
        <v>23</v>
      </c>
      <c r="I1559" s="1" t="s">
        <v>61</v>
      </c>
      <c r="J1559" s="1" t="s">
        <v>62</v>
      </c>
      <c r="K1559" s="3">
        <v>538.15</v>
      </c>
      <c r="L1559" s="1">
        <v>3</v>
      </c>
      <c r="M1559" s="1" t="s">
        <v>29</v>
      </c>
      <c r="N1559" s="3">
        <v>149.82</v>
      </c>
      <c r="O1559" s="1" t="s">
        <v>2159</v>
      </c>
      <c r="P1559" s="1" t="s">
        <v>2078</v>
      </c>
      <c r="Q1559" s="1" t="str">
        <f>TEXT((Data[[#This Row],[Order_Date]]), "mmm")</f>
        <v>Jun</v>
      </c>
    </row>
    <row r="1560" spans="4:17" x14ac:dyDescent="0.3">
      <c r="D1560" s="1" t="s">
        <v>1622</v>
      </c>
      <c r="E1560" s="2">
        <v>45459</v>
      </c>
      <c r="F1560" s="2">
        <v>45465</v>
      </c>
      <c r="G1560" s="1" t="s">
        <v>11</v>
      </c>
      <c r="H1560" s="1" t="s">
        <v>23</v>
      </c>
      <c r="I1560" s="1" t="s">
        <v>65</v>
      </c>
      <c r="J1560" s="1" t="s">
        <v>122</v>
      </c>
      <c r="K1560" s="3">
        <v>2951.07</v>
      </c>
      <c r="L1560" s="1">
        <v>17</v>
      </c>
      <c r="M1560" s="1" t="s">
        <v>20</v>
      </c>
      <c r="N1560" s="3">
        <v>157</v>
      </c>
      <c r="O1560" s="1" t="s">
        <v>2075</v>
      </c>
      <c r="P1560" s="1" t="s">
        <v>2078</v>
      </c>
      <c r="Q1560" s="1" t="str">
        <f>TEXT((Data[[#This Row],[Order_Date]]), "mmm")</f>
        <v>Jun</v>
      </c>
    </row>
    <row r="1561" spans="4:17" x14ac:dyDescent="0.3">
      <c r="D1561" s="1" t="s">
        <v>1623</v>
      </c>
      <c r="E1561" s="2">
        <v>45305</v>
      </c>
      <c r="F1561" s="2">
        <v>45305</v>
      </c>
      <c r="G1561" s="1" t="s">
        <v>11</v>
      </c>
      <c r="H1561" s="1" t="s">
        <v>23</v>
      </c>
      <c r="I1561" s="1" t="s">
        <v>65</v>
      </c>
      <c r="J1561" s="1" t="s">
        <v>66</v>
      </c>
      <c r="K1561" s="3">
        <v>2311.5300000000002</v>
      </c>
      <c r="L1561" s="1">
        <v>20</v>
      </c>
      <c r="M1561" s="1" t="s">
        <v>29</v>
      </c>
      <c r="N1561" s="3">
        <v>756.56</v>
      </c>
      <c r="O1561" s="1" t="s">
        <v>2156</v>
      </c>
      <c r="P1561" s="1" t="s">
        <v>2078</v>
      </c>
      <c r="Q1561" s="1" t="str">
        <f>TEXT((Data[[#This Row],[Order_Date]]), "mmm")</f>
        <v>Jan</v>
      </c>
    </row>
    <row r="1562" spans="4:17" x14ac:dyDescent="0.3">
      <c r="D1562" s="1" t="s">
        <v>1624</v>
      </c>
      <c r="E1562" s="2">
        <v>45485</v>
      </c>
      <c r="F1562" s="2">
        <v>45490</v>
      </c>
      <c r="G1562" s="1" t="s">
        <v>31</v>
      </c>
      <c r="H1562" s="1" t="s">
        <v>12</v>
      </c>
      <c r="I1562" s="1" t="s">
        <v>42</v>
      </c>
      <c r="J1562" s="1" t="s">
        <v>46</v>
      </c>
      <c r="K1562" s="3">
        <v>2984.73</v>
      </c>
      <c r="L1562" s="1">
        <v>20</v>
      </c>
      <c r="M1562" s="1" t="s">
        <v>20</v>
      </c>
      <c r="N1562" s="3">
        <v>1009.17</v>
      </c>
      <c r="O1562" s="1" t="s">
        <v>2191</v>
      </c>
      <c r="P1562" s="1" t="s">
        <v>2078</v>
      </c>
      <c r="Q1562" s="1" t="str">
        <f>TEXT((Data[[#This Row],[Order_Date]]), "mmm")</f>
        <v>Jul</v>
      </c>
    </row>
    <row r="1563" spans="4:17" x14ac:dyDescent="0.3">
      <c r="D1563" s="1" t="s">
        <v>1625</v>
      </c>
      <c r="E1563" s="2">
        <v>45293</v>
      </c>
      <c r="F1563" s="2">
        <v>45296</v>
      </c>
      <c r="G1563" s="1" t="s">
        <v>31</v>
      </c>
      <c r="H1563" s="1" t="s">
        <v>23</v>
      </c>
      <c r="I1563" s="1" t="s">
        <v>24</v>
      </c>
      <c r="J1563" s="1" t="s">
        <v>25</v>
      </c>
      <c r="K1563" s="3">
        <v>3572.06</v>
      </c>
      <c r="L1563" s="1">
        <v>3</v>
      </c>
      <c r="M1563" s="1" t="s">
        <v>34</v>
      </c>
      <c r="N1563" s="3">
        <v>825.53</v>
      </c>
      <c r="O1563" s="1" t="s">
        <v>2310</v>
      </c>
      <c r="P1563" s="1" t="s">
        <v>2078</v>
      </c>
      <c r="Q1563" s="1" t="str">
        <f>TEXT((Data[[#This Row],[Order_Date]]), "mmm")</f>
        <v>Jan</v>
      </c>
    </row>
    <row r="1564" spans="4:17" x14ac:dyDescent="0.3">
      <c r="D1564" s="1" t="s">
        <v>1626</v>
      </c>
      <c r="E1564" s="2">
        <v>45561</v>
      </c>
      <c r="F1564" s="2">
        <v>45565</v>
      </c>
      <c r="G1564" s="1" t="s">
        <v>11</v>
      </c>
      <c r="H1564" s="1" t="s">
        <v>12</v>
      </c>
      <c r="I1564" s="1" t="s">
        <v>13</v>
      </c>
      <c r="J1564" s="1" t="s">
        <v>14</v>
      </c>
      <c r="K1564" s="3">
        <v>1117.56</v>
      </c>
      <c r="L1564" s="1">
        <v>17</v>
      </c>
      <c r="M1564" s="1" t="s">
        <v>49</v>
      </c>
      <c r="N1564" s="3">
        <v>-170.86</v>
      </c>
      <c r="O1564" s="1" t="s">
        <v>2073</v>
      </c>
      <c r="P1564" s="1" t="s">
        <v>2078</v>
      </c>
      <c r="Q1564" s="1" t="str">
        <f>TEXT((Data[[#This Row],[Order_Date]]), "mmm")</f>
        <v>Sep</v>
      </c>
    </row>
    <row r="1565" spans="4:17" x14ac:dyDescent="0.3">
      <c r="D1565" s="1" t="s">
        <v>1627</v>
      </c>
      <c r="E1565" s="2">
        <v>45363</v>
      </c>
      <c r="F1565" s="2">
        <v>45369</v>
      </c>
      <c r="G1565" s="1" t="s">
        <v>22</v>
      </c>
      <c r="H1565" s="1" t="s">
        <v>17</v>
      </c>
      <c r="I1565" s="1" t="s">
        <v>32</v>
      </c>
      <c r="J1565" s="1" t="s">
        <v>56</v>
      </c>
      <c r="K1565" s="3">
        <v>3781</v>
      </c>
      <c r="L1565" s="1">
        <v>20</v>
      </c>
      <c r="M1565" s="1" t="s">
        <v>29</v>
      </c>
      <c r="N1565" s="3">
        <v>-762.84</v>
      </c>
      <c r="O1565" s="1" t="s">
        <v>2139</v>
      </c>
      <c r="P1565" s="1" t="s">
        <v>2071</v>
      </c>
      <c r="Q1565" s="1" t="str">
        <f>TEXT((Data[[#This Row],[Order_Date]]), "mmm")</f>
        <v>Mar</v>
      </c>
    </row>
    <row r="1566" spans="4:17" x14ac:dyDescent="0.3">
      <c r="D1566" s="1" t="s">
        <v>1628</v>
      </c>
      <c r="E1566" s="2">
        <v>45523</v>
      </c>
      <c r="F1566" s="2">
        <v>45527</v>
      </c>
      <c r="G1566" s="1" t="s">
        <v>36</v>
      </c>
      <c r="H1566" s="1" t="s">
        <v>23</v>
      </c>
      <c r="I1566" s="1" t="s">
        <v>65</v>
      </c>
      <c r="J1566" s="1" t="s">
        <v>66</v>
      </c>
      <c r="K1566" s="3">
        <v>595.84</v>
      </c>
      <c r="L1566" s="1">
        <v>2</v>
      </c>
      <c r="M1566" s="1" t="s">
        <v>15</v>
      </c>
      <c r="N1566" s="3">
        <v>163.13999999999999</v>
      </c>
      <c r="O1566" s="1" t="s">
        <v>2278</v>
      </c>
      <c r="P1566" s="1" t="s">
        <v>2076</v>
      </c>
      <c r="Q1566" s="1" t="str">
        <f>TEXT((Data[[#This Row],[Order_Date]]), "mmm")</f>
        <v>Aug</v>
      </c>
    </row>
    <row r="1567" spans="4:17" x14ac:dyDescent="0.3">
      <c r="D1567" s="1" t="s">
        <v>1629</v>
      </c>
      <c r="E1567" s="2">
        <v>45358</v>
      </c>
      <c r="F1567" s="2">
        <v>45364</v>
      </c>
      <c r="G1567" s="1" t="s">
        <v>11</v>
      </c>
      <c r="H1567" s="1" t="s">
        <v>23</v>
      </c>
      <c r="I1567" s="1" t="s">
        <v>61</v>
      </c>
      <c r="J1567" s="1" t="s">
        <v>98</v>
      </c>
      <c r="K1567" s="3">
        <v>1141.18</v>
      </c>
      <c r="L1567" s="1">
        <v>13</v>
      </c>
      <c r="M1567" s="1" t="s">
        <v>49</v>
      </c>
      <c r="N1567" s="3">
        <v>206.11</v>
      </c>
      <c r="O1567" s="1" t="s">
        <v>2187</v>
      </c>
      <c r="P1567" s="1" t="s">
        <v>2078</v>
      </c>
      <c r="Q1567" s="1" t="str">
        <f>TEXT((Data[[#This Row],[Order_Date]]), "mmm")</f>
        <v>Mar</v>
      </c>
    </row>
    <row r="1568" spans="4:17" x14ac:dyDescent="0.3">
      <c r="D1568" s="1" t="s">
        <v>1630</v>
      </c>
      <c r="E1568" s="2">
        <v>45315</v>
      </c>
      <c r="F1568" s="2">
        <v>45316</v>
      </c>
      <c r="G1568" s="1" t="s">
        <v>11</v>
      </c>
      <c r="H1568" s="1" t="s">
        <v>12</v>
      </c>
      <c r="I1568" s="1" t="s">
        <v>58</v>
      </c>
      <c r="J1568" s="1" t="s">
        <v>105</v>
      </c>
      <c r="K1568" s="3">
        <v>3176.15</v>
      </c>
      <c r="L1568" s="1">
        <v>1</v>
      </c>
      <c r="M1568" s="1" t="s">
        <v>20</v>
      </c>
      <c r="N1568" s="3">
        <v>1058.1500000000001</v>
      </c>
      <c r="O1568" s="1" t="s">
        <v>2206</v>
      </c>
      <c r="P1568" s="1" t="s">
        <v>2071</v>
      </c>
      <c r="Q1568" s="1" t="str">
        <f>TEXT((Data[[#This Row],[Order_Date]]), "mmm")</f>
        <v>Jan</v>
      </c>
    </row>
    <row r="1569" spans="4:17" x14ac:dyDescent="0.3">
      <c r="D1569" s="1" t="s">
        <v>1631</v>
      </c>
      <c r="E1569" s="2">
        <v>45320</v>
      </c>
      <c r="F1569" s="2">
        <v>45323</v>
      </c>
      <c r="G1569" s="1" t="s">
        <v>36</v>
      </c>
      <c r="H1569" s="1" t="s">
        <v>23</v>
      </c>
      <c r="I1569" s="1" t="s">
        <v>65</v>
      </c>
      <c r="J1569" s="1" t="s">
        <v>122</v>
      </c>
      <c r="K1569" s="3">
        <v>581.41999999999996</v>
      </c>
      <c r="L1569" s="1">
        <v>1</v>
      </c>
      <c r="M1569" s="1" t="s">
        <v>49</v>
      </c>
      <c r="N1569" s="3">
        <v>55.93</v>
      </c>
      <c r="O1569" s="1" t="s">
        <v>2276</v>
      </c>
      <c r="P1569" s="1" t="s">
        <v>2076</v>
      </c>
      <c r="Q1569" s="1" t="str">
        <f>TEXT((Data[[#This Row],[Order_Date]]), "mmm")</f>
        <v>Jan</v>
      </c>
    </row>
    <row r="1570" spans="4:17" x14ac:dyDescent="0.3">
      <c r="D1570" s="1" t="s">
        <v>1632</v>
      </c>
      <c r="E1570" s="2">
        <v>45456</v>
      </c>
      <c r="F1570" s="2">
        <v>45459</v>
      </c>
      <c r="G1570" s="1" t="s">
        <v>11</v>
      </c>
      <c r="H1570" s="1" t="s">
        <v>17</v>
      </c>
      <c r="I1570" s="1" t="s">
        <v>18</v>
      </c>
      <c r="J1570" s="1" t="s">
        <v>54</v>
      </c>
      <c r="K1570" s="3">
        <v>3615.6</v>
      </c>
      <c r="L1570" s="1">
        <v>12</v>
      </c>
      <c r="M1570" s="1" t="s">
        <v>20</v>
      </c>
      <c r="N1570" s="3">
        <v>1067.3900000000001</v>
      </c>
      <c r="O1570" s="1" t="s">
        <v>2219</v>
      </c>
      <c r="P1570" s="1" t="s">
        <v>2078</v>
      </c>
      <c r="Q1570" s="1" t="str">
        <f>TEXT((Data[[#This Row],[Order_Date]]), "mmm")</f>
        <v>Jun</v>
      </c>
    </row>
    <row r="1571" spans="4:17" x14ac:dyDescent="0.3">
      <c r="D1571" s="1" t="s">
        <v>1633</v>
      </c>
      <c r="E1571" s="2">
        <v>45385</v>
      </c>
      <c r="F1571" s="2">
        <v>45391</v>
      </c>
      <c r="G1571" s="1" t="s">
        <v>11</v>
      </c>
      <c r="H1571" s="1" t="s">
        <v>23</v>
      </c>
      <c r="I1571" s="1" t="s">
        <v>65</v>
      </c>
      <c r="J1571" s="1" t="s">
        <v>114</v>
      </c>
      <c r="K1571" s="3">
        <v>3111.44</v>
      </c>
      <c r="L1571" s="1">
        <v>5</v>
      </c>
      <c r="M1571" s="1" t="s">
        <v>29</v>
      </c>
      <c r="N1571" s="3">
        <v>352.39</v>
      </c>
      <c r="O1571" s="1" t="s">
        <v>2251</v>
      </c>
      <c r="P1571" s="1" t="s">
        <v>2078</v>
      </c>
      <c r="Q1571" s="1" t="str">
        <f>TEXT((Data[[#This Row],[Order_Date]]), "mmm")</f>
        <v>Apr</v>
      </c>
    </row>
    <row r="1572" spans="4:17" x14ac:dyDescent="0.3">
      <c r="D1572" s="1" t="s">
        <v>1634</v>
      </c>
      <c r="E1572" s="2">
        <v>45427</v>
      </c>
      <c r="F1572" s="2">
        <v>45431</v>
      </c>
      <c r="G1572" s="1" t="s">
        <v>11</v>
      </c>
      <c r="H1572" s="1" t="s">
        <v>17</v>
      </c>
      <c r="I1572" s="1" t="s">
        <v>18</v>
      </c>
      <c r="J1572" s="1" t="s">
        <v>54</v>
      </c>
      <c r="K1572" s="3">
        <v>3611.35</v>
      </c>
      <c r="L1572" s="1">
        <v>1</v>
      </c>
      <c r="M1572" s="1" t="s">
        <v>29</v>
      </c>
      <c r="N1572" s="3">
        <v>1247.8800000000001</v>
      </c>
      <c r="O1572" s="1" t="s">
        <v>2300</v>
      </c>
      <c r="P1572" s="1" t="s">
        <v>2076</v>
      </c>
      <c r="Q1572" s="1" t="str">
        <f>TEXT((Data[[#This Row],[Order_Date]]), "mmm")</f>
        <v>May</v>
      </c>
    </row>
    <row r="1573" spans="4:17" x14ac:dyDescent="0.3">
      <c r="D1573" s="1" t="s">
        <v>1635</v>
      </c>
      <c r="E1573" s="2">
        <v>45467</v>
      </c>
      <c r="F1573" s="2">
        <v>45471</v>
      </c>
      <c r="G1573" s="1" t="s">
        <v>22</v>
      </c>
      <c r="H1573" s="1" t="s">
        <v>23</v>
      </c>
      <c r="I1573" s="1" t="s">
        <v>78</v>
      </c>
      <c r="J1573" s="1" t="s">
        <v>79</v>
      </c>
      <c r="K1573" s="3">
        <v>422.95</v>
      </c>
      <c r="L1573" s="1">
        <v>8</v>
      </c>
      <c r="M1573" s="1" t="s">
        <v>15</v>
      </c>
      <c r="N1573" s="3">
        <v>68.64</v>
      </c>
      <c r="O1573" s="1" t="s">
        <v>2239</v>
      </c>
      <c r="P1573" s="1" t="s">
        <v>2078</v>
      </c>
      <c r="Q1573" s="1" t="str">
        <f>TEXT((Data[[#This Row],[Order_Date]]), "mmm")</f>
        <v>Jun</v>
      </c>
    </row>
    <row r="1574" spans="4:17" x14ac:dyDescent="0.3">
      <c r="D1574" s="1" t="s">
        <v>1636</v>
      </c>
      <c r="E1574" s="2">
        <v>45319</v>
      </c>
      <c r="F1574" s="2">
        <v>45320</v>
      </c>
      <c r="G1574" s="1" t="s">
        <v>36</v>
      </c>
      <c r="H1574" s="1" t="s">
        <v>23</v>
      </c>
      <c r="I1574" s="1" t="s">
        <v>61</v>
      </c>
      <c r="J1574" s="1" t="s">
        <v>62</v>
      </c>
      <c r="K1574" s="3">
        <v>3333.46</v>
      </c>
      <c r="L1574" s="1">
        <v>17</v>
      </c>
      <c r="M1574" s="1" t="s">
        <v>34</v>
      </c>
      <c r="N1574" s="3">
        <v>1159.9000000000001</v>
      </c>
      <c r="O1574" s="1" t="s">
        <v>2171</v>
      </c>
      <c r="P1574" s="1" t="s">
        <v>2071</v>
      </c>
      <c r="Q1574" s="1" t="str">
        <f>TEXT((Data[[#This Row],[Order_Date]]), "mmm")</f>
        <v>Jan</v>
      </c>
    </row>
    <row r="1575" spans="4:17" x14ac:dyDescent="0.3">
      <c r="D1575" s="1" t="s">
        <v>1637</v>
      </c>
      <c r="E1575" s="2">
        <v>45325</v>
      </c>
      <c r="F1575" s="2">
        <v>45329</v>
      </c>
      <c r="G1575" s="1" t="s">
        <v>36</v>
      </c>
      <c r="H1575" s="1" t="s">
        <v>12</v>
      </c>
      <c r="I1575" s="1" t="s">
        <v>58</v>
      </c>
      <c r="J1575" s="1" t="s">
        <v>120</v>
      </c>
      <c r="K1575" s="3">
        <v>2929.95</v>
      </c>
      <c r="L1575" s="1">
        <v>15</v>
      </c>
      <c r="M1575" s="1" t="s">
        <v>34</v>
      </c>
      <c r="N1575" s="3">
        <v>658.86</v>
      </c>
      <c r="O1575" s="1" t="s">
        <v>2258</v>
      </c>
      <c r="P1575" s="1" t="s">
        <v>2076</v>
      </c>
      <c r="Q1575" s="1" t="str">
        <f>TEXT((Data[[#This Row],[Order_Date]]), "mmm")</f>
        <v>Feb</v>
      </c>
    </row>
    <row r="1576" spans="4:17" x14ac:dyDescent="0.3">
      <c r="D1576" s="1" t="s">
        <v>1638</v>
      </c>
      <c r="E1576" s="2">
        <v>45598</v>
      </c>
      <c r="F1576" s="2">
        <v>45604</v>
      </c>
      <c r="G1576" s="1" t="s">
        <v>31</v>
      </c>
      <c r="H1576" s="1" t="s">
        <v>12</v>
      </c>
      <c r="I1576" s="1" t="s">
        <v>13</v>
      </c>
      <c r="J1576" s="1" t="s">
        <v>96</v>
      </c>
      <c r="K1576" s="3">
        <v>586.21</v>
      </c>
      <c r="L1576" s="1">
        <v>17</v>
      </c>
      <c r="M1576" s="1" t="s">
        <v>34</v>
      </c>
      <c r="N1576" s="3">
        <v>54.84</v>
      </c>
      <c r="O1576" s="1" t="s">
        <v>2215</v>
      </c>
      <c r="P1576" s="1" t="s">
        <v>2076</v>
      </c>
      <c r="Q1576" s="1" t="str">
        <f>TEXT((Data[[#This Row],[Order_Date]]), "mmm")</f>
        <v>Nov</v>
      </c>
    </row>
    <row r="1577" spans="4:17" x14ac:dyDescent="0.3">
      <c r="D1577" s="1" t="s">
        <v>1639</v>
      </c>
      <c r="E1577" s="2">
        <v>45588</v>
      </c>
      <c r="F1577" s="2">
        <v>45594</v>
      </c>
      <c r="G1577" s="1" t="s">
        <v>22</v>
      </c>
      <c r="H1577" s="1" t="s">
        <v>17</v>
      </c>
      <c r="I1577" s="1" t="s">
        <v>27</v>
      </c>
      <c r="J1577" s="1" t="s">
        <v>28</v>
      </c>
      <c r="K1577" s="3">
        <v>1354.03</v>
      </c>
      <c r="L1577" s="1">
        <v>17</v>
      </c>
      <c r="M1577" s="1" t="s">
        <v>34</v>
      </c>
      <c r="N1577" s="3">
        <v>299.02999999999997</v>
      </c>
      <c r="O1577" s="1" t="s">
        <v>2253</v>
      </c>
      <c r="P1577" s="1" t="s">
        <v>2076</v>
      </c>
      <c r="Q1577" s="1" t="str">
        <f>TEXT((Data[[#This Row],[Order_Date]]), "mmm")</f>
        <v>Oct</v>
      </c>
    </row>
    <row r="1578" spans="4:17" x14ac:dyDescent="0.3">
      <c r="D1578" s="1" t="s">
        <v>1640</v>
      </c>
      <c r="E1578" s="2">
        <v>45391</v>
      </c>
      <c r="F1578" s="2">
        <v>45393</v>
      </c>
      <c r="G1578" s="1" t="s">
        <v>22</v>
      </c>
      <c r="H1578" s="1" t="s">
        <v>17</v>
      </c>
      <c r="I1578" s="1" t="s">
        <v>18</v>
      </c>
      <c r="J1578" s="1" t="s">
        <v>19</v>
      </c>
      <c r="K1578" s="3">
        <v>1354.12</v>
      </c>
      <c r="L1578" s="1">
        <v>5</v>
      </c>
      <c r="M1578" s="1" t="s">
        <v>49</v>
      </c>
      <c r="N1578" s="3">
        <v>231.91</v>
      </c>
      <c r="O1578" s="1" t="s">
        <v>2196</v>
      </c>
      <c r="P1578" s="1" t="s">
        <v>2071</v>
      </c>
      <c r="Q1578" s="1" t="str">
        <f>TEXT((Data[[#This Row],[Order_Date]]), "mmm")</f>
        <v>Apr</v>
      </c>
    </row>
    <row r="1579" spans="4:17" x14ac:dyDescent="0.3">
      <c r="D1579" s="1" t="s">
        <v>1641</v>
      </c>
      <c r="E1579" s="2">
        <v>45320</v>
      </c>
      <c r="F1579" s="2">
        <v>45326</v>
      </c>
      <c r="G1579" s="1" t="s">
        <v>11</v>
      </c>
      <c r="H1579" s="1" t="s">
        <v>12</v>
      </c>
      <c r="I1579" s="1" t="s">
        <v>42</v>
      </c>
      <c r="J1579" s="1" t="s">
        <v>72</v>
      </c>
      <c r="K1579" s="3">
        <v>1742.48</v>
      </c>
      <c r="L1579" s="1">
        <v>4</v>
      </c>
      <c r="M1579" s="1" t="s">
        <v>49</v>
      </c>
      <c r="N1579" s="3">
        <v>486.39</v>
      </c>
      <c r="O1579" s="1" t="s">
        <v>2070</v>
      </c>
      <c r="P1579" s="1" t="s">
        <v>2078</v>
      </c>
      <c r="Q1579" s="1" t="str">
        <f>TEXT((Data[[#This Row],[Order_Date]]), "mmm")</f>
        <v>Jan</v>
      </c>
    </row>
    <row r="1580" spans="4:17" x14ac:dyDescent="0.3">
      <c r="D1580" s="1" t="s">
        <v>1642</v>
      </c>
      <c r="E1580" s="2">
        <v>45307</v>
      </c>
      <c r="F1580" s="2">
        <v>45314</v>
      </c>
      <c r="G1580" s="1" t="s">
        <v>22</v>
      </c>
      <c r="H1580" s="1" t="s">
        <v>12</v>
      </c>
      <c r="I1580" s="1" t="s">
        <v>58</v>
      </c>
      <c r="J1580" s="1" t="s">
        <v>105</v>
      </c>
      <c r="K1580" s="3">
        <v>2356.2199999999998</v>
      </c>
      <c r="L1580" s="1">
        <v>8</v>
      </c>
      <c r="M1580" s="1" t="s">
        <v>29</v>
      </c>
      <c r="N1580" s="3">
        <v>546.69000000000005</v>
      </c>
      <c r="O1580" s="1" t="s">
        <v>2210</v>
      </c>
      <c r="P1580" s="1" t="s">
        <v>2078</v>
      </c>
      <c r="Q1580" s="1" t="str">
        <f>TEXT((Data[[#This Row],[Order_Date]]), "mmm")</f>
        <v>Jan</v>
      </c>
    </row>
    <row r="1581" spans="4:17" x14ac:dyDescent="0.3">
      <c r="D1581" s="1" t="s">
        <v>1643</v>
      </c>
      <c r="E1581" s="2">
        <v>45631</v>
      </c>
      <c r="F1581" s="2">
        <v>45636</v>
      </c>
      <c r="G1581" s="1" t="s">
        <v>22</v>
      </c>
      <c r="H1581" s="1" t="s">
        <v>12</v>
      </c>
      <c r="I1581" s="1" t="s">
        <v>58</v>
      </c>
      <c r="J1581" s="1" t="s">
        <v>59</v>
      </c>
      <c r="K1581" s="3">
        <v>3614</v>
      </c>
      <c r="L1581" s="1">
        <v>1</v>
      </c>
      <c r="M1581" s="1" t="s">
        <v>34</v>
      </c>
      <c r="N1581" s="3">
        <v>1078.43</v>
      </c>
      <c r="O1581" s="1" t="s">
        <v>2166</v>
      </c>
      <c r="P1581" s="1" t="s">
        <v>2076</v>
      </c>
      <c r="Q1581" s="1" t="str">
        <f>TEXT((Data[[#This Row],[Order_Date]]), "mmm")</f>
        <v>Dec</v>
      </c>
    </row>
    <row r="1582" spans="4:17" x14ac:dyDescent="0.3">
      <c r="D1582" s="1" t="s">
        <v>1644</v>
      </c>
      <c r="E1582" s="2">
        <v>45500</v>
      </c>
      <c r="F1582" s="2">
        <v>45501</v>
      </c>
      <c r="G1582" s="1" t="s">
        <v>22</v>
      </c>
      <c r="H1582" s="1" t="s">
        <v>12</v>
      </c>
      <c r="I1582" s="1" t="s">
        <v>42</v>
      </c>
      <c r="J1582" s="1" t="s">
        <v>46</v>
      </c>
      <c r="K1582" s="3">
        <v>362.27</v>
      </c>
      <c r="L1582" s="1">
        <v>5</v>
      </c>
      <c r="M1582" s="1" t="s">
        <v>49</v>
      </c>
      <c r="N1582" s="3">
        <v>82.29</v>
      </c>
      <c r="O1582" s="1" t="s">
        <v>2137</v>
      </c>
      <c r="P1582" s="1" t="s">
        <v>2071</v>
      </c>
      <c r="Q1582" s="1" t="str">
        <f>TEXT((Data[[#This Row],[Order_Date]]), "mmm")</f>
        <v>Jul</v>
      </c>
    </row>
    <row r="1583" spans="4:17" x14ac:dyDescent="0.3">
      <c r="D1583" s="1" t="s">
        <v>1645</v>
      </c>
      <c r="E1583" s="2">
        <v>45638</v>
      </c>
      <c r="F1583" s="2">
        <v>45640</v>
      </c>
      <c r="G1583" s="1" t="s">
        <v>31</v>
      </c>
      <c r="H1583" s="1" t="s">
        <v>12</v>
      </c>
      <c r="I1583" s="1" t="s">
        <v>13</v>
      </c>
      <c r="J1583" s="1" t="s">
        <v>51</v>
      </c>
      <c r="K1583" s="3">
        <v>3188.5</v>
      </c>
      <c r="L1583" s="1">
        <v>13</v>
      </c>
      <c r="M1583" s="1" t="s">
        <v>29</v>
      </c>
      <c r="N1583" s="3">
        <v>521.28</v>
      </c>
      <c r="O1583" s="1" t="s">
        <v>2280</v>
      </c>
      <c r="P1583" s="1" t="s">
        <v>2071</v>
      </c>
      <c r="Q1583" s="1" t="str">
        <f>TEXT((Data[[#This Row],[Order_Date]]), "mmm")</f>
        <v>Dec</v>
      </c>
    </row>
    <row r="1584" spans="4:17" x14ac:dyDescent="0.3">
      <c r="D1584" s="1" t="s">
        <v>1646</v>
      </c>
      <c r="E1584" s="2">
        <v>45329</v>
      </c>
      <c r="F1584" s="2">
        <v>45332</v>
      </c>
      <c r="G1584" s="1" t="s">
        <v>11</v>
      </c>
      <c r="H1584" s="1" t="s">
        <v>12</v>
      </c>
      <c r="I1584" s="1" t="s">
        <v>42</v>
      </c>
      <c r="J1584" s="1" t="s">
        <v>43</v>
      </c>
      <c r="K1584" s="3">
        <v>618.45000000000005</v>
      </c>
      <c r="L1584" s="1">
        <v>5</v>
      </c>
      <c r="M1584" s="1" t="s">
        <v>44</v>
      </c>
      <c r="N1584" s="3">
        <v>180.69</v>
      </c>
      <c r="O1584" s="1" t="s">
        <v>2256</v>
      </c>
      <c r="P1584" s="1" t="s">
        <v>2071</v>
      </c>
      <c r="Q1584" s="1" t="str">
        <f>TEXT((Data[[#This Row],[Order_Date]]), "mmm")</f>
        <v>Feb</v>
      </c>
    </row>
    <row r="1585" spans="4:17" x14ac:dyDescent="0.3">
      <c r="D1585" s="1" t="s">
        <v>1647</v>
      </c>
      <c r="E1585" s="2">
        <v>45464</v>
      </c>
      <c r="F1585" s="2">
        <v>45465</v>
      </c>
      <c r="G1585" s="1" t="s">
        <v>36</v>
      </c>
      <c r="H1585" s="1" t="s">
        <v>17</v>
      </c>
      <c r="I1585" s="1" t="s">
        <v>27</v>
      </c>
      <c r="J1585" s="1" t="s">
        <v>108</v>
      </c>
      <c r="K1585" s="3">
        <v>2280.5100000000002</v>
      </c>
      <c r="L1585" s="1">
        <v>8</v>
      </c>
      <c r="M1585" s="1" t="s">
        <v>29</v>
      </c>
      <c r="N1585" s="3">
        <v>658.81</v>
      </c>
      <c r="O1585" s="1" t="s">
        <v>2098</v>
      </c>
      <c r="P1585" s="1" t="s">
        <v>2078</v>
      </c>
      <c r="Q1585" s="1" t="str">
        <f>TEXT((Data[[#This Row],[Order_Date]]), "mmm")</f>
        <v>Jun</v>
      </c>
    </row>
    <row r="1586" spans="4:17" x14ac:dyDescent="0.3">
      <c r="D1586" s="1" t="s">
        <v>1648</v>
      </c>
      <c r="E1586" s="2">
        <v>45552</v>
      </c>
      <c r="F1586" s="2">
        <v>45556</v>
      </c>
      <c r="G1586" s="1" t="s">
        <v>11</v>
      </c>
      <c r="H1586" s="1" t="s">
        <v>17</v>
      </c>
      <c r="I1586" s="1" t="s">
        <v>18</v>
      </c>
      <c r="J1586" s="1" t="s">
        <v>54</v>
      </c>
      <c r="K1586" s="3">
        <v>3071.25</v>
      </c>
      <c r="L1586" s="1">
        <v>1</v>
      </c>
      <c r="M1586" s="1" t="s">
        <v>20</v>
      </c>
      <c r="N1586" s="3">
        <v>768.78</v>
      </c>
      <c r="O1586" s="1" t="s">
        <v>2244</v>
      </c>
      <c r="P1586" s="1" t="s">
        <v>2071</v>
      </c>
      <c r="Q1586" s="1" t="str">
        <f>TEXT((Data[[#This Row],[Order_Date]]), "mmm")</f>
        <v>Sep</v>
      </c>
    </row>
    <row r="1587" spans="4:17" x14ac:dyDescent="0.3">
      <c r="D1587" s="1" t="s">
        <v>1649</v>
      </c>
      <c r="E1587" s="2">
        <v>45599</v>
      </c>
      <c r="F1587" s="2">
        <v>45605</v>
      </c>
      <c r="G1587" s="1" t="s">
        <v>31</v>
      </c>
      <c r="H1587" s="1" t="s">
        <v>17</v>
      </c>
      <c r="I1587" s="1" t="s">
        <v>18</v>
      </c>
      <c r="J1587" s="1" t="s">
        <v>19</v>
      </c>
      <c r="K1587" s="3">
        <v>3376.41</v>
      </c>
      <c r="L1587" s="1">
        <v>13</v>
      </c>
      <c r="M1587" s="1" t="s">
        <v>29</v>
      </c>
      <c r="N1587" s="3">
        <v>-373.49</v>
      </c>
      <c r="O1587" s="1" t="s">
        <v>2281</v>
      </c>
      <c r="P1587" s="1" t="s">
        <v>2071</v>
      </c>
      <c r="Q1587" s="1" t="str">
        <f>TEXT((Data[[#This Row],[Order_Date]]), "mmm")</f>
        <v>Nov</v>
      </c>
    </row>
    <row r="1588" spans="4:17" x14ac:dyDescent="0.3">
      <c r="D1588" s="1" t="s">
        <v>1650</v>
      </c>
      <c r="E1588" s="2">
        <v>45390</v>
      </c>
      <c r="F1588" s="2">
        <v>45395</v>
      </c>
      <c r="G1588" s="1" t="s">
        <v>11</v>
      </c>
      <c r="H1588" s="1" t="s">
        <v>17</v>
      </c>
      <c r="I1588" s="1" t="s">
        <v>18</v>
      </c>
      <c r="J1588" s="1" t="s">
        <v>54</v>
      </c>
      <c r="K1588" s="3">
        <v>2229.3000000000002</v>
      </c>
      <c r="L1588" s="1">
        <v>20</v>
      </c>
      <c r="M1588" s="1" t="s">
        <v>15</v>
      </c>
      <c r="N1588" s="3">
        <v>298.22000000000003</v>
      </c>
      <c r="O1588" s="1" t="s">
        <v>2280</v>
      </c>
      <c r="P1588" s="1" t="s">
        <v>2076</v>
      </c>
      <c r="Q1588" s="1" t="str">
        <f>TEXT((Data[[#This Row],[Order_Date]]), "mmm")</f>
        <v>Apr</v>
      </c>
    </row>
    <row r="1589" spans="4:17" x14ac:dyDescent="0.3">
      <c r="D1589" s="1" t="s">
        <v>1651</v>
      </c>
      <c r="E1589" s="2">
        <v>45602</v>
      </c>
      <c r="F1589" s="2">
        <v>45603</v>
      </c>
      <c r="G1589" s="1" t="s">
        <v>36</v>
      </c>
      <c r="H1589" s="1" t="s">
        <v>17</v>
      </c>
      <c r="I1589" s="1" t="s">
        <v>27</v>
      </c>
      <c r="J1589" s="1" t="s">
        <v>108</v>
      </c>
      <c r="K1589" s="3">
        <v>3151.2</v>
      </c>
      <c r="L1589" s="1">
        <v>17</v>
      </c>
      <c r="M1589" s="1" t="s">
        <v>44</v>
      </c>
      <c r="N1589" s="3">
        <v>981.76</v>
      </c>
      <c r="O1589" s="1" t="s">
        <v>2247</v>
      </c>
      <c r="P1589" s="1" t="s">
        <v>2076</v>
      </c>
      <c r="Q1589" s="1" t="str">
        <f>TEXT((Data[[#This Row],[Order_Date]]), "mmm")</f>
        <v>Nov</v>
      </c>
    </row>
    <row r="1590" spans="4:17" x14ac:dyDescent="0.3">
      <c r="D1590" s="1" t="s">
        <v>1652</v>
      </c>
      <c r="E1590" s="2">
        <v>45620</v>
      </c>
      <c r="F1590" s="2">
        <v>45626</v>
      </c>
      <c r="G1590" s="1" t="s">
        <v>22</v>
      </c>
      <c r="H1590" s="1" t="s">
        <v>17</v>
      </c>
      <c r="I1590" s="1" t="s">
        <v>32</v>
      </c>
      <c r="J1590" s="1" t="s">
        <v>33</v>
      </c>
      <c r="K1590" s="3">
        <v>1076.92</v>
      </c>
      <c r="L1590" s="1">
        <v>9</v>
      </c>
      <c r="M1590" s="1" t="s">
        <v>34</v>
      </c>
      <c r="N1590" s="3">
        <v>59.28</v>
      </c>
      <c r="O1590" s="1" t="s">
        <v>2155</v>
      </c>
      <c r="P1590" s="1" t="s">
        <v>2076</v>
      </c>
      <c r="Q1590" s="1" t="str">
        <f>TEXT((Data[[#This Row],[Order_Date]]), "mmm")</f>
        <v>Nov</v>
      </c>
    </row>
    <row r="1591" spans="4:17" x14ac:dyDescent="0.3">
      <c r="D1591" s="1" t="s">
        <v>1653</v>
      </c>
      <c r="E1591" s="2">
        <v>45518</v>
      </c>
      <c r="F1591" s="2">
        <v>45522</v>
      </c>
      <c r="G1591" s="1" t="s">
        <v>31</v>
      </c>
      <c r="H1591" s="1" t="s">
        <v>17</v>
      </c>
      <c r="I1591" s="1" t="s">
        <v>18</v>
      </c>
      <c r="J1591" s="1" t="s">
        <v>90</v>
      </c>
      <c r="K1591" s="3">
        <v>3785.99</v>
      </c>
      <c r="L1591" s="1">
        <v>5</v>
      </c>
      <c r="M1591" s="1" t="s">
        <v>15</v>
      </c>
      <c r="N1591" s="3">
        <v>647.27</v>
      </c>
      <c r="O1591" s="1" t="s">
        <v>2201</v>
      </c>
      <c r="P1591" s="1" t="s">
        <v>2078</v>
      </c>
      <c r="Q1591" s="1" t="str">
        <f>TEXT((Data[[#This Row],[Order_Date]]), "mmm")</f>
        <v>Aug</v>
      </c>
    </row>
    <row r="1592" spans="4:17" x14ac:dyDescent="0.3">
      <c r="D1592" s="1" t="s">
        <v>1654</v>
      </c>
      <c r="E1592" s="2">
        <v>45635</v>
      </c>
      <c r="F1592" s="2">
        <v>45637</v>
      </c>
      <c r="G1592" s="1" t="s">
        <v>22</v>
      </c>
      <c r="H1592" s="1" t="s">
        <v>23</v>
      </c>
      <c r="I1592" s="1" t="s">
        <v>61</v>
      </c>
      <c r="J1592" s="1" t="s">
        <v>62</v>
      </c>
      <c r="K1592" s="3">
        <v>3245</v>
      </c>
      <c r="L1592" s="1">
        <v>16</v>
      </c>
      <c r="M1592" s="1" t="s">
        <v>15</v>
      </c>
      <c r="N1592" s="3">
        <v>771.07</v>
      </c>
      <c r="O1592" s="1" t="s">
        <v>2121</v>
      </c>
      <c r="P1592" s="1" t="s">
        <v>2078</v>
      </c>
      <c r="Q1592" s="1" t="str">
        <f>TEXT((Data[[#This Row],[Order_Date]]), "mmm")</f>
        <v>Dec</v>
      </c>
    </row>
    <row r="1593" spans="4:17" x14ac:dyDescent="0.3">
      <c r="D1593" s="1" t="s">
        <v>1655</v>
      </c>
      <c r="E1593" s="2">
        <v>45488</v>
      </c>
      <c r="F1593" s="2">
        <v>45488</v>
      </c>
      <c r="G1593" s="1" t="s">
        <v>22</v>
      </c>
      <c r="H1593" s="1" t="s">
        <v>12</v>
      </c>
      <c r="I1593" s="1" t="s">
        <v>38</v>
      </c>
      <c r="J1593" s="1" t="s">
        <v>85</v>
      </c>
      <c r="K1593" s="3">
        <v>335.26</v>
      </c>
      <c r="L1593" s="1">
        <v>17</v>
      </c>
      <c r="M1593" s="1" t="s">
        <v>15</v>
      </c>
      <c r="N1593" s="3">
        <v>-70.42</v>
      </c>
      <c r="O1593" s="1" t="s">
        <v>2208</v>
      </c>
      <c r="P1593" s="1" t="s">
        <v>2071</v>
      </c>
      <c r="Q1593" s="1" t="str">
        <f>TEXT((Data[[#This Row],[Order_Date]]), "mmm")</f>
        <v>Jul</v>
      </c>
    </row>
    <row r="1594" spans="4:17" x14ac:dyDescent="0.3">
      <c r="D1594" s="1" t="s">
        <v>1656</v>
      </c>
      <c r="E1594" s="2">
        <v>45391</v>
      </c>
      <c r="F1594" s="2">
        <v>45394</v>
      </c>
      <c r="G1594" s="1" t="s">
        <v>22</v>
      </c>
      <c r="H1594" s="1" t="s">
        <v>23</v>
      </c>
      <c r="I1594" s="1" t="s">
        <v>78</v>
      </c>
      <c r="J1594" s="1" t="s">
        <v>118</v>
      </c>
      <c r="K1594" s="3">
        <v>3764.66</v>
      </c>
      <c r="L1594" s="1">
        <v>11</v>
      </c>
      <c r="M1594" s="1" t="s">
        <v>34</v>
      </c>
      <c r="N1594" s="3">
        <v>995.66</v>
      </c>
      <c r="O1594" s="1" t="s">
        <v>2208</v>
      </c>
      <c r="P1594" s="1" t="s">
        <v>2078</v>
      </c>
      <c r="Q1594" s="1" t="str">
        <f>TEXT((Data[[#This Row],[Order_Date]]), "mmm")</f>
        <v>Apr</v>
      </c>
    </row>
    <row r="1595" spans="4:17" x14ac:dyDescent="0.3">
      <c r="D1595" s="1" t="s">
        <v>1657</v>
      </c>
      <c r="E1595" s="2">
        <v>45468</v>
      </c>
      <c r="F1595" s="2">
        <v>45474</v>
      </c>
      <c r="G1595" s="1" t="s">
        <v>11</v>
      </c>
      <c r="H1595" s="1" t="s">
        <v>23</v>
      </c>
      <c r="I1595" s="1" t="s">
        <v>61</v>
      </c>
      <c r="J1595" s="1" t="s">
        <v>98</v>
      </c>
      <c r="K1595" s="3">
        <v>289.91000000000003</v>
      </c>
      <c r="L1595" s="1">
        <v>6</v>
      </c>
      <c r="M1595" s="1" t="s">
        <v>15</v>
      </c>
      <c r="N1595" s="3">
        <v>23.34</v>
      </c>
      <c r="O1595" s="1" t="s">
        <v>2133</v>
      </c>
      <c r="P1595" s="1" t="s">
        <v>2078</v>
      </c>
      <c r="Q1595" s="1" t="str">
        <f>TEXT((Data[[#This Row],[Order_Date]]), "mmm")</f>
        <v>Jun</v>
      </c>
    </row>
    <row r="1596" spans="4:17" x14ac:dyDescent="0.3">
      <c r="D1596" s="1" t="s">
        <v>1658</v>
      </c>
      <c r="E1596" s="2">
        <v>45292</v>
      </c>
      <c r="F1596" s="2">
        <v>45298</v>
      </c>
      <c r="G1596" s="1" t="s">
        <v>11</v>
      </c>
      <c r="H1596" s="1" t="s">
        <v>17</v>
      </c>
      <c r="I1596" s="1" t="s">
        <v>27</v>
      </c>
      <c r="J1596" s="1" t="s">
        <v>132</v>
      </c>
      <c r="K1596" s="3">
        <v>3344.38</v>
      </c>
      <c r="L1596" s="1">
        <v>11</v>
      </c>
      <c r="M1596" s="1" t="s">
        <v>44</v>
      </c>
      <c r="N1596" s="3">
        <v>636.5</v>
      </c>
      <c r="O1596" s="1" t="s">
        <v>2101</v>
      </c>
      <c r="P1596" s="1" t="s">
        <v>2078</v>
      </c>
      <c r="Q1596" s="1" t="str">
        <f>TEXT((Data[[#This Row],[Order_Date]]), "mmm")</f>
        <v>Jan</v>
      </c>
    </row>
    <row r="1597" spans="4:17" x14ac:dyDescent="0.3">
      <c r="D1597" s="1" t="s">
        <v>1659</v>
      </c>
      <c r="E1597" s="2">
        <v>45468</v>
      </c>
      <c r="F1597" s="2">
        <v>45474</v>
      </c>
      <c r="G1597" s="1" t="s">
        <v>11</v>
      </c>
      <c r="H1597" s="1" t="s">
        <v>17</v>
      </c>
      <c r="I1597" s="1" t="s">
        <v>18</v>
      </c>
      <c r="J1597" s="1" t="s">
        <v>54</v>
      </c>
      <c r="K1597" s="3">
        <v>528.76</v>
      </c>
      <c r="L1597" s="1">
        <v>18</v>
      </c>
      <c r="M1597" s="1" t="s">
        <v>34</v>
      </c>
      <c r="N1597" s="3">
        <v>75.150000000000006</v>
      </c>
      <c r="O1597" s="1" t="s">
        <v>2104</v>
      </c>
      <c r="P1597" s="1" t="s">
        <v>2071</v>
      </c>
      <c r="Q1597" s="1" t="str">
        <f>TEXT((Data[[#This Row],[Order_Date]]), "mmm")</f>
        <v>Jun</v>
      </c>
    </row>
    <row r="1598" spans="4:17" x14ac:dyDescent="0.3">
      <c r="D1598" s="1" t="s">
        <v>1660</v>
      </c>
      <c r="E1598" s="2">
        <v>45378</v>
      </c>
      <c r="F1598" s="2">
        <v>45383</v>
      </c>
      <c r="G1598" s="1" t="s">
        <v>11</v>
      </c>
      <c r="H1598" s="1" t="s">
        <v>17</v>
      </c>
      <c r="I1598" s="1" t="s">
        <v>27</v>
      </c>
      <c r="J1598" s="1" t="s">
        <v>110</v>
      </c>
      <c r="K1598" s="3">
        <v>2163.5100000000002</v>
      </c>
      <c r="L1598" s="1">
        <v>4</v>
      </c>
      <c r="M1598" s="1" t="s">
        <v>49</v>
      </c>
      <c r="N1598" s="3">
        <v>286.92</v>
      </c>
      <c r="O1598" s="1" t="s">
        <v>2126</v>
      </c>
      <c r="P1598" s="1" t="s">
        <v>2078</v>
      </c>
      <c r="Q1598" s="1" t="str">
        <f>TEXT((Data[[#This Row],[Order_Date]]), "mmm")</f>
        <v>Mar</v>
      </c>
    </row>
    <row r="1599" spans="4:17" x14ac:dyDescent="0.3">
      <c r="D1599" s="1" t="s">
        <v>1661</v>
      </c>
      <c r="E1599" s="2">
        <v>45413</v>
      </c>
      <c r="F1599" s="2">
        <v>45420</v>
      </c>
      <c r="G1599" s="1" t="s">
        <v>22</v>
      </c>
      <c r="H1599" s="1" t="s">
        <v>12</v>
      </c>
      <c r="I1599" s="1" t="s">
        <v>13</v>
      </c>
      <c r="J1599" s="1" t="s">
        <v>51</v>
      </c>
      <c r="K1599" s="3">
        <v>1743.85</v>
      </c>
      <c r="L1599" s="1">
        <v>18</v>
      </c>
      <c r="M1599" s="1" t="s">
        <v>20</v>
      </c>
      <c r="N1599" s="3">
        <v>572.51</v>
      </c>
      <c r="O1599" s="1" t="s">
        <v>2088</v>
      </c>
      <c r="P1599" s="1" t="s">
        <v>2076</v>
      </c>
      <c r="Q1599" s="1" t="str">
        <f>TEXT((Data[[#This Row],[Order_Date]]), "mmm")</f>
        <v>May</v>
      </c>
    </row>
    <row r="1600" spans="4:17" x14ac:dyDescent="0.3">
      <c r="D1600" s="1" t="s">
        <v>1662</v>
      </c>
      <c r="E1600" s="2">
        <v>45547</v>
      </c>
      <c r="F1600" s="2">
        <v>45549</v>
      </c>
      <c r="G1600" s="1" t="s">
        <v>22</v>
      </c>
      <c r="H1600" s="1" t="s">
        <v>17</v>
      </c>
      <c r="I1600" s="1" t="s">
        <v>18</v>
      </c>
      <c r="J1600" s="1" t="s">
        <v>19</v>
      </c>
      <c r="K1600" s="3">
        <v>2646.48</v>
      </c>
      <c r="L1600" s="1">
        <v>16</v>
      </c>
      <c r="M1600" s="1" t="s">
        <v>29</v>
      </c>
      <c r="N1600" s="3">
        <v>558.07000000000005</v>
      </c>
      <c r="O1600" s="1" t="s">
        <v>2258</v>
      </c>
      <c r="P1600" s="1" t="s">
        <v>2071</v>
      </c>
      <c r="Q1600" s="1" t="str">
        <f>TEXT((Data[[#This Row],[Order_Date]]), "mmm")</f>
        <v>Sep</v>
      </c>
    </row>
    <row r="1601" spans="4:17" x14ac:dyDescent="0.3">
      <c r="D1601" s="1" t="s">
        <v>1663</v>
      </c>
      <c r="E1601" s="2">
        <v>45613</v>
      </c>
      <c r="F1601" s="2">
        <v>45616</v>
      </c>
      <c r="G1601" s="1" t="s">
        <v>36</v>
      </c>
      <c r="H1601" s="1" t="s">
        <v>12</v>
      </c>
      <c r="I1601" s="1" t="s">
        <v>42</v>
      </c>
      <c r="J1601" s="1" t="s">
        <v>72</v>
      </c>
      <c r="K1601" s="3">
        <v>2396.9499999999998</v>
      </c>
      <c r="L1601" s="1">
        <v>11</v>
      </c>
      <c r="M1601" s="1" t="s">
        <v>15</v>
      </c>
      <c r="N1601" s="3">
        <v>716.51</v>
      </c>
      <c r="O1601" s="1" t="s">
        <v>2114</v>
      </c>
      <c r="P1601" s="1" t="s">
        <v>2076</v>
      </c>
      <c r="Q1601" s="1" t="str">
        <f>TEXT((Data[[#This Row],[Order_Date]]), "mmm")</f>
        <v>Nov</v>
      </c>
    </row>
    <row r="1602" spans="4:17" x14ac:dyDescent="0.3">
      <c r="D1602" s="1" t="s">
        <v>1664</v>
      </c>
      <c r="E1602" s="2">
        <v>45643</v>
      </c>
      <c r="F1602" s="2">
        <v>45650</v>
      </c>
      <c r="G1602" s="1" t="s">
        <v>22</v>
      </c>
      <c r="H1602" s="1" t="s">
        <v>23</v>
      </c>
      <c r="I1602" s="1" t="s">
        <v>78</v>
      </c>
      <c r="J1602" s="1" t="s">
        <v>118</v>
      </c>
      <c r="K1602" s="3">
        <v>3537.41</v>
      </c>
      <c r="L1602" s="1">
        <v>17</v>
      </c>
      <c r="M1602" s="1" t="s">
        <v>44</v>
      </c>
      <c r="N1602" s="3">
        <v>753.66</v>
      </c>
      <c r="O1602" s="1" t="s">
        <v>2094</v>
      </c>
      <c r="P1602" s="1" t="s">
        <v>2076</v>
      </c>
      <c r="Q1602" s="1" t="str">
        <f>TEXT((Data[[#This Row],[Order_Date]]), "mmm")</f>
        <v>Dec</v>
      </c>
    </row>
    <row r="1603" spans="4:17" x14ac:dyDescent="0.3">
      <c r="D1603" s="1" t="s">
        <v>1665</v>
      </c>
      <c r="E1603" s="2">
        <v>45501</v>
      </c>
      <c r="F1603" s="2">
        <v>45501</v>
      </c>
      <c r="G1603" s="1" t="s">
        <v>36</v>
      </c>
      <c r="H1603" s="1" t="s">
        <v>17</v>
      </c>
      <c r="I1603" s="1" t="s">
        <v>32</v>
      </c>
      <c r="J1603" s="1" t="s">
        <v>33</v>
      </c>
      <c r="K1603" s="3">
        <v>3849.13</v>
      </c>
      <c r="L1603" s="1">
        <v>1</v>
      </c>
      <c r="M1603" s="1" t="s">
        <v>49</v>
      </c>
      <c r="N1603" s="3">
        <v>1099.6300000000001</v>
      </c>
      <c r="O1603" s="1" t="s">
        <v>2275</v>
      </c>
      <c r="P1603" s="1" t="s">
        <v>2071</v>
      </c>
      <c r="Q1603" s="1" t="str">
        <f>TEXT((Data[[#This Row],[Order_Date]]), "mmm")</f>
        <v>Jul</v>
      </c>
    </row>
    <row r="1604" spans="4:17" x14ac:dyDescent="0.3">
      <c r="D1604" s="1" t="s">
        <v>1666</v>
      </c>
      <c r="E1604" s="2">
        <v>45617</v>
      </c>
      <c r="F1604" s="2">
        <v>45623</v>
      </c>
      <c r="G1604" s="1" t="s">
        <v>31</v>
      </c>
      <c r="H1604" s="1" t="s">
        <v>12</v>
      </c>
      <c r="I1604" s="1" t="s">
        <v>38</v>
      </c>
      <c r="J1604" s="1" t="s">
        <v>85</v>
      </c>
      <c r="K1604" s="3">
        <v>2043.7</v>
      </c>
      <c r="L1604" s="1">
        <v>2</v>
      </c>
      <c r="M1604" s="1" t="s">
        <v>49</v>
      </c>
      <c r="N1604" s="3">
        <v>630.01</v>
      </c>
      <c r="O1604" s="1" t="s">
        <v>2225</v>
      </c>
      <c r="P1604" s="1" t="s">
        <v>2078</v>
      </c>
      <c r="Q1604" s="1" t="str">
        <f>TEXT((Data[[#This Row],[Order_Date]]), "mmm")</f>
        <v>Nov</v>
      </c>
    </row>
    <row r="1605" spans="4:17" x14ac:dyDescent="0.3">
      <c r="D1605" s="1" t="s">
        <v>1667</v>
      </c>
      <c r="E1605" s="2">
        <v>45499</v>
      </c>
      <c r="F1605" s="2">
        <v>45501</v>
      </c>
      <c r="G1605" s="1" t="s">
        <v>11</v>
      </c>
      <c r="H1605" s="1" t="s">
        <v>23</v>
      </c>
      <c r="I1605" s="1" t="s">
        <v>61</v>
      </c>
      <c r="J1605" s="1" t="s">
        <v>98</v>
      </c>
      <c r="K1605" s="3">
        <v>2277.33</v>
      </c>
      <c r="L1605" s="1">
        <v>3</v>
      </c>
      <c r="M1605" s="1" t="s">
        <v>15</v>
      </c>
      <c r="N1605" s="3">
        <v>688.22</v>
      </c>
      <c r="O1605" s="1" t="s">
        <v>2244</v>
      </c>
      <c r="P1605" s="1" t="s">
        <v>2076</v>
      </c>
      <c r="Q1605" s="1" t="str">
        <f>TEXT((Data[[#This Row],[Order_Date]]), "mmm")</f>
        <v>Jul</v>
      </c>
    </row>
    <row r="1606" spans="4:17" x14ac:dyDescent="0.3">
      <c r="D1606" s="1" t="s">
        <v>1668</v>
      </c>
      <c r="E1606" s="2">
        <v>45614</v>
      </c>
      <c r="F1606" s="2">
        <v>45619</v>
      </c>
      <c r="G1606" s="1" t="s">
        <v>36</v>
      </c>
      <c r="H1606" s="1" t="s">
        <v>12</v>
      </c>
      <c r="I1606" s="1" t="s">
        <v>58</v>
      </c>
      <c r="J1606" s="1" t="s">
        <v>120</v>
      </c>
      <c r="K1606" s="3">
        <v>3970.57</v>
      </c>
      <c r="L1606" s="1">
        <v>12</v>
      </c>
      <c r="M1606" s="1" t="s">
        <v>20</v>
      </c>
      <c r="N1606" s="3">
        <v>1124.4100000000001</v>
      </c>
      <c r="O1606" s="1" t="s">
        <v>2182</v>
      </c>
      <c r="P1606" s="1" t="s">
        <v>2071</v>
      </c>
      <c r="Q1606" s="1" t="str">
        <f>TEXT((Data[[#This Row],[Order_Date]]), "mmm")</f>
        <v>Nov</v>
      </c>
    </row>
    <row r="1607" spans="4:17" x14ac:dyDescent="0.3">
      <c r="D1607" s="1" t="s">
        <v>1669</v>
      </c>
      <c r="E1607" s="2">
        <v>45521</v>
      </c>
      <c r="F1607" s="2">
        <v>45522</v>
      </c>
      <c r="G1607" s="1" t="s">
        <v>36</v>
      </c>
      <c r="H1607" s="1" t="s">
        <v>23</v>
      </c>
      <c r="I1607" s="1" t="s">
        <v>78</v>
      </c>
      <c r="J1607" s="1" t="s">
        <v>118</v>
      </c>
      <c r="K1607" s="3">
        <v>2210.64</v>
      </c>
      <c r="L1607" s="1">
        <v>6</v>
      </c>
      <c r="M1607" s="1" t="s">
        <v>20</v>
      </c>
      <c r="N1607" s="3">
        <v>-761.59</v>
      </c>
      <c r="O1607" s="1" t="s">
        <v>2220</v>
      </c>
      <c r="P1607" s="1" t="s">
        <v>2076</v>
      </c>
      <c r="Q1607" s="1" t="str">
        <f>TEXT((Data[[#This Row],[Order_Date]]), "mmm")</f>
        <v>Aug</v>
      </c>
    </row>
    <row r="1608" spans="4:17" x14ac:dyDescent="0.3">
      <c r="D1608" s="1" t="s">
        <v>1670</v>
      </c>
      <c r="E1608" s="2">
        <v>45582</v>
      </c>
      <c r="F1608" s="2">
        <v>45588</v>
      </c>
      <c r="G1608" s="1" t="s">
        <v>31</v>
      </c>
      <c r="H1608" s="1" t="s">
        <v>12</v>
      </c>
      <c r="I1608" s="1" t="s">
        <v>38</v>
      </c>
      <c r="J1608" s="1" t="s">
        <v>39</v>
      </c>
      <c r="K1608" s="3">
        <v>2464.87</v>
      </c>
      <c r="L1608" s="1">
        <v>9</v>
      </c>
      <c r="M1608" s="1" t="s">
        <v>44</v>
      </c>
      <c r="N1608" s="3">
        <v>441.18</v>
      </c>
      <c r="O1608" s="1" t="s">
        <v>2113</v>
      </c>
      <c r="P1608" s="1" t="s">
        <v>2078</v>
      </c>
      <c r="Q1608" s="1" t="str">
        <f>TEXT((Data[[#This Row],[Order_Date]]), "mmm")</f>
        <v>Oct</v>
      </c>
    </row>
    <row r="1609" spans="4:17" x14ac:dyDescent="0.3">
      <c r="D1609" s="1" t="s">
        <v>1671</v>
      </c>
      <c r="E1609" s="2">
        <v>45439</v>
      </c>
      <c r="F1609" s="2">
        <v>45439</v>
      </c>
      <c r="G1609" s="1" t="s">
        <v>22</v>
      </c>
      <c r="H1609" s="1" t="s">
        <v>17</v>
      </c>
      <c r="I1609" s="1" t="s">
        <v>18</v>
      </c>
      <c r="J1609" s="1" t="s">
        <v>54</v>
      </c>
      <c r="K1609" s="3">
        <v>3243.94</v>
      </c>
      <c r="L1609" s="1">
        <v>20</v>
      </c>
      <c r="M1609" s="1" t="s">
        <v>15</v>
      </c>
      <c r="N1609" s="3">
        <v>872.27</v>
      </c>
      <c r="O1609" s="1" t="s">
        <v>2272</v>
      </c>
      <c r="P1609" s="1" t="s">
        <v>2076</v>
      </c>
      <c r="Q1609" s="1" t="str">
        <f>TEXT((Data[[#This Row],[Order_Date]]), "mmm")</f>
        <v>May</v>
      </c>
    </row>
    <row r="1610" spans="4:17" x14ac:dyDescent="0.3">
      <c r="D1610" s="1" t="s">
        <v>1672</v>
      </c>
      <c r="E1610" s="2">
        <v>45569</v>
      </c>
      <c r="F1610" s="2">
        <v>45575</v>
      </c>
      <c r="G1610" s="1" t="s">
        <v>36</v>
      </c>
      <c r="H1610" s="1" t="s">
        <v>12</v>
      </c>
      <c r="I1610" s="1" t="s">
        <v>13</v>
      </c>
      <c r="J1610" s="1" t="s">
        <v>14</v>
      </c>
      <c r="K1610" s="3">
        <v>1368.01</v>
      </c>
      <c r="L1610" s="1">
        <v>20</v>
      </c>
      <c r="M1610" s="1" t="s">
        <v>34</v>
      </c>
      <c r="N1610" s="3">
        <v>415.66</v>
      </c>
      <c r="O1610" s="1" t="s">
        <v>2132</v>
      </c>
      <c r="P1610" s="1" t="s">
        <v>2071</v>
      </c>
      <c r="Q1610" s="1" t="str">
        <f>TEXT((Data[[#This Row],[Order_Date]]), "mmm")</f>
        <v>Oct</v>
      </c>
    </row>
    <row r="1611" spans="4:17" x14ac:dyDescent="0.3">
      <c r="D1611" s="1" t="s">
        <v>1673</v>
      </c>
      <c r="E1611" s="2">
        <v>45575</v>
      </c>
      <c r="F1611" s="2">
        <v>45576</v>
      </c>
      <c r="G1611" s="1" t="s">
        <v>11</v>
      </c>
      <c r="H1611" s="1" t="s">
        <v>23</v>
      </c>
      <c r="I1611" s="1" t="s">
        <v>24</v>
      </c>
      <c r="J1611" s="1" t="s">
        <v>93</v>
      </c>
      <c r="K1611" s="3">
        <v>2597.75</v>
      </c>
      <c r="L1611" s="1">
        <v>17</v>
      </c>
      <c r="M1611" s="1" t="s">
        <v>49</v>
      </c>
      <c r="N1611" s="3">
        <v>879.93</v>
      </c>
      <c r="O1611" s="1" t="s">
        <v>2230</v>
      </c>
      <c r="P1611" s="1" t="s">
        <v>2071</v>
      </c>
      <c r="Q1611" s="1" t="str">
        <f>TEXT((Data[[#This Row],[Order_Date]]), "mmm")</f>
        <v>Oct</v>
      </c>
    </row>
    <row r="1612" spans="4:17" x14ac:dyDescent="0.3">
      <c r="D1612" s="1" t="s">
        <v>1674</v>
      </c>
      <c r="E1612" s="2">
        <v>45310</v>
      </c>
      <c r="F1612" s="2">
        <v>45317</v>
      </c>
      <c r="G1612" s="1" t="s">
        <v>11</v>
      </c>
      <c r="H1612" s="1" t="s">
        <v>23</v>
      </c>
      <c r="I1612" s="1" t="s">
        <v>78</v>
      </c>
      <c r="J1612" s="1" t="s">
        <v>118</v>
      </c>
      <c r="K1612" s="3">
        <v>3606.99</v>
      </c>
      <c r="L1612" s="1">
        <v>13</v>
      </c>
      <c r="M1612" s="1" t="s">
        <v>49</v>
      </c>
      <c r="N1612" s="3">
        <v>602.9</v>
      </c>
      <c r="O1612" s="1" t="s">
        <v>2277</v>
      </c>
      <c r="P1612" s="1" t="s">
        <v>2078</v>
      </c>
      <c r="Q1612" s="1" t="str">
        <f>TEXT((Data[[#This Row],[Order_Date]]), "mmm")</f>
        <v>Jan</v>
      </c>
    </row>
    <row r="1613" spans="4:17" x14ac:dyDescent="0.3">
      <c r="D1613" s="1" t="s">
        <v>1675</v>
      </c>
      <c r="E1613" s="2">
        <v>45628</v>
      </c>
      <c r="F1613" s="2">
        <v>45630</v>
      </c>
      <c r="G1613" s="1" t="s">
        <v>11</v>
      </c>
      <c r="H1613" s="1" t="s">
        <v>12</v>
      </c>
      <c r="I1613" s="1" t="s">
        <v>42</v>
      </c>
      <c r="J1613" s="1" t="s">
        <v>46</v>
      </c>
      <c r="K1613" s="3">
        <v>1676.68</v>
      </c>
      <c r="L1613" s="1">
        <v>3</v>
      </c>
      <c r="M1613" s="1" t="s">
        <v>29</v>
      </c>
      <c r="N1613" s="3">
        <v>115.77</v>
      </c>
      <c r="O1613" s="1" t="s">
        <v>2119</v>
      </c>
      <c r="P1613" s="1" t="s">
        <v>2078</v>
      </c>
      <c r="Q1613" s="1" t="str">
        <f>TEXT((Data[[#This Row],[Order_Date]]), "mmm")</f>
        <v>Dec</v>
      </c>
    </row>
    <row r="1614" spans="4:17" x14ac:dyDescent="0.3">
      <c r="D1614" s="1" t="s">
        <v>1676</v>
      </c>
      <c r="E1614" s="2">
        <v>45528</v>
      </c>
      <c r="F1614" s="2">
        <v>45535</v>
      </c>
      <c r="G1614" s="1" t="s">
        <v>31</v>
      </c>
      <c r="H1614" s="1" t="s">
        <v>23</v>
      </c>
      <c r="I1614" s="1" t="s">
        <v>78</v>
      </c>
      <c r="J1614" s="1" t="s">
        <v>79</v>
      </c>
      <c r="K1614" s="3">
        <v>2146.77</v>
      </c>
      <c r="L1614" s="1">
        <v>5</v>
      </c>
      <c r="M1614" s="1" t="s">
        <v>44</v>
      </c>
      <c r="N1614" s="3">
        <v>313.5</v>
      </c>
      <c r="O1614" s="1" t="s">
        <v>2090</v>
      </c>
      <c r="P1614" s="1" t="s">
        <v>2071</v>
      </c>
      <c r="Q1614" s="1" t="str">
        <f>TEXT((Data[[#This Row],[Order_Date]]), "mmm")</f>
        <v>Aug</v>
      </c>
    </row>
    <row r="1615" spans="4:17" x14ac:dyDescent="0.3">
      <c r="D1615" s="1" t="s">
        <v>1677</v>
      </c>
      <c r="E1615" s="2">
        <v>45544</v>
      </c>
      <c r="F1615" s="2">
        <v>45544</v>
      </c>
      <c r="G1615" s="1" t="s">
        <v>36</v>
      </c>
      <c r="H1615" s="1" t="s">
        <v>12</v>
      </c>
      <c r="I1615" s="1" t="s">
        <v>38</v>
      </c>
      <c r="J1615" s="1" t="s">
        <v>85</v>
      </c>
      <c r="K1615" s="3">
        <v>2663.31</v>
      </c>
      <c r="L1615" s="1">
        <v>8</v>
      </c>
      <c r="M1615" s="1" t="s">
        <v>34</v>
      </c>
      <c r="N1615" s="3">
        <v>174.61</v>
      </c>
      <c r="O1615" s="1" t="s">
        <v>2281</v>
      </c>
      <c r="P1615" s="1" t="s">
        <v>2071</v>
      </c>
      <c r="Q1615" s="1" t="str">
        <f>TEXT((Data[[#This Row],[Order_Date]]), "mmm")</f>
        <v>Sep</v>
      </c>
    </row>
    <row r="1616" spans="4:17" x14ac:dyDescent="0.3">
      <c r="D1616" s="1" t="s">
        <v>1678</v>
      </c>
      <c r="E1616" s="2">
        <v>45307</v>
      </c>
      <c r="F1616" s="2">
        <v>45312</v>
      </c>
      <c r="G1616" s="1" t="s">
        <v>31</v>
      </c>
      <c r="H1616" s="1" t="s">
        <v>23</v>
      </c>
      <c r="I1616" s="1" t="s">
        <v>24</v>
      </c>
      <c r="J1616" s="1" t="s">
        <v>150</v>
      </c>
      <c r="K1616" s="3">
        <v>1962.38</v>
      </c>
      <c r="L1616" s="1">
        <v>2</v>
      </c>
      <c r="M1616" s="1" t="s">
        <v>20</v>
      </c>
      <c r="N1616" s="3">
        <v>494.33</v>
      </c>
      <c r="O1616" s="1" t="s">
        <v>2286</v>
      </c>
      <c r="P1616" s="1" t="s">
        <v>2078</v>
      </c>
      <c r="Q1616" s="1" t="str">
        <f>TEXT((Data[[#This Row],[Order_Date]]), "mmm")</f>
        <v>Jan</v>
      </c>
    </row>
    <row r="1617" spans="4:17" x14ac:dyDescent="0.3">
      <c r="D1617" s="1" t="s">
        <v>1679</v>
      </c>
      <c r="E1617" s="2">
        <v>45569</v>
      </c>
      <c r="F1617" s="2">
        <v>45571</v>
      </c>
      <c r="G1617" s="1" t="s">
        <v>36</v>
      </c>
      <c r="H1617" s="1" t="s">
        <v>23</v>
      </c>
      <c r="I1617" s="1" t="s">
        <v>24</v>
      </c>
      <c r="J1617" s="1" t="s">
        <v>93</v>
      </c>
      <c r="K1617" s="3">
        <v>934.59</v>
      </c>
      <c r="L1617" s="1">
        <v>17</v>
      </c>
      <c r="M1617" s="1" t="s">
        <v>49</v>
      </c>
      <c r="N1617" s="3">
        <v>175.9</v>
      </c>
      <c r="O1617" s="1" t="s">
        <v>2246</v>
      </c>
      <c r="P1617" s="1" t="s">
        <v>2076</v>
      </c>
      <c r="Q1617" s="1" t="str">
        <f>TEXT((Data[[#This Row],[Order_Date]]), "mmm")</f>
        <v>Oct</v>
      </c>
    </row>
    <row r="1618" spans="4:17" x14ac:dyDescent="0.3">
      <c r="D1618" s="1" t="s">
        <v>1680</v>
      </c>
      <c r="E1618" s="2">
        <v>45363</v>
      </c>
      <c r="F1618" s="2">
        <v>45368</v>
      </c>
      <c r="G1618" s="1" t="s">
        <v>36</v>
      </c>
      <c r="H1618" s="1" t="s">
        <v>17</v>
      </c>
      <c r="I1618" s="1" t="s">
        <v>32</v>
      </c>
      <c r="J1618" s="1" t="s">
        <v>56</v>
      </c>
      <c r="K1618" s="3">
        <v>2627.31</v>
      </c>
      <c r="L1618" s="1">
        <v>5</v>
      </c>
      <c r="M1618" s="1" t="s">
        <v>15</v>
      </c>
      <c r="N1618" s="3">
        <v>551.24</v>
      </c>
      <c r="O1618" s="1" t="s">
        <v>2285</v>
      </c>
      <c r="P1618" s="1" t="s">
        <v>2071</v>
      </c>
      <c r="Q1618" s="1" t="str">
        <f>TEXT((Data[[#This Row],[Order_Date]]), "mmm")</f>
        <v>Mar</v>
      </c>
    </row>
    <row r="1619" spans="4:17" x14ac:dyDescent="0.3">
      <c r="D1619" s="1" t="s">
        <v>1681</v>
      </c>
      <c r="E1619" s="2">
        <v>45429</v>
      </c>
      <c r="F1619" s="2">
        <v>45435</v>
      </c>
      <c r="G1619" s="1" t="s">
        <v>22</v>
      </c>
      <c r="H1619" s="1" t="s">
        <v>17</v>
      </c>
      <c r="I1619" s="1" t="s">
        <v>32</v>
      </c>
      <c r="J1619" s="1" t="s">
        <v>56</v>
      </c>
      <c r="K1619" s="3">
        <v>1525.7</v>
      </c>
      <c r="L1619" s="1">
        <v>6</v>
      </c>
      <c r="M1619" s="1" t="s">
        <v>34</v>
      </c>
      <c r="N1619" s="3">
        <v>112.72</v>
      </c>
      <c r="O1619" s="1" t="s">
        <v>2130</v>
      </c>
      <c r="P1619" s="1" t="s">
        <v>2071</v>
      </c>
      <c r="Q1619" s="1" t="str">
        <f>TEXT((Data[[#This Row],[Order_Date]]), "mmm")</f>
        <v>May</v>
      </c>
    </row>
    <row r="1620" spans="4:17" x14ac:dyDescent="0.3">
      <c r="D1620" s="1" t="s">
        <v>1682</v>
      </c>
      <c r="E1620" s="2">
        <v>45459</v>
      </c>
      <c r="F1620" s="2">
        <v>45461</v>
      </c>
      <c r="G1620" s="1" t="s">
        <v>36</v>
      </c>
      <c r="H1620" s="1" t="s">
        <v>12</v>
      </c>
      <c r="I1620" s="1" t="s">
        <v>42</v>
      </c>
      <c r="J1620" s="1" t="s">
        <v>72</v>
      </c>
      <c r="K1620" s="3">
        <v>3677.33</v>
      </c>
      <c r="L1620" s="1">
        <v>11</v>
      </c>
      <c r="M1620" s="1" t="s">
        <v>49</v>
      </c>
      <c r="N1620" s="3">
        <v>368.85</v>
      </c>
      <c r="O1620" s="1" t="s">
        <v>2094</v>
      </c>
      <c r="P1620" s="1" t="s">
        <v>2071</v>
      </c>
      <c r="Q1620" s="1" t="str">
        <f>TEXT((Data[[#This Row],[Order_Date]]), "mmm")</f>
        <v>Jun</v>
      </c>
    </row>
    <row r="1621" spans="4:17" x14ac:dyDescent="0.3">
      <c r="D1621" s="1" t="s">
        <v>1683</v>
      </c>
      <c r="E1621" s="2">
        <v>45498</v>
      </c>
      <c r="F1621" s="2">
        <v>45501</v>
      </c>
      <c r="G1621" s="1" t="s">
        <v>22</v>
      </c>
      <c r="H1621" s="1" t="s">
        <v>23</v>
      </c>
      <c r="I1621" s="1" t="s">
        <v>24</v>
      </c>
      <c r="J1621" s="1" t="s">
        <v>25</v>
      </c>
      <c r="K1621" s="3">
        <v>1088.33</v>
      </c>
      <c r="L1621" s="1">
        <v>17</v>
      </c>
      <c r="M1621" s="1" t="s">
        <v>20</v>
      </c>
      <c r="N1621" s="3">
        <v>237.23</v>
      </c>
      <c r="O1621" s="1" t="s">
        <v>2156</v>
      </c>
      <c r="P1621" s="1" t="s">
        <v>2071</v>
      </c>
      <c r="Q1621" s="1" t="str">
        <f>TEXT((Data[[#This Row],[Order_Date]]), "mmm")</f>
        <v>Jul</v>
      </c>
    </row>
    <row r="1622" spans="4:17" x14ac:dyDescent="0.3">
      <c r="D1622" s="1" t="s">
        <v>1684</v>
      </c>
      <c r="E1622" s="2">
        <v>45479</v>
      </c>
      <c r="F1622" s="2">
        <v>45479</v>
      </c>
      <c r="G1622" s="1" t="s">
        <v>31</v>
      </c>
      <c r="H1622" s="1" t="s">
        <v>12</v>
      </c>
      <c r="I1622" s="1" t="s">
        <v>13</v>
      </c>
      <c r="J1622" s="1" t="s">
        <v>96</v>
      </c>
      <c r="K1622" s="3">
        <v>3810.91</v>
      </c>
      <c r="L1622" s="1">
        <v>18</v>
      </c>
      <c r="M1622" s="1" t="s">
        <v>34</v>
      </c>
      <c r="N1622" s="3">
        <v>208.42</v>
      </c>
      <c r="O1622" s="1" t="s">
        <v>2268</v>
      </c>
      <c r="P1622" s="1" t="s">
        <v>2076</v>
      </c>
      <c r="Q1622" s="1" t="str">
        <f>TEXT((Data[[#This Row],[Order_Date]]), "mmm")</f>
        <v>Jul</v>
      </c>
    </row>
    <row r="1623" spans="4:17" x14ac:dyDescent="0.3">
      <c r="D1623" s="1" t="s">
        <v>1685</v>
      </c>
      <c r="E1623" s="2">
        <v>45541</v>
      </c>
      <c r="F1623" s="2">
        <v>45545</v>
      </c>
      <c r="G1623" s="1" t="s">
        <v>36</v>
      </c>
      <c r="H1623" s="1" t="s">
        <v>17</v>
      </c>
      <c r="I1623" s="1" t="s">
        <v>18</v>
      </c>
      <c r="J1623" s="1" t="s">
        <v>19</v>
      </c>
      <c r="K1623" s="3">
        <v>1399.82</v>
      </c>
      <c r="L1623" s="1">
        <v>20</v>
      </c>
      <c r="M1623" s="1" t="s">
        <v>20</v>
      </c>
      <c r="N1623" s="3">
        <v>438.6</v>
      </c>
      <c r="O1623" s="1" t="s">
        <v>2279</v>
      </c>
      <c r="P1623" s="1" t="s">
        <v>2071</v>
      </c>
      <c r="Q1623" s="1" t="str">
        <f>TEXT((Data[[#This Row],[Order_Date]]), "mmm")</f>
        <v>Sep</v>
      </c>
    </row>
    <row r="1624" spans="4:17" x14ac:dyDescent="0.3">
      <c r="D1624" s="1" t="s">
        <v>1686</v>
      </c>
      <c r="E1624" s="2">
        <v>45587</v>
      </c>
      <c r="F1624" s="2">
        <v>45588</v>
      </c>
      <c r="G1624" s="1" t="s">
        <v>11</v>
      </c>
      <c r="H1624" s="1" t="s">
        <v>23</v>
      </c>
      <c r="I1624" s="1" t="s">
        <v>65</v>
      </c>
      <c r="J1624" s="1" t="s">
        <v>66</v>
      </c>
      <c r="K1624" s="3">
        <v>425.84</v>
      </c>
      <c r="L1624" s="1">
        <v>17</v>
      </c>
      <c r="M1624" s="1" t="s">
        <v>15</v>
      </c>
      <c r="N1624" s="3">
        <v>63.91</v>
      </c>
      <c r="O1624" s="1" t="s">
        <v>2196</v>
      </c>
      <c r="P1624" s="1" t="s">
        <v>2078</v>
      </c>
      <c r="Q1624" s="1" t="str">
        <f>TEXT((Data[[#This Row],[Order_Date]]), "mmm")</f>
        <v>Oct</v>
      </c>
    </row>
    <row r="1625" spans="4:17" x14ac:dyDescent="0.3">
      <c r="D1625" s="1" t="s">
        <v>1687</v>
      </c>
      <c r="E1625" s="2">
        <v>45311</v>
      </c>
      <c r="F1625" s="2">
        <v>45312</v>
      </c>
      <c r="G1625" s="1" t="s">
        <v>36</v>
      </c>
      <c r="H1625" s="1" t="s">
        <v>17</v>
      </c>
      <c r="I1625" s="1" t="s">
        <v>27</v>
      </c>
      <c r="J1625" s="1" t="s">
        <v>110</v>
      </c>
      <c r="K1625" s="3">
        <v>580.78</v>
      </c>
      <c r="L1625" s="1">
        <v>10</v>
      </c>
      <c r="M1625" s="1" t="s">
        <v>49</v>
      </c>
      <c r="N1625" s="3">
        <v>47.77</v>
      </c>
      <c r="O1625" s="1" t="s">
        <v>2122</v>
      </c>
      <c r="P1625" s="1" t="s">
        <v>2071</v>
      </c>
      <c r="Q1625" s="1" t="str">
        <f>TEXT((Data[[#This Row],[Order_Date]]), "mmm")</f>
        <v>Jan</v>
      </c>
    </row>
    <row r="1626" spans="4:17" x14ac:dyDescent="0.3">
      <c r="D1626" s="1" t="s">
        <v>1688</v>
      </c>
      <c r="E1626" s="2">
        <v>45395</v>
      </c>
      <c r="F1626" s="2">
        <v>45396</v>
      </c>
      <c r="G1626" s="1" t="s">
        <v>22</v>
      </c>
      <c r="H1626" s="1" t="s">
        <v>12</v>
      </c>
      <c r="I1626" s="1" t="s">
        <v>58</v>
      </c>
      <c r="J1626" s="1" t="s">
        <v>105</v>
      </c>
      <c r="K1626" s="3">
        <v>2572.67</v>
      </c>
      <c r="L1626" s="1">
        <v>7</v>
      </c>
      <c r="M1626" s="1" t="s">
        <v>49</v>
      </c>
      <c r="N1626" s="3">
        <v>495.9</v>
      </c>
      <c r="O1626" s="1" t="s">
        <v>2102</v>
      </c>
      <c r="P1626" s="1" t="s">
        <v>2076</v>
      </c>
      <c r="Q1626" s="1" t="str">
        <f>TEXT((Data[[#This Row],[Order_Date]]), "mmm")</f>
        <v>Apr</v>
      </c>
    </row>
    <row r="1627" spans="4:17" x14ac:dyDescent="0.3">
      <c r="D1627" s="1" t="s">
        <v>1689</v>
      </c>
      <c r="E1627" s="2">
        <v>45560</v>
      </c>
      <c r="F1627" s="2">
        <v>45561</v>
      </c>
      <c r="G1627" s="1" t="s">
        <v>22</v>
      </c>
      <c r="H1627" s="1" t="s">
        <v>23</v>
      </c>
      <c r="I1627" s="1" t="s">
        <v>65</v>
      </c>
      <c r="J1627" s="1" t="s">
        <v>114</v>
      </c>
      <c r="K1627" s="3">
        <v>421.72</v>
      </c>
      <c r="L1627" s="1">
        <v>20</v>
      </c>
      <c r="M1627" s="1" t="s">
        <v>34</v>
      </c>
      <c r="N1627" s="3">
        <v>-141.62</v>
      </c>
      <c r="O1627" s="1" t="s">
        <v>2232</v>
      </c>
      <c r="P1627" s="1" t="s">
        <v>2078</v>
      </c>
      <c r="Q1627" s="1" t="str">
        <f>TEXT((Data[[#This Row],[Order_Date]]), "mmm")</f>
        <v>Sep</v>
      </c>
    </row>
    <row r="1628" spans="4:17" x14ac:dyDescent="0.3">
      <c r="D1628" s="1" t="s">
        <v>1690</v>
      </c>
      <c r="E1628" s="2">
        <v>45621</v>
      </c>
      <c r="F1628" s="2">
        <v>45622</v>
      </c>
      <c r="G1628" s="1" t="s">
        <v>36</v>
      </c>
      <c r="H1628" s="1" t="s">
        <v>17</v>
      </c>
      <c r="I1628" s="1" t="s">
        <v>18</v>
      </c>
      <c r="J1628" s="1" t="s">
        <v>54</v>
      </c>
      <c r="K1628" s="3">
        <v>914.97</v>
      </c>
      <c r="L1628" s="1">
        <v>13</v>
      </c>
      <c r="M1628" s="1" t="s">
        <v>29</v>
      </c>
      <c r="N1628" s="3">
        <v>191.01</v>
      </c>
      <c r="O1628" s="1" t="s">
        <v>2101</v>
      </c>
      <c r="P1628" s="1" t="s">
        <v>2071</v>
      </c>
      <c r="Q1628" s="1" t="str">
        <f>TEXT((Data[[#This Row],[Order_Date]]), "mmm")</f>
        <v>Nov</v>
      </c>
    </row>
    <row r="1629" spans="4:17" x14ac:dyDescent="0.3">
      <c r="D1629" s="1" t="s">
        <v>1691</v>
      </c>
      <c r="E1629" s="2">
        <v>45648</v>
      </c>
      <c r="F1629" s="2">
        <v>45655</v>
      </c>
      <c r="G1629" s="1" t="s">
        <v>11</v>
      </c>
      <c r="H1629" s="1" t="s">
        <v>12</v>
      </c>
      <c r="I1629" s="1" t="s">
        <v>58</v>
      </c>
      <c r="J1629" s="1" t="s">
        <v>105</v>
      </c>
      <c r="K1629" s="3">
        <v>275.22000000000003</v>
      </c>
      <c r="L1629" s="1">
        <v>12</v>
      </c>
      <c r="M1629" s="1" t="s">
        <v>44</v>
      </c>
      <c r="N1629" s="3">
        <v>33.159999999999997</v>
      </c>
      <c r="O1629" s="1" t="s">
        <v>2284</v>
      </c>
      <c r="P1629" s="1" t="s">
        <v>2071</v>
      </c>
      <c r="Q1629" s="1" t="str">
        <f>TEXT((Data[[#This Row],[Order_Date]]), "mmm")</f>
        <v>Dec</v>
      </c>
    </row>
    <row r="1630" spans="4:17" x14ac:dyDescent="0.3">
      <c r="D1630" s="1" t="s">
        <v>1692</v>
      </c>
      <c r="E1630" s="2">
        <v>45577</v>
      </c>
      <c r="F1630" s="2">
        <v>45582</v>
      </c>
      <c r="G1630" s="1" t="s">
        <v>31</v>
      </c>
      <c r="H1630" s="1" t="s">
        <v>17</v>
      </c>
      <c r="I1630" s="1" t="s">
        <v>18</v>
      </c>
      <c r="J1630" s="1" t="s">
        <v>54</v>
      </c>
      <c r="K1630" s="3">
        <v>2340.27</v>
      </c>
      <c r="L1630" s="1">
        <v>14</v>
      </c>
      <c r="M1630" s="1" t="s">
        <v>49</v>
      </c>
      <c r="N1630" s="3">
        <v>157.99</v>
      </c>
      <c r="O1630" s="1" t="s">
        <v>2153</v>
      </c>
      <c r="P1630" s="1" t="s">
        <v>2071</v>
      </c>
      <c r="Q1630" s="1" t="str">
        <f>TEXT((Data[[#This Row],[Order_Date]]), "mmm")</f>
        <v>Oct</v>
      </c>
    </row>
    <row r="1631" spans="4:17" x14ac:dyDescent="0.3">
      <c r="D1631" s="1" t="s">
        <v>1693</v>
      </c>
      <c r="E1631" s="2">
        <v>45590</v>
      </c>
      <c r="F1631" s="2">
        <v>45596</v>
      </c>
      <c r="G1631" s="1" t="s">
        <v>31</v>
      </c>
      <c r="H1631" s="1" t="s">
        <v>12</v>
      </c>
      <c r="I1631" s="1" t="s">
        <v>42</v>
      </c>
      <c r="J1631" s="1" t="s">
        <v>46</v>
      </c>
      <c r="K1631" s="3">
        <v>1369.94</v>
      </c>
      <c r="L1631" s="1">
        <v>6</v>
      </c>
      <c r="M1631" s="1" t="s">
        <v>44</v>
      </c>
      <c r="N1631" s="3">
        <v>270.99</v>
      </c>
      <c r="O1631" s="1" t="s">
        <v>2125</v>
      </c>
      <c r="P1631" s="1" t="s">
        <v>2071</v>
      </c>
      <c r="Q1631" s="1" t="str">
        <f>TEXT((Data[[#This Row],[Order_Date]]), "mmm")</f>
        <v>Oct</v>
      </c>
    </row>
    <row r="1632" spans="4:17" x14ac:dyDescent="0.3">
      <c r="D1632" s="1" t="s">
        <v>1694</v>
      </c>
      <c r="E1632" s="2">
        <v>45464</v>
      </c>
      <c r="F1632" s="2">
        <v>45468</v>
      </c>
      <c r="G1632" s="1" t="s">
        <v>36</v>
      </c>
      <c r="H1632" s="1" t="s">
        <v>12</v>
      </c>
      <c r="I1632" s="1" t="s">
        <v>42</v>
      </c>
      <c r="J1632" s="1" t="s">
        <v>46</v>
      </c>
      <c r="K1632" s="3">
        <v>3237.26</v>
      </c>
      <c r="L1632" s="1">
        <v>11</v>
      </c>
      <c r="M1632" s="1" t="s">
        <v>15</v>
      </c>
      <c r="N1632" s="3">
        <v>979.18</v>
      </c>
      <c r="O1632" s="1" t="s">
        <v>2235</v>
      </c>
      <c r="P1632" s="1" t="s">
        <v>2076</v>
      </c>
      <c r="Q1632" s="1" t="str">
        <f>TEXT((Data[[#This Row],[Order_Date]]), "mmm")</f>
        <v>Jun</v>
      </c>
    </row>
    <row r="1633" spans="4:17" x14ac:dyDescent="0.3">
      <c r="D1633" s="1" t="s">
        <v>1695</v>
      </c>
      <c r="E1633" s="2">
        <v>45549</v>
      </c>
      <c r="F1633" s="2">
        <v>45551</v>
      </c>
      <c r="G1633" s="1" t="s">
        <v>36</v>
      </c>
      <c r="H1633" s="1" t="s">
        <v>12</v>
      </c>
      <c r="I1633" s="1" t="s">
        <v>38</v>
      </c>
      <c r="J1633" s="1" t="s">
        <v>81</v>
      </c>
      <c r="K1633" s="3">
        <v>3296.57</v>
      </c>
      <c r="L1633" s="1">
        <v>14</v>
      </c>
      <c r="M1633" s="1" t="s">
        <v>34</v>
      </c>
      <c r="N1633" s="3">
        <v>189.94</v>
      </c>
      <c r="O1633" s="1" t="s">
        <v>2270</v>
      </c>
      <c r="P1633" s="1" t="s">
        <v>2071</v>
      </c>
      <c r="Q1633" s="1" t="str">
        <f>TEXT((Data[[#This Row],[Order_Date]]), "mmm")</f>
        <v>Sep</v>
      </c>
    </row>
    <row r="1634" spans="4:17" x14ac:dyDescent="0.3">
      <c r="D1634" s="1" t="s">
        <v>1696</v>
      </c>
      <c r="E1634" s="2">
        <v>45295</v>
      </c>
      <c r="F1634" s="2">
        <v>45295</v>
      </c>
      <c r="G1634" s="1" t="s">
        <v>11</v>
      </c>
      <c r="H1634" s="1" t="s">
        <v>17</v>
      </c>
      <c r="I1634" s="1" t="s">
        <v>27</v>
      </c>
      <c r="J1634" s="1" t="s">
        <v>110</v>
      </c>
      <c r="K1634" s="3">
        <v>2646.87</v>
      </c>
      <c r="L1634" s="1">
        <v>19</v>
      </c>
      <c r="M1634" s="1" t="s">
        <v>15</v>
      </c>
      <c r="N1634" s="3">
        <v>-829.85</v>
      </c>
      <c r="O1634" s="1" t="s">
        <v>2163</v>
      </c>
      <c r="P1634" s="1" t="s">
        <v>2078</v>
      </c>
      <c r="Q1634" s="1" t="str">
        <f>TEXT((Data[[#This Row],[Order_Date]]), "mmm")</f>
        <v>Jan</v>
      </c>
    </row>
    <row r="1635" spans="4:17" x14ac:dyDescent="0.3">
      <c r="D1635" s="1" t="s">
        <v>1697</v>
      </c>
      <c r="E1635" s="2">
        <v>45413</v>
      </c>
      <c r="F1635" s="2">
        <v>45415</v>
      </c>
      <c r="G1635" s="1" t="s">
        <v>11</v>
      </c>
      <c r="H1635" s="1" t="s">
        <v>23</v>
      </c>
      <c r="I1635" s="1" t="s">
        <v>24</v>
      </c>
      <c r="J1635" s="1" t="s">
        <v>25</v>
      </c>
      <c r="K1635" s="3">
        <v>1031.29</v>
      </c>
      <c r="L1635" s="1">
        <v>11</v>
      </c>
      <c r="M1635" s="1" t="s">
        <v>34</v>
      </c>
      <c r="N1635" s="3">
        <v>200.23</v>
      </c>
      <c r="O1635" s="1" t="s">
        <v>2238</v>
      </c>
      <c r="P1635" s="1" t="s">
        <v>2076</v>
      </c>
      <c r="Q1635" s="1" t="str">
        <f>TEXT((Data[[#This Row],[Order_Date]]), "mmm")</f>
        <v>May</v>
      </c>
    </row>
    <row r="1636" spans="4:17" x14ac:dyDescent="0.3">
      <c r="D1636" s="1" t="s">
        <v>1698</v>
      </c>
      <c r="E1636" s="2">
        <v>45616</v>
      </c>
      <c r="F1636" s="2">
        <v>45622</v>
      </c>
      <c r="G1636" s="1" t="s">
        <v>22</v>
      </c>
      <c r="H1636" s="1" t="s">
        <v>12</v>
      </c>
      <c r="I1636" s="1" t="s">
        <v>38</v>
      </c>
      <c r="J1636" s="1" t="s">
        <v>85</v>
      </c>
      <c r="K1636" s="3">
        <v>1387.23</v>
      </c>
      <c r="L1636" s="1">
        <v>17</v>
      </c>
      <c r="M1636" s="1" t="s">
        <v>29</v>
      </c>
      <c r="N1636" s="3">
        <v>326.10000000000002</v>
      </c>
      <c r="O1636" s="1" t="s">
        <v>2269</v>
      </c>
      <c r="P1636" s="1" t="s">
        <v>2076</v>
      </c>
      <c r="Q1636" s="1" t="str">
        <f>TEXT((Data[[#This Row],[Order_Date]]), "mmm")</f>
        <v>Nov</v>
      </c>
    </row>
    <row r="1637" spans="4:17" x14ac:dyDescent="0.3">
      <c r="D1637" s="1" t="s">
        <v>1699</v>
      </c>
      <c r="E1637" s="2">
        <v>45609</v>
      </c>
      <c r="F1637" s="2">
        <v>45616</v>
      </c>
      <c r="G1637" s="1" t="s">
        <v>22</v>
      </c>
      <c r="H1637" s="1" t="s">
        <v>23</v>
      </c>
      <c r="I1637" s="1" t="s">
        <v>78</v>
      </c>
      <c r="J1637" s="1" t="s">
        <v>79</v>
      </c>
      <c r="K1637" s="3">
        <v>1933.77</v>
      </c>
      <c r="L1637" s="1">
        <v>15</v>
      </c>
      <c r="M1637" s="1" t="s">
        <v>15</v>
      </c>
      <c r="N1637" s="3">
        <v>647.5</v>
      </c>
      <c r="O1637" s="1" t="s">
        <v>2073</v>
      </c>
      <c r="P1637" s="1" t="s">
        <v>2076</v>
      </c>
      <c r="Q1637" s="1" t="str">
        <f>TEXT((Data[[#This Row],[Order_Date]]), "mmm")</f>
        <v>Nov</v>
      </c>
    </row>
    <row r="1638" spans="4:17" x14ac:dyDescent="0.3">
      <c r="D1638" s="1" t="s">
        <v>1700</v>
      </c>
      <c r="E1638" s="2">
        <v>45368</v>
      </c>
      <c r="F1638" s="2">
        <v>45368</v>
      </c>
      <c r="G1638" s="1" t="s">
        <v>22</v>
      </c>
      <c r="H1638" s="1" t="s">
        <v>23</v>
      </c>
      <c r="I1638" s="1" t="s">
        <v>78</v>
      </c>
      <c r="J1638" s="1" t="s">
        <v>79</v>
      </c>
      <c r="K1638" s="3">
        <v>1329.67</v>
      </c>
      <c r="L1638" s="1">
        <v>3</v>
      </c>
      <c r="M1638" s="1" t="s">
        <v>29</v>
      </c>
      <c r="N1638" s="3">
        <v>153.62</v>
      </c>
      <c r="O1638" s="1" t="s">
        <v>2284</v>
      </c>
      <c r="P1638" s="1" t="s">
        <v>2076</v>
      </c>
      <c r="Q1638" s="1" t="str">
        <f>TEXT((Data[[#This Row],[Order_Date]]), "mmm")</f>
        <v>Mar</v>
      </c>
    </row>
    <row r="1639" spans="4:17" x14ac:dyDescent="0.3">
      <c r="D1639" s="1" t="s">
        <v>1701</v>
      </c>
      <c r="E1639" s="2">
        <v>45654</v>
      </c>
      <c r="F1639" s="2">
        <v>45655</v>
      </c>
      <c r="G1639" s="1" t="s">
        <v>22</v>
      </c>
      <c r="H1639" s="1" t="s">
        <v>17</v>
      </c>
      <c r="I1639" s="1" t="s">
        <v>18</v>
      </c>
      <c r="J1639" s="1" t="s">
        <v>19</v>
      </c>
      <c r="K1639" s="3">
        <v>1000.68</v>
      </c>
      <c r="L1639" s="1">
        <v>5</v>
      </c>
      <c r="M1639" s="1" t="s">
        <v>15</v>
      </c>
      <c r="N1639" s="3">
        <v>52.16</v>
      </c>
      <c r="O1639" s="1" t="s">
        <v>2141</v>
      </c>
      <c r="P1639" s="1" t="s">
        <v>2076</v>
      </c>
      <c r="Q1639" s="1" t="str">
        <f>TEXT((Data[[#This Row],[Order_Date]]), "mmm")</f>
        <v>Dec</v>
      </c>
    </row>
    <row r="1640" spans="4:17" x14ac:dyDescent="0.3">
      <c r="D1640" s="1" t="s">
        <v>1702</v>
      </c>
      <c r="E1640" s="2">
        <v>45339</v>
      </c>
      <c r="F1640" s="2">
        <v>45339</v>
      </c>
      <c r="G1640" s="1" t="s">
        <v>31</v>
      </c>
      <c r="H1640" s="1" t="s">
        <v>12</v>
      </c>
      <c r="I1640" s="1" t="s">
        <v>38</v>
      </c>
      <c r="J1640" s="1" t="s">
        <v>81</v>
      </c>
      <c r="K1640" s="3">
        <v>2198.46</v>
      </c>
      <c r="L1640" s="1">
        <v>14</v>
      </c>
      <c r="M1640" s="1" t="s">
        <v>34</v>
      </c>
      <c r="N1640" s="3">
        <v>432.79</v>
      </c>
      <c r="O1640" s="1" t="s">
        <v>2242</v>
      </c>
      <c r="P1640" s="1" t="s">
        <v>2071</v>
      </c>
      <c r="Q1640" s="1" t="str">
        <f>TEXT((Data[[#This Row],[Order_Date]]), "mmm")</f>
        <v>Feb</v>
      </c>
    </row>
    <row r="1641" spans="4:17" x14ac:dyDescent="0.3">
      <c r="D1641" s="1" t="s">
        <v>1703</v>
      </c>
      <c r="E1641" s="2">
        <v>45575</v>
      </c>
      <c r="F1641" s="2">
        <v>45582</v>
      </c>
      <c r="G1641" s="1" t="s">
        <v>36</v>
      </c>
      <c r="H1641" s="1" t="s">
        <v>17</v>
      </c>
      <c r="I1641" s="1" t="s">
        <v>32</v>
      </c>
      <c r="J1641" s="1" t="s">
        <v>56</v>
      </c>
      <c r="K1641" s="3">
        <v>3126.01</v>
      </c>
      <c r="L1641" s="1">
        <v>13</v>
      </c>
      <c r="M1641" s="1" t="s">
        <v>29</v>
      </c>
      <c r="N1641" s="3">
        <v>818.55</v>
      </c>
      <c r="O1641" s="1" t="s">
        <v>2146</v>
      </c>
      <c r="P1641" s="1" t="s">
        <v>2076</v>
      </c>
      <c r="Q1641" s="1" t="str">
        <f>TEXT((Data[[#This Row],[Order_Date]]), "mmm")</f>
        <v>Oct</v>
      </c>
    </row>
    <row r="1642" spans="4:17" x14ac:dyDescent="0.3">
      <c r="D1642" s="1" t="s">
        <v>1704</v>
      </c>
      <c r="E1642" s="2">
        <v>45382</v>
      </c>
      <c r="F1642" s="2">
        <v>45384</v>
      </c>
      <c r="G1642" s="1" t="s">
        <v>36</v>
      </c>
      <c r="H1642" s="1" t="s">
        <v>23</v>
      </c>
      <c r="I1642" s="1" t="s">
        <v>65</v>
      </c>
      <c r="J1642" s="1" t="s">
        <v>114</v>
      </c>
      <c r="K1642" s="3">
        <v>1226.28</v>
      </c>
      <c r="L1642" s="1">
        <v>12</v>
      </c>
      <c r="M1642" s="1" t="s">
        <v>29</v>
      </c>
      <c r="N1642" s="3">
        <v>292.25</v>
      </c>
      <c r="O1642" s="1" t="s">
        <v>2280</v>
      </c>
      <c r="P1642" s="1" t="s">
        <v>2078</v>
      </c>
      <c r="Q1642" s="1" t="str">
        <f>TEXT((Data[[#This Row],[Order_Date]]), "mmm")</f>
        <v>Mar</v>
      </c>
    </row>
    <row r="1643" spans="4:17" x14ac:dyDescent="0.3">
      <c r="D1643" s="1" t="s">
        <v>1705</v>
      </c>
      <c r="E1643" s="2">
        <v>45486</v>
      </c>
      <c r="F1643" s="2">
        <v>45488</v>
      </c>
      <c r="G1643" s="1" t="s">
        <v>11</v>
      </c>
      <c r="H1643" s="1" t="s">
        <v>23</v>
      </c>
      <c r="I1643" s="1" t="s">
        <v>78</v>
      </c>
      <c r="J1643" s="1" t="s">
        <v>118</v>
      </c>
      <c r="K1643" s="3">
        <v>2165.98</v>
      </c>
      <c r="L1643" s="1">
        <v>15</v>
      </c>
      <c r="M1643" s="1" t="s">
        <v>49</v>
      </c>
      <c r="N1643" s="3">
        <v>692.89</v>
      </c>
      <c r="O1643" s="1" t="s">
        <v>2103</v>
      </c>
      <c r="P1643" s="1" t="s">
        <v>2071</v>
      </c>
      <c r="Q1643" s="1" t="str">
        <f>TEXT((Data[[#This Row],[Order_Date]]), "mmm")</f>
        <v>Jul</v>
      </c>
    </row>
    <row r="1644" spans="4:17" x14ac:dyDescent="0.3">
      <c r="D1644" s="1" t="s">
        <v>1706</v>
      </c>
      <c r="E1644" s="2">
        <v>45344</v>
      </c>
      <c r="F1644" s="2">
        <v>45350</v>
      </c>
      <c r="G1644" s="1" t="s">
        <v>11</v>
      </c>
      <c r="H1644" s="1" t="s">
        <v>12</v>
      </c>
      <c r="I1644" s="1" t="s">
        <v>58</v>
      </c>
      <c r="J1644" s="1" t="s">
        <v>59</v>
      </c>
      <c r="K1644" s="3">
        <v>1898.26</v>
      </c>
      <c r="L1644" s="1">
        <v>4</v>
      </c>
      <c r="M1644" s="1" t="s">
        <v>15</v>
      </c>
      <c r="N1644" s="3">
        <v>-361.87</v>
      </c>
      <c r="O1644" s="1" t="s">
        <v>2125</v>
      </c>
      <c r="P1644" s="1" t="s">
        <v>2076</v>
      </c>
      <c r="Q1644" s="1" t="str">
        <f>TEXT((Data[[#This Row],[Order_Date]]), "mmm")</f>
        <v>Feb</v>
      </c>
    </row>
    <row r="1645" spans="4:17" x14ac:dyDescent="0.3">
      <c r="D1645" s="1" t="s">
        <v>1707</v>
      </c>
      <c r="E1645" s="2">
        <v>45643</v>
      </c>
      <c r="F1645" s="2">
        <v>45646</v>
      </c>
      <c r="G1645" s="1" t="s">
        <v>22</v>
      </c>
      <c r="H1645" s="1" t="s">
        <v>23</v>
      </c>
      <c r="I1645" s="1" t="s">
        <v>78</v>
      </c>
      <c r="J1645" s="1" t="s">
        <v>118</v>
      </c>
      <c r="K1645" s="3">
        <v>3837.59</v>
      </c>
      <c r="L1645" s="1">
        <v>1</v>
      </c>
      <c r="M1645" s="1" t="s">
        <v>34</v>
      </c>
      <c r="N1645" s="3">
        <v>401.17</v>
      </c>
      <c r="O1645" s="1" t="s">
        <v>2168</v>
      </c>
      <c r="P1645" s="1" t="s">
        <v>2071</v>
      </c>
      <c r="Q1645" s="1" t="str">
        <f>TEXT((Data[[#This Row],[Order_Date]]), "mmm")</f>
        <v>Dec</v>
      </c>
    </row>
    <row r="1646" spans="4:17" x14ac:dyDescent="0.3">
      <c r="D1646" s="1" t="s">
        <v>1708</v>
      </c>
      <c r="E1646" s="2">
        <v>45582</v>
      </c>
      <c r="F1646" s="2">
        <v>45585</v>
      </c>
      <c r="G1646" s="1" t="s">
        <v>31</v>
      </c>
      <c r="H1646" s="1" t="s">
        <v>17</v>
      </c>
      <c r="I1646" s="1" t="s">
        <v>18</v>
      </c>
      <c r="J1646" s="1" t="s">
        <v>90</v>
      </c>
      <c r="K1646" s="3">
        <v>1851.63</v>
      </c>
      <c r="L1646" s="1">
        <v>11</v>
      </c>
      <c r="M1646" s="1" t="s">
        <v>15</v>
      </c>
      <c r="N1646" s="3">
        <v>-566.9</v>
      </c>
      <c r="O1646" s="1" t="s">
        <v>2080</v>
      </c>
      <c r="P1646" s="1" t="s">
        <v>2076</v>
      </c>
      <c r="Q1646" s="1" t="str">
        <f>TEXT((Data[[#This Row],[Order_Date]]), "mmm")</f>
        <v>Oct</v>
      </c>
    </row>
    <row r="1647" spans="4:17" x14ac:dyDescent="0.3">
      <c r="D1647" s="1" t="s">
        <v>1709</v>
      </c>
      <c r="E1647" s="2">
        <v>45447</v>
      </c>
      <c r="F1647" s="2">
        <v>45450</v>
      </c>
      <c r="G1647" s="1" t="s">
        <v>22</v>
      </c>
      <c r="H1647" s="1" t="s">
        <v>17</v>
      </c>
      <c r="I1647" s="1" t="s">
        <v>18</v>
      </c>
      <c r="J1647" s="1" t="s">
        <v>54</v>
      </c>
      <c r="K1647" s="3">
        <v>2699.95</v>
      </c>
      <c r="L1647" s="1">
        <v>8</v>
      </c>
      <c r="M1647" s="1" t="s">
        <v>29</v>
      </c>
      <c r="N1647" s="3">
        <v>828.1</v>
      </c>
      <c r="O1647" s="1" t="s">
        <v>2230</v>
      </c>
      <c r="P1647" s="1" t="s">
        <v>2071</v>
      </c>
      <c r="Q1647" s="1" t="str">
        <f>TEXT((Data[[#This Row],[Order_Date]]), "mmm")</f>
        <v>Jun</v>
      </c>
    </row>
    <row r="1648" spans="4:17" x14ac:dyDescent="0.3">
      <c r="D1648" s="1" t="s">
        <v>1710</v>
      </c>
      <c r="E1648" s="2">
        <v>45455</v>
      </c>
      <c r="F1648" s="2">
        <v>45459</v>
      </c>
      <c r="G1648" s="1" t="s">
        <v>36</v>
      </c>
      <c r="H1648" s="1" t="s">
        <v>23</v>
      </c>
      <c r="I1648" s="1" t="s">
        <v>61</v>
      </c>
      <c r="J1648" s="1" t="s">
        <v>98</v>
      </c>
      <c r="K1648" s="3">
        <v>2967.95</v>
      </c>
      <c r="L1648" s="1">
        <v>15</v>
      </c>
      <c r="M1648" s="1" t="s">
        <v>15</v>
      </c>
      <c r="N1648" s="3">
        <v>810.54</v>
      </c>
      <c r="O1648" s="1" t="s">
        <v>2254</v>
      </c>
      <c r="P1648" s="1" t="s">
        <v>2076</v>
      </c>
      <c r="Q1648" s="1" t="str">
        <f>TEXT((Data[[#This Row],[Order_Date]]), "mmm")</f>
        <v>Jun</v>
      </c>
    </row>
    <row r="1649" spans="4:17" x14ac:dyDescent="0.3">
      <c r="D1649" s="1" t="s">
        <v>1711</v>
      </c>
      <c r="E1649" s="2">
        <v>45374</v>
      </c>
      <c r="F1649" s="2">
        <v>45380</v>
      </c>
      <c r="G1649" s="1" t="s">
        <v>36</v>
      </c>
      <c r="H1649" s="1" t="s">
        <v>17</v>
      </c>
      <c r="I1649" s="1" t="s">
        <v>18</v>
      </c>
      <c r="J1649" s="1" t="s">
        <v>90</v>
      </c>
      <c r="K1649" s="3">
        <v>1497.34</v>
      </c>
      <c r="L1649" s="1">
        <v>9</v>
      </c>
      <c r="M1649" s="1" t="s">
        <v>29</v>
      </c>
      <c r="N1649" s="3">
        <v>439.06</v>
      </c>
      <c r="O1649" s="1" t="s">
        <v>2152</v>
      </c>
      <c r="P1649" s="1" t="s">
        <v>2071</v>
      </c>
      <c r="Q1649" s="1" t="str">
        <f>TEXT((Data[[#This Row],[Order_Date]]), "mmm")</f>
        <v>Mar</v>
      </c>
    </row>
    <row r="1650" spans="4:17" x14ac:dyDescent="0.3">
      <c r="D1650" s="1" t="s">
        <v>1712</v>
      </c>
      <c r="E1650" s="2">
        <v>45604</v>
      </c>
      <c r="F1650" s="2">
        <v>45605</v>
      </c>
      <c r="G1650" s="1" t="s">
        <v>22</v>
      </c>
      <c r="H1650" s="1" t="s">
        <v>23</v>
      </c>
      <c r="I1650" s="1" t="s">
        <v>65</v>
      </c>
      <c r="J1650" s="1" t="s">
        <v>66</v>
      </c>
      <c r="K1650" s="3">
        <v>950.48</v>
      </c>
      <c r="L1650" s="1">
        <v>6</v>
      </c>
      <c r="M1650" s="1" t="s">
        <v>49</v>
      </c>
      <c r="N1650" s="3">
        <v>-67.45</v>
      </c>
      <c r="O1650" s="1" t="s">
        <v>2222</v>
      </c>
      <c r="P1650" s="1" t="s">
        <v>2076</v>
      </c>
      <c r="Q1650" s="1" t="str">
        <f>TEXT((Data[[#This Row],[Order_Date]]), "mmm")</f>
        <v>Nov</v>
      </c>
    </row>
    <row r="1651" spans="4:17" x14ac:dyDescent="0.3">
      <c r="D1651" s="1" t="s">
        <v>1713</v>
      </c>
      <c r="E1651" s="2">
        <v>45418</v>
      </c>
      <c r="F1651" s="2">
        <v>45425</v>
      </c>
      <c r="G1651" s="1" t="s">
        <v>31</v>
      </c>
      <c r="H1651" s="1" t="s">
        <v>12</v>
      </c>
      <c r="I1651" s="1" t="s">
        <v>38</v>
      </c>
      <c r="J1651" s="1" t="s">
        <v>81</v>
      </c>
      <c r="K1651" s="3">
        <v>2088.73</v>
      </c>
      <c r="L1651" s="1">
        <v>11</v>
      </c>
      <c r="M1651" s="1" t="s">
        <v>44</v>
      </c>
      <c r="N1651" s="3">
        <v>467.61</v>
      </c>
      <c r="O1651" s="1" t="s">
        <v>2168</v>
      </c>
      <c r="P1651" s="1" t="s">
        <v>2078</v>
      </c>
      <c r="Q1651" s="1" t="str">
        <f>TEXT((Data[[#This Row],[Order_Date]]), "mmm")</f>
        <v>May</v>
      </c>
    </row>
    <row r="1652" spans="4:17" x14ac:dyDescent="0.3">
      <c r="D1652" s="1" t="s">
        <v>1714</v>
      </c>
      <c r="E1652" s="2">
        <v>45557</v>
      </c>
      <c r="F1652" s="2">
        <v>45560</v>
      </c>
      <c r="G1652" s="1" t="s">
        <v>22</v>
      </c>
      <c r="H1652" s="1" t="s">
        <v>17</v>
      </c>
      <c r="I1652" s="1" t="s">
        <v>18</v>
      </c>
      <c r="J1652" s="1" t="s">
        <v>90</v>
      </c>
      <c r="K1652" s="3">
        <v>3072.81</v>
      </c>
      <c r="L1652" s="1">
        <v>4</v>
      </c>
      <c r="M1652" s="1" t="s">
        <v>44</v>
      </c>
      <c r="N1652" s="3">
        <v>884.88</v>
      </c>
      <c r="O1652" s="1" t="s">
        <v>2205</v>
      </c>
      <c r="P1652" s="1" t="s">
        <v>2071</v>
      </c>
      <c r="Q1652" s="1" t="str">
        <f>TEXT((Data[[#This Row],[Order_Date]]), "mmm")</f>
        <v>Sep</v>
      </c>
    </row>
    <row r="1653" spans="4:17" x14ac:dyDescent="0.3">
      <c r="D1653" s="1" t="s">
        <v>1715</v>
      </c>
      <c r="E1653" s="2">
        <v>45319</v>
      </c>
      <c r="F1653" s="2">
        <v>45322</v>
      </c>
      <c r="G1653" s="1" t="s">
        <v>22</v>
      </c>
      <c r="H1653" s="1" t="s">
        <v>17</v>
      </c>
      <c r="I1653" s="1" t="s">
        <v>18</v>
      </c>
      <c r="J1653" s="1" t="s">
        <v>54</v>
      </c>
      <c r="K1653" s="3">
        <v>3103.74</v>
      </c>
      <c r="L1653" s="1">
        <v>16</v>
      </c>
      <c r="M1653" s="1" t="s">
        <v>29</v>
      </c>
      <c r="N1653" s="3">
        <v>910.17</v>
      </c>
      <c r="O1653" s="1" t="s">
        <v>2295</v>
      </c>
      <c r="P1653" s="1" t="s">
        <v>2078</v>
      </c>
      <c r="Q1653" s="1" t="str">
        <f>TEXT((Data[[#This Row],[Order_Date]]), "mmm")</f>
        <v>Jan</v>
      </c>
    </row>
    <row r="1654" spans="4:17" x14ac:dyDescent="0.3">
      <c r="D1654" s="1" t="s">
        <v>1716</v>
      </c>
      <c r="E1654" s="2">
        <v>45530</v>
      </c>
      <c r="F1654" s="2">
        <v>45537</v>
      </c>
      <c r="G1654" s="1" t="s">
        <v>36</v>
      </c>
      <c r="H1654" s="1" t="s">
        <v>12</v>
      </c>
      <c r="I1654" s="1" t="s">
        <v>58</v>
      </c>
      <c r="J1654" s="1" t="s">
        <v>59</v>
      </c>
      <c r="K1654" s="3">
        <v>3024.93</v>
      </c>
      <c r="L1654" s="1">
        <v>12</v>
      </c>
      <c r="M1654" s="1" t="s">
        <v>15</v>
      </c>
      <c r="N1654" s="3">
        <v>617.99</v>
      </c>
      <c r="O1654" s="1" t="s">
        <v>2167</v>
      </c>
      <c r="P1654" s="1" t="s">
        <v>2078</v>
      </c>
      <c r="Q1654" s="1" t="str">
        <f>TEXT((Data[[#This Row],[Order_Date]]), "mmm")</f>
        <v>Aug</v>
      </c>
    </row>
    <row r="1655" spans="4:17" x14ac:dyDescent="0.3">
      <c r="D1655" s="1" t="s">
        <v>1717</v>
      </c>
      <c r="E1655" s="2">
        <v>45618</v>
      </c>
      <c r="F1655" s="2">
        <v>45624</v>
      </c>
      <c r="G1655" s="1" t="s">
        <v>11</v>
      </c>
      <c r="H1655" s="1" t="s">
        <v>17</v>
      </c>
      <c r="I1655" s="1" t="s">
        <v>18</v>
      </c>
      <c r="J1655" s="1" t="s">
        <v>19</v>
      </c>
      <c r="K1655" s="3">
        <v>1292.99</v>
      </c>
      <c r="L1655" s="1">
        <v>10</v>
      </c>
      <c r="M1655" s="1" t="s">
        <v>44</v>
      </c>
      <c r="N1655" s="3">
        <v>422.5</v>
      </c>
      <c r="O1655" s="1" t="s">
        <v>2129</v>
      </c>
      <c r="P1655" s="1" t="s">
        <v>2078</v>
      </c>
      <c r="Q1655" s="1" t="str">
        <f>TEXT((Data[[#This Row],[Order_Date]]), "mmm")</f>
        <v>Nov</v>
      </c>
    </row>
    <row r="1656" spans="4:17" x14ac:dyDescent="0.3">
      <c r="D1656" s="1" t="s">
        <v>1718</v>
      </c>
      <c r="E1656" s="2">
        <v>45585</v>
      </c>
      <c r="F1656" s="2">
        <v>45590</v>
      </c>
      <c r="G1656" s="1" t="s">
        <v>11</v>
      </c>
      <c r="H1656" s="1" t="s">
        <v>23</v>
      </c>
      <c r="I1656" s="1" t="s">
        <v>61</v>
      </c>
      <c r="J1656" s="1" t="s">
        <v>98</v>
      </c>
      <c r="K1656" s="3">
        <v>3381.94</v>
      </c>
      <c r="L1656" s="1">
        <v>6</v>
      </c>
      <c r="M1656" s="1" t="s">
        <v>44</v>
      </c>
      <c r="N1656" s="3">
        <v>1053.82</v>
      </c>
      <c r="O1656" s="1" t="s">
        <v>2089</v>
      </c>
      <c r="P1656" s="1" t="s">
        <v>2071</v>
      </c>
      <c r="Q1656" s="1" t="str">
        <f>TEXT((Data[[#This Row],[Order_Date]]), "mmm")</f>
        <v>Oct</v>
      </c>
    </row>
    <row r="1657" spans="4:17" x14ac:dyDescent="0.3">
      <c r="D1657" s="1" t="s">
        <v>1719</v>
      </c>
      <c r="E1657" s="2">
        <v>45339</v>
      </c>
      <c r="F1657" s="2">
        <v>45339</v>
      </c>
      <c r="G1657" s="1" t="s">
        <v>22</v>
      </c>
      <c r="H1657" s="1" t="s">
        <v>12</v>
      </c>
      <c r="I1657" s="1" t="s">
        <v>58</v>
      </c>
      <c r="J1657" s="1" t="s">
        <v>59</v>
      </c>
      <c r="K1657" s="3">
        <v>3781.85</v>
      </c>
      <c r="L1657" s="1">
        <v>12</v>
      </c>
      <c r="M1657" s="1" t="s">
        <v>15</v>
      </c>
      <c r="N1657" s="3">
        <v>216.36</v>
      </c>
      <c r="O1657" s="1" t="s">
        <v>2301</v>
      </c>
      <c r="P1657" s="1" t="s">
        <v>2076</v>
      </c>
      <c r="Q1657" s="1" t="str">
        <f>TEXT((Data[[#This Row],[Order_Date]]), "mmm")</f>
        <v>Feb</v>
      </c>
    </row>
    <row r="1658" spans="4:17" x14ac:dyDescent="0.3">
      <c r="D1658" s="1" t="s">
        <v>1720</v>
      </c>
      <c r="E1658" s="2">
        <v>45536</v>
      </c>
      <c r="F1658" s="2">
        <v>45540</v>
      </c>
      <c r="G1658" s="1" t="s">
        <v>22</v>
      </c>
      <c r="H1658" s="1" t="s">
        <v>17</v>
      </c>
      <c r="I1658" s="1" t="s">
        <v>32</v>
      </c>
      <c r="J1658" s="1" t="s">
        <v>56</v>
      </c>
      <c r="K1658" s="3">
        <v>3668.7</v>
      </c>
      <c r="L1658" s="1">
        <v>19</v>
      </c>
      <c r="M1658" s="1" t="s">
        <v>49</v>
      </c>
      <c r="N1658" s="3">
        <v>-1275.44</v>
      </c>
      <c r="O1658" s="1" t="s">
        <v>2245</v>
      </c>
      <c r="P1658" s="1" t="s">
        <v>2071</v>
      </c>
      <c r="Q1658" s="1" t="str">
        <f>TEXT((Data[[#This Row],[Order_Date]]), "mmm")</f>
        <v>Sep</v>
      </c>
    </row>
    <row r="1659" spans="4:17" x14ac:dyDescent="0.3">
      <c r="D1659" s="1" t="s">
        <v>1721</v>
      </c>
      <c r="E1659" s="2">
        <v>45643</v>
      </c>
      <c r="F1659" s="2">
        <v>45650</v>
      </c>
      <c r="G1659" s="1" t="s">
        <v>11</v>
      </c>
      <c r="H1659" s="1" t="s">
        <v>12</v>
      </c>
      <c r="I1659" s="1" t="s">
        <v>38</v>
      </c>
      <c r="J1659" s="1" t="s">
        <v>81</v>
      </c>
      <c r="K1659" s="3">
        <v>1741.82</v>
      </c>
      <c r="L1659" s="1">
        <v>5</v>
      </c>
      <c r="M1659" s="1" t="s">
        <v>15</v>
      </c>
      <c r="N1659" s="3">
        <v>166.41</v>
      </c>
      <c r="O1659" s="1" t="s">
        <v>2311</v>
      </c>
      <c r="P1659" s="1" t="s">
        <v>2071</v>
      </c>
      <c r="Q1659" s="1" t="str">
        <f>TEXT((Data[[#This Row],[Order_Date]]), "mmm")</f>
        <v>Dec</v>
      </c>
    </row>
    <row r="1660" spans="4:17" x14ac:dyDescent="0.3">
      <c r="D1660" s="1" t="s">
        <v>1722</v>
      </c>
      <c r="E1660" s="2">
        <v>45352</v>
      </c>
      <c r="F1660" s="2">
        <v>45359</v>
      </c>
      <c r="G1660" s="1" t="s">
        <v>31</v>
      </c>
      <c r="H1660" s="1" t="s">
        <v>23</v>
      </c>
      <c r="I1660" s="1" t="s">
        <v>78</v>
      </c>
      <c r="J1660" s="1" t="s">
        <v>118</v>
      </c>
      <c r="K1660" s="3">
        <v>681.87</v>
      </c>
      <c r="L1660" s="1">
        <v>3</v>
      </c>
      <c r="M1660" s="1" t="s">
        <v>20</v>
      </c>
      <c r="N1660" s="3">
        <v>57.15</v>
      </c>
      <c r="O1660" s="1" t="s">
        <v>2294</v>
      </c>
      <c r="P1660" s="1" t="s">
        <v>2076</v>
      </c>
      <c r="Q1660" s="1" t="str">
        <f>TEXT((Data[[#This Row],[Order_Date]]), "mmm")</f>
        <v>Mar</v>
      </c>
    </row>
    <row r="1661" spans="4:17" x14ac:dyDescent="0.3">
      <c r="D1661" s="1" t="s">
        <v>1723</v>
      </c>
      <c r="E1661" s="2">
        <v>45358</v>
      </c>
      <c r="F1661" s="2">
        <v>45360</v>
      </c>
      <c r="G1661" s="1" t="s">
        <v>11</v>
      </c>
      <c r="H1661" s="1" t="s">
        <v>17</v>
      </c>
      <c r="I1661" s="1" t="s">
        <v>32</v>
      </c>
      <c r="J1661" s="1" t="s">
        <v>56</v>
      </c>
      <c r="K1661" s="3">
        <v>1924.34</v>
      </c>
      <c r="L1661" s="1">
        <v>11</v>
      </c>
      <c r="M1661" s="1" t="s">
        <v>15</v>
      </c>
      <c r="N1661" s="3">
        <v>524.91</v>
      </c>
      <c r="O1661" s="1" t="s">
        <v>2167</v>
      </c>
      <c r="P1661" s="1" t="s">
        <v>2076</v>
      </c>
      <c r="Q1661" s="1" t="str">
        <f>TEXT((Data[[#This Row],[Order_Date]]), "mmm")</f>
        <v>Mar</v>
      </c>
    </row>
    <row r="1662" spans="4:17" x14ac:dyDescent="0.3">
      <c r="D1662" s="1" t="s">
        <v>1724</v>
      </c>
      <c r="E1662" s="2">
        <v>45516</v>
      </c>
      <c r="F1662" s="2">
        <v>45519</v>
      </c>
      <c r="G1662" s="1" t="s">
        <v>22</v>
      </c>
      <c r="H1662" s="1" t="s">
        <v>12</v>
      </c>
      <c r="I1662" s="1" t="s">
        <v>58</v>
      </c>
      <c r="J1662" s="1" t="s">
        <v>120</v>
      </c>
      <c r="K1662" s="3">
        <v>1351.05</v>
      </c>
      <c r="L1662" s="1">
        <v>7</v>
      </c>
      <c r="M1662" s="1" t="s">
        <v>49</v>
      </c>
      <c r="N1662" s="3">
        <v>221.69</v>
      </c>
      <c r="O1662" s="1" t="s">
        <v>2184</v>
      </c>
      <c r="P1662" s="1" t="s">
        <v>2076</v>
      </c>
      <c r="Q1662" s="1" t="str">
        <f>TEXT((Data[[#This Row],[Order_Date]]), "mmm")</f>
        <v>Aug</v>
      </c>
    </row>
    <row r="1663" spans="4:17" x14ac:dyDescent="0.3">
      <c r="D1663" s="1" t="s">
        <v>1725</v>
      </c>
      <c r="E1663" s="2">
        <v>45298</v>
      </c>
      <c r="F1663" s="2">
        <v>45300</v>
      </c>
      <c r="G1663" s="1" t="s">
        <v>31</v>
      </c>
      <c r="H1663" s="1" t="s">
        <v>12</v>
      </c>
      <c r="I1663" s="1" t="s">
        <v>13</v>
      </c>
      <c r="J1663" s="1" t="s">
        <v>51</v>
      </c>
      <c r="K1663" s="3">
        <v>811.12</v>
      </c>
      <c r="L1663" s="1">
        <v>10</v>
      </c>
      <c r="M1663" s="1" t="s">
        <v>44</v>
      </c>
      <c r="N1663" s="3">
        <v>65</v>
      </c>
      <c r="O1663" s="1" t="s">
        <v>2136</v>
      </c>
      <c r="P1663" s="1" t="s">
        <v>2071</v>
      </c>
      <c r="Q1663" s="1" t="str">
        <f>TEXT((Data[[#This Row],[Order_Date]]), "mmm")</f>
        <v>Jan</v>
      </c>
    </row>
    <row r="1664" spans="4:17" x14ac:dyDescent="0.3">
      <c r="D1664" s="1" t="s">
        <v>1726</v>
      </c>
      <c r="E1664" s="2">
        <v>45577</v>
      </c>
      <c r="F1664" s="2">
        <v>45583</v>
      </c>
      <c r="G1664" s="1" t="s">
        <v>22</v>
      </c>
      <c r="H1664" s="1" t="s">
        <v>23</v>
      </c>
      <c r="I1664" s="1" t="s">
        <v>61</v>
      </c>
      <c r="J1664" s="1" t="s">
        <v>62</v>
      </c>
      <c r="K1664" s="3">
        <v>2743.46</v>
      </c>
      <c r="L1664" s="1">
        <v>5</v>
      </c>
      <c r="M1664" s="1" t="s">
        <v>44</v>
      </c>
      <c r="N1664" s="3">
        <v>627.97</v>
      </c>
      <c r="O1664" s="1" t="s">
        <v>2102</v>
      </c>
      <c r="P1664" s="1" t="s">
        <v>2078</v>
      </c>
      <c r="Q1664" s="1" t="str">
        <f>TEXT((Data[[#This Row],[Order_Date]]), "mmm")</f>
        <v>Oct</v>
      </c>
    </row>
    <row r="1665" spans="4:17" x14ac:dyDescent="0.3">
      <c r="D1665" s="1" t="s">
        <v>1727</v>
      </c>
      <c r="E1665" s="2">
        <v>45300</v>
      </c>
      <c r="F1665" s="2">
        <v>45303</v>
      </c>
      <c r="G1665" s="1" t="s">
        <v>36</v>
      </c>
      <c r="H1665" s="1" t="s">
        <v>23</v>
      </c>
      <c r="I1665" s="1" t="s">
        <v>65</v>
      </c>
      <c r="J1665" s="1" t="s">
        <v>66</v>
      </c>
      <c r="K1665" s="3">
        <v>3289.24</v>
      </c>
      <c r="L1665" s="1">
        <v>1</v>
      </c>
      <c r="M1665" s="1" t="s">
        <v>44</v>
      </c>
      <c r="N1665" s="3">
        <v>870.67</v>
      </c>
      <c r="O1665" s="1" t="s">
        <v>2272</v>
      </c>
      <c r="P1665" s="1" t="s">
        <v>2078</v>
      </c>
      <c r="Q1665" s="1" t="str">
        <f>TEXT((Data[[#This Row],[Order_Date]]), "mmm")</f>
        <v>Jan</v>
      </c>
    </row>
    <row r="1666" spans="4:17" x14ac:dyDescent="0.3">
      <c r="D1666" s="1" t="s">
        <v>1728</v>
      </c>
      <c r="E1666" s="2">
        <v>45468</v>
      </c>
      <c r="F1666" s="2">
        <v>45470</v>
      </c>
      <c r="G1666" s="1" t="s">
        <v>31</v>
      </c>
      <c r="H1666" s="1" t="s">
        <v>17</v>
      </c>
      <c r="I1666" s="1" t="s">
        <v>18</v>
      </c>
      <c r="J1666" s="1" t="s">
        <v>19</v>
      </c>
      <c r="K1666" s="3">
        <v>3883.32</v>
      </c>
      <c r="L1666" s="1">
        <v>4</v>
      </c>
      <c r="M1666" s="1" t="s">
        <v>44</v>
      </c>
      <c r="N1666" s="3">
        <v>515.08000000000004</v>
      </c>
      <c r="O1666" s="1" t="s">
        <v>2250</v>
      </c>
      <c r="P1666" s="1" t="s">
        <v>2076</v>
      </c>
      <c r="Q1666" s="1" t="str">
        <f>TEXT((Data[[#This Row],[Order_Date]]), "mmm")</f>
        <v>Jun</v>
      </c>
    </row>
    <row r="1667" spans="4:17" x14ac:dyDescent="0.3">
      <c r="D1667" s="1" t="s">
        <v>1729</v>
      </c>
      <c r="E1667" s="2">
        <v>45475</v>
      </c>
      <c r="F1667" s="2">
        <v>45480</v>
      </c>
      <c r="G1667" s="1" t="s">
        <v>36</v>
      </c>
      <c r="H1667" s="1" t="s">
        <v>23</v>
      </c>
      <c r="I1667" s="1" t="s">
        <v>24</v>
      </c>
      <c r="J1667" s="1" t="s">
        <v>25</v>
      </c>
      <c r="K1667" s="3">
        <v>1045.05</v>
      </c>
      <c r="L1667" s="1">
        <v>1</v>
      </c>
      <c r="M1667" s="1" t="s">
        <v>34</v>
      </c>
      <c r="N1667" s="3">
        <v>347.43</v>
      </c>
      <c r="O1667" s="1" t="s">
        <v>2160</v>
      </c>
      <c r="P1667" s="1" t="s">
        <v>2076</v>
      </c>
      <c r="Q1667" s="1" t="str">
        <f>TEXT((Data[[#This Row],[Order_Date]]), "mmm")</f>
        <v>Jul</v>
      </c>
    </row>
    <row r="1668" spans="4:17" x14ac:dyDescent="0.3">
      <c r="D1668" s="1" t="s">
        <v>1730</v>
      </c>
      <c r="E1668" s="2">
        <v>45371</v>
      </c>
      <c r="F1668" s="2">
        <v>45371</v>
      </c>
      <c r="G1668" s="1" t="s">
        <v>22</v>
      </c>
      <c r="H1668" s="1" t="s">
        <v>23</v>
      </c>
      <c r="I1668" s="1" t="s">
        <v>61</v>
      </c>
      <c r="J1668" s="1" t="s">
        <v>98</v>
      </c>
      <c r="K1668" s="3">
        <v>711.67</v>
      </c>
      <c r="L1668" s="1">
        <v>20</v>
      </c>
      <c r="M1668" s="1" t="s">
        <v>44</v>
      </c>
      <c r="N1668" s="3">
        <v>137.91999999999999</v>
      </c>
      <c r="O1668" s="1" t="s">
        <v>2184</v>
      </c>
      <c r="P1668" s="1" t="s">
        <v>2071</v>
      </c>
      <c r="Q1668" s="1" t="str">
        <f>TEXT((Data[[#This Row],[Order_Date]]), "mmm")</f>
        <v>Mar</v>
      </c>
    </row>
    <row r="1669" spans="4:17" x14ac:dyDescent="0.3">
      <c r="D1669" s="1" t="s">
        <v>1731</v>
      </c>
      <c r="E1669" s="2">
        <v>45434</v>
      </c>
      <c r="F1669" s="2">
        <v>45434</v>
      </c>
      <c r="G1669" s="1" t="s">
        <v>22</v>
      </c>
      <c r="H1669" s="1" t="s">
        <v>12</v>
      </c>
      <c r="I1669" s="1" t="s">
        <v>38</v>
      </c>
      <c r="J1669" s="1" t="s">
        <v>85</v>
      </c>
      <c r="K1669" s="3">
        <v>2945.65</v>
      </c>
      <c r="L1669" s="1">
        <v>3</v>
      </c>
      <c r="M1669" s="1" t="s">
        <v>49</v>
      </c>
      <c r="N1669" s="3">
        <v>523.91</v>
      </c>
      <c r="O1669" s="1" t="s">
        <v>2098</v>
      </c>
      <c r="P1669" s="1" t="s">
        <v>2078</v>
      </c>
      <c r="Q1669" s="1" t="str">
        <f>TEXT((Data[[#This Row],[Order_Date]]), "mmm")</f>
        <v>May</v>
      </c>
    </row>
    <row r="1670" spans="4:17" x14ac:dyDescent="0.3">
      <c r="D1670" s="1" t="s">
        <v>1732</v>
      </c>
      <c r="E1670" s="2">
        <v>45503</v>
      </c>
      <c r="F1670" s="2">
        <v>45506</v>
      </c>
      <c r="G1670" s="1" t="s">
        <v>22</v>
      </c>
      <c r="H1670" s="1" t="s">
        <v>17</v>
      </c>
      <c r="I1670" s="1" t="s">
        <v>27</v>
      </c>
      <c r="J1670" s="1" t="s">
        <v>28</v>
      </c>
      <c r="K1670" s="3">
        <v>1533.96</v>
      </c>
      <c r="L1670" s="1">
        <v>9</v>
      </c>
      <c r="M1670" s="1" t="s">
        <v>44</v>
      </c>
      <c r="N1670" s="3">
        <v>457.63</v>
      </c>
      <c r="O1670" s="1" t="s">
        <v>2108</v>
      </c>
      <c r="P1670" s="1" t="s">
        <v>2078</v>
      </c>
      <c r="Q1670" s="1" t="str">
        <f>TEXT((Data[[#This Row],[Order_Date]]), "mmm")</f>
        <v>Jul</v>
      </c>
    </row>
    <row r="1671" spans="4:17" x14ac:dyDescent="0.3">
      <c r="D1671" s="1" t="s">
        <v>1733</v>
      </c>
      <c r="E1671" s="2">
        <v>45620</v>
      </c>
      <c r="F1671" s="2">
        <v>45620</v>
      </c>
      <c r="G1671" s="1" t="s">
        <v>22</v>
      </c>
      <c r="H1671" s="1" t="s">
        <v>12</v>
      </c>
      <c r="I1671" s="1" t="s">
        <v>13</v>
      </c>
      <c r="J1671" s="1" t="s">
        <v>51</v>
      </c>
      <c r="K1671" s="3">
        <v>1186.3699999999999</v>
      </c>
      <c r="L1671" s="1">
        <v>4</v>
      </c>
      <c r="M1671" s="1" t="s">
        <v>20</v>
      </c>
      <c r="N1671" s="3">
        <v>278.61</v>
      </c>
      <c r="O1671" s="1" t="s">
        <v>2261</v>
      </c>
      <c r="P1671" s="1" t="s">
        <v>2076</v>
      </c>
      <c r="Q1671" s="1" t="str">
        <f>TEXT((Data[[#This Row],[Order_Date]]), "mmm")</f>
        <v>Nov</v>
      </c>
    </row>
    <row r="1672" spans="4:17" x14ac:dyDescent="0.3">
      <c r="D1672" s="1" t="s">
        <v>1734</v>
      </c>
      <c r="E1672" s="2">
        <v>45499</v>
      </c>
      <c r="F1672" s="2">
        <v>45506</v>
      </c>
      <c r="G1672" s="1" t="s">
        <v>31</v>
      </c>
      <c r="H1672" s="1" t="s">
        <v>23</v>
      </c>
      <c r="I1672" s="1" t="s">
        <v>65</v>
      </c>
      <c r="J1672" s="1" t="s">
        <v>114</v>
      </c>
      <c r="K1672" s="3">
        <v>2585.9</v>
      </c>
      <c r="L1672" s="1">
        <v>12</v>
      </c>
      <c r="M1672" s="1" t="s">
        <v>49</v>
      </c>
      <c r="N1672" s="3">
        <v>587.09</v>
      </c>
      <c r="O1672" s="1" t="s">
        <v>2161</v>
      </c>
      <c r="P1672" s="1" t="s">
        <v>2071</v>
      </c>
      <c r="Q1672" s="1" t="str">
        <f>TEXT((Data[[#This Row],[Order_Date]]), "mmm")</f>
        <v>Jul</v>
      </c>
    </row>
    <row r="1673" spans="4:17" x14ac:dyDescent="0.3">
      <c r="D1673" s="1" t="s">
        <v>1735</v>
      </c>
      <c r="E1673" s="2">
        <v>45470</v>
      </c>
      <c r="F1673" s="2">
        <v>45475</v>
      </c>
      <c r="G1673" s="1" t="s">
        <v>36</v>
      </c>
      <c r="H1673" s="1" t="s">
        <v>23</v>
      </c>
      <c r="I1673" s="1" t="s">
        <v>78</v>
      </c>
      <c r="J1673" s="1" t="s">
        <v>118</v>
      </c>
      <c r="K1673" s="3">
        <v>1192.3</v>
      </c>
      <c r="L1673" s="1">
        <v>4</v>
      </c>
      <c r="M1673" s="1" t="s">
        <v>44</v>
      </c>
      <c r="N1673" s="3">
        <v>358.92</v>
      </c>
      <c r="O1673" s="1" t="s">
        <v>2138</v>
      </c>
      <c r="P1673" s="1" t="s">
        <v>2076</v>
      </c>
      <c r="Q1673" s="1" t="str">
        <f>TEXT((Data[[#This Row],[Order_Date]]), "mmm")</f>
        <v>Jun</v>
      </c>
    </row>
    <row r="1674" spans="4:17" x14ac:dyDescent="0.3">
      <c r="D1674" s="1" t="s">
        <v>1736</v>
      </c>
      <c r="E1674" s="2">
        <v>45514</v>
      </c>
      <c r="F1674" s="2">
        <v>45514</v>
      </c>
      <c r="G1674" s="1" t="s">
        <v>11</v>
      </c>
      <c r="H1674" s="1" t="s">
        <v>17</v>
      </c>
      <c r="I1674" s="1" t="s">
        <v>32</v>
      </c>
      <c r="J1674" s="1" t="s">
        <v>56</v>
      </c>
      <c r="K1674" s="3">
        <v>3134.34</v>
      </c>
      <c r="L1674" s="1">
        <v>17</v>
      </c>
      <c r="M1674" s="1" t="s">
        <v>20</v>
      </c>
      <c r="N1674" s="3">
        <v>-193.14</v>
      </c>
      <c r="O1674" s="1" t="s">
        <v>2249</v>
      </c>
      <c r="P1674" s="1" t="s">
        <v>2078</v>
      </c>
      <c r="Q1674" s="1" t="str">
        <f>TEXT((Data[[#This Row],[Order_Date]]), "mmm")</f>
        <v>Aug</v>
      </c>
    </row>
    <row r="1675" spans="4:17" x14ac:dyDescent="0.3">
      <c r="D1675" s="1" t="s">
        <v>1737</v>
      </c>
      <c r="E1675" s="2">
        <v>45503</v>
      </c>
      <c r="F1675" s="2">
        <v>45506</v>
      </c>
      <c r="G1675" s="1" t="s">
        <v>11</v>
      </c>
      <c r="H1675" s="1" t="s">
        <v>23</v>
      </c>
      <c r="I1675" s="1" t="s">
        <v>65</v>
      </c>
      <c r="J1675" s="1" t="s">
        <v>114</v>
      </c>
      <c r="K1675" s="3">
        <v>3112.92</v>
      </c>
      <c r="L1675" s="1">
        <v>3</v>
      </c>
      <c r="M1675" s="1" t="s">
        <v>49</v>
      </c>
      <c r="N1675" s="3">
        <v>306.82</v>
      </c>
      <c r="O1675" s="1" t="s">
        <v>2106</v>
      </c>
      <c r="P1675" s="1" t="s">
        <v>2071</v>
      </c>
      <c r="Q1675" s="1" t="str">
        <f>TEXT((Data[[#This Row],[Order_Date]]), "mmm")</f>
        <v>Jul</v>
      </c>
    </row>
    <row r="1676" spans="4:17" x14ac:dyDescent="0.3">
      <c r="D1676" s="1" t="s">
        <v>1738</v>
      </c>
      <c r="E1676" s="2">
        <v>45570</v>
      </c>
      <c r="F1676" s="2">
        <v>45570</v>
      </c>
      <c r="G1676" s="1" t="s">
        <v>11</v>
      </c>
      <c r="H1676" s="1" t="s">
        <v>12</v>
      </c>
      <c r="I1676" s="1" t="s">
        <v>13</v>
      </c>
      <c r="J1676" s="1" t="s">
        <v>96</v>
      </c>
      <c r="K1676" s="3">
        <v>652.76</v>
      </c>
      <c r="L1676" s="1">
        <v>19</v>
      </c>
      <c r="M1676" s="1" t="s">
        <v>20</v>
      </c>
      <c r="N1676" s="3">
        <v>-202.7</v>
      </c>
      <c r="O1676" s="1" t="s">
        <v>2253</v>
      </c>
      <c r="P1676" s="1" t="s">
        <v>2071</v>
      </c>
      <c r="Q1676" s="1" t="str">
        <f>TEXT((Data[[#This Row],[Order_Date]]), "mmm")</f>
        <v>Oct</v>
      </c>
    </row>
    <row r="1677" spans="4:17" x14ac:dyDescent="0.3">
      <c r="D1677" s="1" t="s">
        <v>1739</v>
      </c>
      <c r="E1677" s="2">
        <v>45467</v>
      </c>
      <c r="F1677" s="2">
        <v>45467</v>
      </c>
      <c r="G1677" s="1" t="s">
        <v>31</v>
      </c>
      <c r="H1677" s="1" t="s">
        <v>17</v>
      </c>
      <c r="I1677" s="1" t="s">
        <v>18</v>
      </c>
      <c r="J1677" s="1" t="s">
        <v>90</v>
      </c>
      <c r="K1677" s="3">
        <v>409.19</v>
      </c>
      <c r="L1677" s="1">
        <v>15</v>
      </c>
      <c r="M1677" s="1" t="s">
        <v>20</v>
      </c>
      <c r="N1677" s="3">
        <v>50.72</v>
      </c>
      <c r="O1677" s="1" t="s">
        <v>2084</v>
      </c>
      <c r="P1677" s="1" t="s">
        <v>2078</v>
      </c>
      <c r="Q1677" s="1" t="str">
        <f>TEXT((Data[[#This Row],[Order_Date]]), "mmm")</f>
        <v>Jun</v>
      </c>
    </row>
    <row r="1678" spans="4:17" x14ac:dyDescent="0.3">
      <c r="D1678" s="1" t="s">
        <v>1740</v>
      </c>
      <c r="E1678" s="2">
        <v>45409</v>
      </c>
      <c r="F1678" s="2">
        <v>45414</v>
      </c>
      <c r="G1678" s="1" t="s">
        <v>11</v>
      </c>
      <c r="H1678" s="1" t="s">
        <v>17</v>
      </c>
      <c r="I1678" s="1" t="s">
        <v>27</v>
      </c>
      <c r="J1678" s="1" t="s">
        <v>110</v>
      </c>
      <c r="K1678" s="3">
        <v>3887.38</v>
      </c>
      <c r="L1678" s="1">
        <v>9</v>
      </c>
      <c r="M1678" s="1" t="s">
        <v>49</v>
      </c>
      <c r="N1678" s="3">
        <v>544.51</v>
      </c>
      <c r="O1678" s="1" t="s">
        <v>2243</v>
      </c>
      <c r="P1678" s="1" t="s">
        <v>2071</v>
      </c>
      <c r="Q1678" s="1" t="str">
        <f>TEXT((Data[[#This Row],[Order_Date]]), "mmm")</f>
        <v>Apr</v>
      </c>
    </row>
    <row r="1679" spans="4:17" x14ac:dyDescent="0.3">
      <c r="D1679" s="1" t="s">
        <v>1741</v>
      </c>
      <c r="E1679" s="2">
        <v>45381</v>
      </c>
      <c r="F1679" s="2">
        <v>45382</v>
      </c>
      <c r="G1679" s="1" t="s">
        <v>22</v>
      </c>
      <c r="H1679" s="1" t="s">
        <v>17</v>
      </c>
      <c r="I1679" s="1" t="s">
        <v>18</v>
      </c>
      <c r="J1679" s="1" t="s">
        <v>90</v>
      </c>
      <c r="K1679" s="3">
        <v>1881.61</v>
      </c>
      <c r="L1679" s="1">
        <v>12</v>
      </c>
      <c r="M1679" s="1" t="s">
        <v>29</v>
      </c>
      <c r="N1679" s="3">
        <v>579.20000000000005</v>
      </c>
      <c r="O1679" s="1" t="s">
        <v>2266</v>
      </c>
      <c r="P1679" s="1" t="s">
        <v>2071</v>
      </c>
      <c r="Q1679" s="1" t="str">
        <f>TEXT((Data[[#This Row],[Order_Date]]), "mmm")</f>
        <v>Mar</v>
      </c>
    </row>
    <row r="1680" spans="4:17" x14ac:dyDescent="0.3">
      <c r="D1680" s="1" t="s">
        <v>1742</v>
      </c>
      <c r="E1680" s="2">
        <v>45520</v>
      </c>
      <c r="F1680" s="2">
        <v>45526</v>
      </c>
      <c r="G1680" s="1" t="s">
        <v>31</v>
      </c>
      <c r="H1680" s="1" t="s">
        <v>12</v>
      </c>
      <c r="I1680" s="1" t="s">
        <v>13</v>
      </c>
      <c r="J1680" s="1" t="s">
        <v>96</v>
      </c>
      <c r="K1680" s="3">
        <v>361.32</v>
      </c>
      <c r="L1680" s="1">
        <v>4</v>
      </c>
      <c r="M1680" s="1" t="s">
        <v>29</v>
      </c>
      <c r="N1680" s="3">
        <v>18.66</v>
      </c>
      <c r="O1680" s="1" t="s">
        <v>2127</v>
      </c>
      <c r="P1680" s="1" t="s">
        <v>2078</v>
      </c>
      <c r="Q1680" s="1" t="str">
        <f>TEXT((Data[[#This Row],[Order_Date]]), "mmm")</f>
        <v>Aug</v>
      </c>
    </row>
    <row r="1681" spans="4:17" x14ac:dyDescent="0.3">
      <c r="D1681" s="1" t="s">
        <v>1743</v>
      </c>
      <c r="E1681" s="2">
        <v>45635</v>
      </c>
      <c r="F1681" s="2">
        <v>45638</v>
      </c>
      <c r="G1681" s="1" t="s">
        <v>31</v>
      </c>
      <c r="H1681" s="1" t="s">
        <v>17</v>
      </c>
      <c r="I1681" s="1" t="s">
        <v>27</v>
      </c>
      <c r="J1681" s="1" t="s">
        <v>110</v>
      </c>
      <c r="K1681" s="3">
        <v>3393.74</v>
      </c>
      <c r="L1681" s="1">
        <v>13</v>
      </c>
      <c r="M1681" s="1" t="s">
        <v>49</v>
      </c>
      <c r="N1681" s="3">
        <v>-1007.8</v>
      </c>
      <c r="O1681" s="1" t="s">
        <v>2130</v>
      </c>
      <c r="P1681" s="1" t="s">
        <v>2076</v>
      </c>
      <c r="Q1681" s="1" t="str">
        <f>TEXT((Data[[#This Row],[Order_Date]]), "mmm")</f>
        <v>Dec</v>
      </c>
    </row>
    <row r="1682" spans="4:17" x14ac:dyDescent="0.3">
      <c r="D1682" s="1" t="s">
        <v>1744</v>
      </c>
      <c r="E1682" s="2">
        <v>45591</v>
      </c>
      <c r="F1682" s="2">
        <v>45592</v>
      </c>
      <c r="G1682" s="1" t="s">
        <v>22</v>
      </c>
      <c r="H1682" s="1" t="s">
        <v>17</v>
      </c>
      <c r="I1682" s="1" t="s">
        <v>32</v>
      </c>
      <c r="J1682" s="1" t="s">
        <v>33</v>
      </c>
      <c r="K1682" s="3">
        <v>321.18</v>
      </c>
      <c r="L1682" s="1">
        <v>2</v>
      </c>
      <c r="M1682" s="1" t="s">
        <v>34</v>
      </c>
      <c r="N1682" s="3">
        <v>54.89</v>
      </c>
      <c r="O1682" s="1" t="s">
        <v>2150</v>
      </c>
      <c r="P1682" s="1" t="s">
        <v>2071</v>
      </c>
      <c r="Q1682" s="1" t="str">
        <f>TEXT((Data[[#This Row],[Order_Date]]), "mmm")</f>
        <v>Oct</v>
      </c>
    </row>
    <row r="1683" spans="4:17" x14ac:dyDescent="0.3">
      <c r="D1683" s="1" t="s">
        <v>1745</v>
      </c>
      <c r="E1683" s="2">
        <v>45451</v>
      </c>
      <c r="F1683" s="2">
        <v>45456</v>
      </c>
      <c r="G1683" s="1" t="s">
        <v>11</v>
      </c>
      <c r="H1683" s="1" t="s">
        <v>17</v>
      </c>
      <c r="I1683" s="1" t="s">
        <v>18</v>
      </c>
      <c r="J1683" s="1" t="s">
        <v>19</v>
      </c>
      <c r="K1683" s="3">
        <v>1925.99</v>
      </c>
      <c r="L1683" s="1">
        <v>16</v>
      </c>
      <c r="M1683" s="1" t="s">
        <v>15</v>
      </c>
      <c r="N1683" s="3">
        <v>366.34</v>
      </c>
      <c r="O1683" s="1" t="s">
        <v>2301</v>
      </c>
      <c r="P1683" s="1" t="s">
        <v>2078</v>
      </c>
      <c r="Q1683" s="1" t="str">
        <f>TEXT((Data[[#This Row],[Order_Date]]), "mmm")</f>
        <v>Jun</v>
      </c>
    </row>
    <row r="1684" spans="4:17" x14ac:dyDescent="0.3">
      <c r="D1684" s="1" t="s">
        <v>1746</v>
      </c>
      <c r="E1684" s="2">
        <v>45311</v>
      </c>
      <c r="F1684" s="2">
        <v>45311</v>
      </c>
      <c r="G1684" s="1" t="s">
        <v>36</v>
      </c>
      <c r="H1684" s="1" t="s">
        <v>12</v>
      </c>
      <c r="I1684" s="1" t="s">
        <v>58</v>
      </c>
      <c r="J1684" s="1" t="s">
        <v>59</v>
      </c>
      <c r="K1684" s="3">
        <v>3131.02</v>
      </c>
      <c r="L1684" s="1">
        <v>18</v>
      </c>
      <c r="M1684" s="1" t="s">
        <v>20</v>
      </c>
      <c r="N1684" s="3">
        <v>927.3</v>
      </c>
      <c r="O1684" s="1" t="s">
        <v>2161</v>
      </c>
      <c r="P1684" s="1" t="s">
        <v>2076</v>
      </c>
      <c r="Q1684" s="1" t="str">
        <f>TEXT((Data[[#This Row],[Order_Date]]), "mmm")</f>
        <v>Jan</v>
      </c>
    </row>
    <row r="1685" spans="4:17" x14ac:dyDescent="0.3">
      <c r="D1685" s="1" t="s">
        <v>1747</v>
      </c>
      <c r="E1685" s="2">
        <v>45650</v>
      </c>
      <c r="F1685" s="2">
        <v>45654</v>
      </c>
      <c r="G1685" s="1" t="s">
        <v>11</v>
      </c>
      <c r="H1685" s="1" t="s">
        <v>23</v>
      </c>
      <c r="I1685" s="1" t="s">
        <v>78</v>
      </c>
      <c r="J1685" s="1" t="s">
        <v>118</v>
      </c>
      <c r="K1685" s="3">
        <v>1437.5</v>
      </c>
      <c r="L1685" s="1">
        <v>6</v>
      </c>
      <c r="M1685" s="1" t="s">
        <v>20</v>
      </c>
      <c r="N1685" s="3">
        <v>182.07</v>
      </c>
      <c r="O1685" s="1" t="s">
        <v>2264</v>
      </c>
      <c r="P1685" s="1" t="s">
        <v>2071</v>
      </c>
      <c r="Q1685" s="1" t="str">
        <f>TEXT((Data[[#This Row],[Order_Date]]), "mmm")</f>
        <v>Dec</v>
      </c>
    </row>
    <row r="1686" spans="4:17" x14ac:dyDescent="0.3">
      <c r="D1686" s="1" t="s">
        <v>1748</v>
      </c>
      <c r="E1686" s="2">
        <v>45311</v>
      </c>
      <c r="F1686" s="2">
        <v>45315</v>
      </c>
      <c r="G1686" s="1" t="s">
        <v>31</v>
      </c>
      <c r="H1686" s="1" t="s">
        <v>23</v>
      </c>
      <c r="I1686" s="1" t="s">
        <v>65</v>
      </c>
      <c r="J1686" s="1" t="s">
        <v>122</v>
      </c>
      <c r="K1686" s="3">
        <v>1088.8</v>
      </c>
      <c r="L1686" s="1">
        <v>3</v>
      </c>
      <c r="M1686" s="1" t="s">
        <v>44</v>
      </c>
      <c r="N1686" s="3">
        <v>205.76</v>
      </c>
      <c r="O1686" s="1" t="s">
        <v>2257</v>
      </c>
      <c r="P1686" s="1" t="s">
        <v>2078</v>
      </c>
      <c r="Q1686" s="1" t="str">
        <f>TEXT((Data[[#This Row],[Order_Date]]), "mmm")</f>
        <v>Jan</v>
      </c>
    </row>
    <row r="1687" spans="4:17" x14ac:dyDescent="0.3">
      <c r="D1687" s="1" t="s">
        <v>1749</v>
      </c>
      <c r="E1687" s="2">
        <v>45353</v>
      </c>
      <c r="F1687" s="2">
        <v>45359</v>
      </c>
      <c r="G1687" s="1" t="s">
        <v>31</v>
      </c>
      <c r="H1687" s="1" t="s">
        <v>12</v>
      </c>
      <c r="I1687" s="1" t="s">
        <v>13</v>
      </c>
      <c r="J1687" s="1" t="s">
        <v>51</v>
      </c>
      <c r="K1687" s="3">
        <v>1790.83</v>
      </c>
      <c r="L1687" s="1">
        <v>13</v>
      </c>
      <c r="M1687" s="1" t="s">
        <v>20</v>
      </c>
      <c r="N1687" s="3">
        <v>169.29</v>
      </c>
      <c r="O1687" s="1" t="s">
        <v>2176</v>
      </c>
      <c r="P1687" s="1" t="s">
        <v>2076</v>
      </c>
      <c r="Q1687" s="1" t="str">
        <f>TEXT((Data[[#This Row],[Order_Date]]), "mmm")</f>
        <v>Mar</v>
      </c>
    </row>
    <row r="1688" spans="4:17" x14ac:dyDescent="0.3">
      <c r="D1688" s="1" t="s">
        <v>1750</v>
      </c>
      <c r="E1688" s="2">
        <v>45317</v>
      </c>
      <c r="F1688" s="2">
        <v>45324</v>
      </c>
      <c r="G1688" s="1" t="s">
        <v>31</v>
      </c>
      <c r="H1688" s="1" t="s">
        <v>12</v>
      </c>
      <c r="I1688" s="1" t="s">
        <v>13</v>
      </c>
      <c r="J1688" s="1" t="s">
        <v>14</v>
      </c>
      <c r="K1688" s="3">
        <v>1124.8699999999999</v>
      </c>
      <c r="L1688" s="1">
        <v>6</v>
      </c>
      <c r="M1688" s="1" t="s">
        <v>34</v>
      </c>
      <c r="N1688" s="3">
        <v>203.68</v>
      </c>
      <c r="O1688" s="1" t="s">
        <v>2300</v>
      </c>
      <c r="P1688" s="1" t="s">
        <v>2078</v>
      </c>
      <c r="Q1688" s="1" t="str">
        <f>TEXT((Data[[#This Row],[Order_Date]]), "mmm")</f>
        <v>Jan</v>
      </c>
    </row>
    <row r="1689" spans="4:17" x14ac:dyDescent="0.3">
      <c r="D1689" s="1" t="s">
        <v>1751</v>
      </c>
      <c r="E1689" s="2">
        <v>45644</v>
      </c>
      <c r="F1689" s="2">
        <v>45648</v>
      </c>
      <c r="G1689" s="1" t="s">
        <v>11</v>
      </c>
      <c r="H1689" s="1" t="s">
        <v>12</v>
      </c>
      <c r="I1689" s="1" t="s">
        <v>42</v>
      </c>
      <c r="J1689" s="1" t="s">
        <v>48</v>
      </c>
      <c r="K1689" s="3">
        <v>501.23</v>
      </c>
      <c r="L1689" s="1">
        <v>9</v>
      </c>
      <c r="M1689" s="1" t="s">
        <v>44</v>
      </c>
      <c r="N1689" s="3">
        <v>157.9</v>
      </c>
      <c r="O1689" s="1" t="s">
        <v>2215</v>
      </c>
      <c r="P1689" s="1" t="s">
        <v>2078</v>
      </c>
      <c r="Q1689" s="1" t="str">
        <f>TEXT((Data[[#This Row],[Order_Date]]), "mmm")</f>
        <v>Dec</v>
      </c>
    </row>
    <row r="1690" spans="4:17" x14ac:dyDescent="0.3">
      <c r="D1690" s="1" t="s">
        <v>1752</v>
      </c>
      <c r="E1690" s="2">
        <v>45630</v>
      </c>
      <c r="F1690" s="2">
        <v>45632</v>
      </c>
      <c r="G1690" s="1" t="s">
        <v>11</v>
      </c>
      <c r="H1690" s="1" t="s">
        <v>17</v>
      </c>
      <c r="I1690" s="1" t="s">
        <v>27</v>
      </c>
      <c r="J1690" s="1" t="s">
        <v>28</v>
      </c>
      <c r="K1690" s="3">
        <v>2183.39</v>
      </c>
      <c r="L1690" s="1">
        <v>18</v>
      </c>
      <c r="M1690" s="1" t="s">
        <v>44</v>
      </c>
      <c r="N1690" s="3">
        <v>178.4</v>
      </c>
      <c r="O1690" s="1" t="s">
        <v>2292</v>
      </c>
      <c r="P1690" s="1" t="s">
        <v>2078</v>
      </c>
      <c r="Q1690" s="1" t="str">
        <f>TEXT((Data[[#This Row],[Order_Date]]), "mmm")</f>
        <v>Dec</v>
      </c>
    </row>
    <row r="1691" spans="4:17" x14ac:dyDescent="0.3">
      <c r="D1691" s="1" t="s">
        <v>1753</v>
      </c>
      <c r="E1691" s="2">
        <v>45373</v>
      </c>
      <c r="F1691" s="2">
        <v>45373</v>
      </c>
      <c r="G1691" s="1" t="s">
        <v>36</v>
      </c>
      <c r="H1691" s="1" t="s">
        <v>17</v>
      </c>
      <c r="I1691" s="1" t="s">
        <v>32</v>
      </c>
      <c r="J1691" s="1" t="s">
        <v>56</v>
      </c>
      <c r="K1691" s="3">
        <v>1132.04</v>
      </c>
      <c r="L1691" s="1">
        <v>20</v>
      </c>
      <c r="M1691" s="1" t="s">
        <v>29</v>
      </c>
      <c r="N1691" s="3">
        <v>230.81</v>
      </c>
      <c r="O1691" s="1" t="s">
        <v>2237</v>
      </c>
      <c r="P1691" s="1" t="s">
        <v>2076</v>
      </c>
      <c r="Q1691" s="1" t="str">
        <f>TEXT((Data[[#This Row],[Order_Date]]), "mmm")</f>
        <v>Mar</v>
      </c>
    </row>
    <row r="1692" spans="4:17" x14ac:dyDescent="0.3">
      <c r="D1692" s="1" t="s">
        <v>1754</v>
      </c>
      <c r="E1692" s="2">
        <v>45591</v>
      </c>
      <c r="F1692" s="2">
        <v>45598</v>
      </c>
      <c r="G1692" s="1" t="s">
        <v>22</v>
      </c>
      <c r="H1692" s="1" t="s">
        <v>17</v>
      </c>
      <c r="I1692" s="1" t="s">
        <v>18</v>
      </c>
      <c r="J1692" s="1" t="s">
        <v>54</v>
      </c>
      <c r="K1692" s="3">
        <v>3859.45</v>
      </c>
      <c r="L1692" s="1">
        <v>18</v>
      </c>
      <c r="M1692" s="1" t="s">
        <v>29</v>
      </c>
      <c r="N1692" s="3">
        <v>917.73</v>
      </c>
      <c r="O1692" s="1" t="s">
        <v>2114</v>
      </c>
      <c r="P1692" s="1" t="s">
        <v>2076</v>
      </c>
      <c r="Q1692" s="1" t="str">
        <f>TEXT((Data[[#This Row],[Order_Date]]), "mmm")</f>
        <v>Oct</v>
      </c>
    </row>
    <row r="1693" spans="4:17" x14ac:dyDescent="0.3">
      <c r="D1693" s="1" t="s">
        <v>1755</v>
      </c>
      <c r="E1693" s="2">
        <v>45630</v>
      </c>
      <c r="F1693" s="2">
        <v>45630</v>
      </c>
      <c r="G1693" s="1" t="s">
        <v>11</v>
      </c>
      <c r="H1693" s="1" t="s">
        <v>12</v>
      </c>
      <c r="I1693" s="1" t="s">
        <v>42</v>
      </c>
      <c r="J1693" s="1" t="s">
        <v>46</v>
      </c>
      <c r="K1693" s="3">
        <v>1390.43</v>
      </c>
      <c r="L1693" s="1">
        <v>5</v>
      </c>
      <c r="M1693" s="1" t="s">
        <v>44</v>
      </c>
      <c r="N1693" s="3">
        <v>385.64</v>
      </c>
      <c r="O1693" s="1" t="s">
        <v>2170</v>
      </c>
      <c r="P1693" s="1" t="s">
        <v>2071</v>
      </c>
      <c r="Q1693" s="1" t="str">
        <f>TEXT((Data[[#This Row],[Order_Date]]), "mmm")</f>
        <v>Dec</v>
      </c>
    </row>
    <row r="1694" spans="4:17" x14ac:dyDescent="0.3">
      <c r="D1694" s="1" t="s">
        <v>1756</v>
      </c>
      <c r="E1694" s="2">
        <v>45474</v>
      </c>
      <c r="F1694" s="2">
        <v>45477</v>
      </c>
      <c r="G1694" s="1" t="s">
        <v>31</v>
      </c>
      <c r="H1694" s="1" t="s">
        <v>12</v>
      </c>
      <c r="I1694" s="1" t="s">
        <v>13</v>
      </c>
      <c r="J1694" s="1" t="s">
        <v>96</v>
      </c>
      <c r="K1694" s="3">
        <v>3746.9</v>
      </c>
      <c r="L1694" s="1">
        <v>18</v>
      </c>
      <c r="M1694" s="1" t="s">
        <v>44</v>
      </c>
      <c r="N1694" s="3">
        <v>-256.72000000000003</v>
      </c>
      <c r="O1694" s="1" t="s">
        <v>2159</v>
      </c>
      <c r="P1694" s="1" t="s">
        <v>2071</v>
      </c>
      <c r="Q1694" s="1" t="str">
        <f>TEXT((Data[[#This Row],[Order_Date]]), "mmm")</f>
        <v>Jul</v>
      </c>
    </row>
    <row r="1695" spans="4:17" x14ac:dyDescent="0.3">
      <c r="D1695" s="1" t="s">
        <v>1757</v>
      </c>
      <c r="E1695" s="2">
        <v>45568</v>
      </c>
      <c r="F1695" s="2">
        <v>45568</v>
      </c>
      <c r="G1695" s="1" t="s">
        <v>31</v>
      </c>
      <c r="H1695" s="1" t="s">
        <v>23</v>
      </c>
      <c r="I1695" s="1" t="s">
        <v>24</v>
      </c>
      <c r="J1695" s="1" t="s">
        <v>93</v>
      </c>
      <c r="K1695" s="3">
        <v>2749.69</v>
      </c>
      <c r="L1695" s="1">
        <v>6</v>
      </c>
      <c r="M1695" s="1" t="s">
        <v>44</v>
      </c>
      <c r="N1695" s="3">
        <v>-451.16</v>
      </c>
      <c r="O1695" s="1" t="s">
        <v>2165</v>
      </c>
      <c r="P1695" s="1" t="s">
        <v>2076</v>
      </c>
      <c r="Q1695" s="1" t="str">
        <f>TEXT((Data[[#This Row],[Order_Date]]), "mmm")</f>
        <v>Oct</v>
      </c>
    </row>
    <row r="1696" spans="4:17" x14ac:dyDescent="0.3">
      <c r="D1696" s="1" t="s">
        <v>1758</v>
      </c>
      <c r="E1696" s="2">
        <v>45596</v>
      </c>
      <c r="F1696" s="2">
        <v>45602</v>
      </c>
      <c r="G1696" s="1" t="s">
        <v>11</v>
      </c>
      <c r="H1696" s="1" t="s">
        <v>12</v>
      </c>
      <c r="I1696" s="1" t="s">
        <v>38</v>
      </c>
      <c r="J1696" s="1" t="s">
        <v>81</v>
      </c>
      <c r="K1696" s="3">
        <v>2165.87</v>
      </c>
      <c r="L1696" s="1">
        <v>16</v>
      </c>
      <c r="M1696" s="1" t="s">
        <v>15</v>
      </c>
      <c r="N1696" s="3">
        <v>639.24</v>
      </c>
      <c r="O1696" s="1" t="s">
        <v>2153</v>
      </c>
      <c r="P1696" s="1" t="s">
        <v>2078</v>
      </c>
      <c r="Q1696" s="1" t="str">
        <f>TEXT((Data[[#This Row],[Order_Date]]), "mmm")</f>
        <v>Oct</v>
      </c>
    </row>
    <row r="1697" spans="4:17" x14ac:dyDescent="0.3">
      <c r="D1697" s="1" t="s">
        <v>1759</v>
      </c>
      <c r="E1697" s="2">
        <v>45376</v>
      </c>
      <c r="F1697" s="2">
        <v>45382</v>
      </c>
      <c r="G1697" s="1" t="s">
        <v>22</v>
      </c>
      <c r="H1697" s="1" t="s">
        <v>23</v>
      </c>
      <c r="I1697" s="1" t="s">
        <v>65</v>
      </c>
      <c r="J1697" s="1" t="s">
        <v>122</v>
      </c>
      <c r="K1697" s="3">
        <v>3787.26</v>
      </c>
      <c r="L1697" s="1">
        <v>16</v>
      </c>
      <c r="M1697" s="1" t="s">
        <v>15</v>
      </c>
      <c r="N1697" s="3">
        <v>911.28</v>
      </c>
      <c r="O1697" s="1" t="s">
        <v>2149</v>
      </c>
      <c r="P1697" s="1" t="s">
        <v>2078</v>
      </c>
      <c r="Q1697" s="1" t="str">
        <f>TEXT((Data[[#This Row],[Order_Date]]), "mmm")</f>
        <v>Mar</v>
      </c>
    </row>
    <row r="1698" spans="4:17" x14ac:dyDescent="0.3">
      <c r="D1698" s="1" t="s">
        <v>1760</v>
      </c>
      <c r="E1698" s="2">
        <v>45593</v>
      </c>
      <c r="F1698" s="2">
        <v>45598</v>
      </c>
      <c r="G1698" s="1" t="s">
        <v>22</v>
      </c>
      <c r="H1698" s="1" t="s">
        <v>12</v>
      </c>
      <c r="I1698" s="1" t="s">
        <v>38</v>
      </c>
      <c r="J1698" s="1" t="s">
        <v>85</v>
      </c>
      <c r="K1698" s="3">
        <v>3642.71</v>
      </c>
      <c r="L1698" s="1">
        <v>3</v>
      </c>
      <c r="M1698" s="1" t="s">
        <v>29</v>
      </c>
      <c r="N1698" s="3">
        <v>644.97</v>
      </c>
      <c r="O1698" s="1" t="s">
        <v>2103</v>
      </c>
      <c r="P1698" s="1" t="s">
        <v>2078</v>
      </c>
      <c r="Q1698" s="1" t="str">
        <f>TEXT((Data[[#This Row],[Order_Date]]), "mmm")</f>
        <v>Oct</v>
      </c>
    </row>
    <row r="1699" spans="4:17" x14ac:dyDescent="0.3">
      <c r="D1699" s="1" t="s">
        <v>1761</v>
      </c>
      <c r="E1699" s="2">
        <v>45314</v>
      </c>
      <c r="F1699" s="2">
        <v>45321</v>
      </c>
      <c r="G1699" s="1" t="s">
        <v>22</v>
      </c>
      <c r="H1699" s="1" t="s">
        <v>17</v>
      </c>
      <c r="I1699" s="1" t="s">
        <v>27</v>
      </c>
      <c r="J1699" s="1" t="s">
        <v>110</v>
      </c>
      <c r="K1699" s="3">
        <v>2778.22</v>
      </c>
      <c r="L1699" s="1">
        <v>18</v>
      </c>
      <c r="M1699" s="1" t="s">
        <v>29</v>
      </c>
      <c r="N1699" s="3">
        <v>325.72000000000003</v>
      </c>
      <c r="O1699" s="1" t="s">
        <v>2198</v>
      </c>
      <c r="P1699" s="1" t="s">
        <v>2071</v>
      </c>
      <c r="Q1699" s="1" t="str">
        <f>TEXT((Data[[#This Row],[Order_Date]]), "mmm")</f>
        <v>Jan</v>
      </c>
    </row>
    <row r="1700" spans="4:17" x14ac:dyDescent="0.3">
      <c r="D1700" s="1" t="s">
        <v>1762</v>
      </c>
      <c r="E1700" s="2">
        <v>45473</v>
      </c>
      <c r="F1700" s="2">
        <v>45474</v>
      </c>
      <c r="G1700" s="1" t="s">
        <v>31</v>
      </c>
      <c r="H1700" s="1" t="s">
        <v>12</v>
      </c>
      <c r="I1700" s="1" t="s">
        <v>42</v>
      </c>
      <c r="J1700" s="1" t="s">
        <v>72</v>
      </c>
      <c r="K1700" s="3">
        <v>1348.19</v>
      </c>
      <c r="L1700" s="1">
        <v>2</v>
      </c>
      <c r="M1700" s="1" t="s">
        <v>29</v>
      </c>
      <c r="N1700" s="3">
        <v>442.03</v>
      </c>
      <c r="O1700" s="1" t="s">
        <v>2244</v>
      </c>
      <c r="P1700" s="1" t="s">
        <v>2076</v>
      </c>
      <c r="Q1700" s="1" t="str">
        <f>TEXT((Data[[#This Row],[Order_Date]]), "mmm")</f>
        <v>Jun</v>
      </c>
    </row>
    <row r="1701" spans="4:17" x14ac:dyDescent="0.3">
      <c r="D1701" s="1" t="s">
        <v>1763</v>
      </c>
      <c r="E1701" s="2">
        <v>45436</v>
      </c>
      <c r="F1701" s="2">
        <v>45442</v>
      </c>
      <c r="G1701" s="1" t="s">
        <v>31</v>
      </c>
      <c r="H1701" s="1" t="s">
        <v>12</v>
      </c>
      <c r="I1701" s="1" t="s">
        <v>58</v>
      </c>
      <c r="J1701" s="1" t="s">
        <v>59</v>
      </c>
      <c r="K1701" s="3">
        <v>1243.1199999999999</v>
      </c>
      <c r="L1701" s="1">
        <v>20</v>
      </c>
      <c r="M1701" s="1" t="s">
        <v>49</v>
      </c>
      <c r="N1701" s="3">
        <v>71.709999999999994</v>
      </c>
      <c r="O1701" s="1" t="s">
        <v>2273</v>
      </c>
      <c r="P1701" s="1" t="s">
        <v>2078</v>
      </c>
      <c r="Q1701" s="1" t="str">
        <f>TEXT((Data[[#This Row],[Order_Date]]), "mmm")</f>
        <v>May</v>
      </c>
    </row>
    <row r="1702" spans="4:17" x14ac:dyDescent="0.3">
      <c r="D1702" s="1" t="s">
        <v>1764</v>
      </c>
      <c r="E1702" s="2">
        <v>45451</v>
      </c>
      <c r="F1702" s="2">
        <v>45453</v>
      </c>
      <c r="G1702" s="1" t="s">
        <v>11</v>
      </c>
      <c r="H1702" s="1" t="s">
        <v>23</v>
      </c>
      <c r="I1702" s="1" t="s">
        <v>61</v>
      </c>
      <c r="J1702" s="1" t="s">
        <v>76</v>
      </c>
      <c r="K1702" s="3">
        <v>2353.12</v>
      </c>
      <c r="L1702" s="1">
        <v>4</v>
      </c>
      <c r="M1702" s="1" t="s">
        <v>49</v>
      </c>
      <c r="N1702" s="3">
        <v>218.14</v>
      </c>
      <c r="O1702" s="1" t="s">
        <v>2185</v>
      </c>
      <c r="P1702" s="1" t="s">
        <v>2071</v>
      </c>
      <c r="Q1702" s="1" t="str">
        <f>TEXT((Data[[#This Row],[Order_Date]]), "mmm")</f>
        <v>Jun</v>
      </c>
    </row>
    <row r="1703" spans="4:17" x14ac:dyDescent="0.3">
      <c r="D1703" s="1" t="s">
        <v>1765</v>
      </c>
      <c r="E1703" s="2">
        <v>45474</v>
      </c>
      <c r="F1703" s="2">
        <v>45477</v>
      </c>
      <c r="G1703" s="1" t="s">
        <v>31</v>
      </c>
      <c r="H1703" s="1" t="s">
        <v>23</v>
      </c>
      <c r="I1703" s="1" t="s">
        <v>78</v>
      </c>
      <c r="J1703" s="1" t="s">
        <v>118</v>
      </c>
      <c r="K1703" s="3">
        <v>2134.5</v>
      </c>
      <c r="L1703" s="1">
        <v>19</v>
      </c>
      <c r="M1703" s="1" t="s">
        <v>44</v>
      </c>
      <c r="N1703" s="3">
        <v>277.01</v>
      </c>
      <c r="O1703" s="1" t="s">
        <v>2211</v>
      </c>
      <c r="P1703" s="1" t="s">
        <v>2071</v>
      </c>
      <c r="Q1703" s="1" t="str">
        <f>TEXT((Data[[#This Row],[Order_Date]]), "mmm")</f>
        <v>Jul</v>
      </c>
    </row>
    <row r="1704" spans="4:17" x14ac:dyDescent="0.3">
      <c r="D1704" s="1" t="s">
        <v>1766</v>
      </c>
      <c r="E1704" s="2">
        <v>45648</v>
      </c>
      <c r="F1704" s="2">
        <v>45651</v>
      </c>
      <c r="G1704" s="1" t="s">
        <v>11</v>
      </c>
      <c r="H1704" s="1" t="s">
        <v>23</v>
      </c>
      <c r="I1704" s="1" t="s">
        <v>78</v>
      </c>
      <c r="J1704" s="1" t="s">
        <v>79</v>
      </c>
      <c r="K1704" s="3">
        <v>1731.96</v>
      </c>
      <c r="L1704" s="1">
        <v>5</v>
      </c>
      <c r="M1704" s="1" t="s">
        <v>29</v>
      </c>
      <c r="N1704" s="3">
        <v>317.91000000000003</v>
      </c>
      <c r="O1704" s="1" t="s">
        <v>2216</v>
      </c>
      <c r="P1704" s="1" t="s">
        <v>2076</v>
      </c>
      <c r="Q1704" s="1" t="str">
        <f>TEXT((Data[[#This Row],[Order_Date]]), "mmm")</f>
        <v>Dec</v>
      </c>
    </row>
    <row r="1705" spans="4:17" x14ac:dyDescent="0.3">
      <c r="D1705" s="1" t="s">
        <v>1767</v>
      </c>
      <c r="E1705" s="2">
        <v>45509</v>
      </c>
      <c r="F1705" s="2">
        <v>45509</v>
      </c>
      <c r="G1705" s="1" t="s">
        <v>11</v>
      </c>
      <c r="H1705" s="1" t="s">
        <v>17</v>
      </c>
      <c r="I1705" s="1" t="s">
        <v>27</v>
      </c>
      <c r="J1705" s="1" t="s">
        <v>28</v>
      </c>
      <c r="K1705" s="3">
        <v>1054.19</v>
      </c>
      <c r="L1705" s="1">
        <v>4</v>
      </c>
      <c r="M1705" s="1" t="s">
        <v>29</v>
      </c>
      <c r="N1705" s="3">
        <v>336.09</v>
      </c>
      <c r="O1705" s="1" t="s">
        <v>2083</v>
      </c>
      <c r="P1705" s="1" t="s">
        <v>2071</v>
      </c>
      <c r="Q1705" s="1" t="str">
        <f>TEXT((Data[[#This Row],[Order_Date]]), "mmm")</f>
        <v>Aug</v>
      </c>
    </row>
    <row r="1706" spans="4:17" x14ac:dyDescent="0.3">
      <c r="D1706" s="1" t="s">
        <v>1768</v>
      </c>
      <c r="E1706" s="2">
        <v>45419</v>
      </c>
      <c r="F1706" s="2">
        <v>45424</v>
      </c>
      <c r="G1706" s="1" t="s">
        <v>22</v>
      </c>
      <c r="H1706" s="1" t="s">
        <v>17</v>
      </c>
      <c r="I1706" s="1" t="s">
        <v>32</v>
      </c>
      <c r="J1706" s="1" t="s">
        <v>33</v>
      </c>
      <c r="K1706" s="3">
        <v>654.85</v>
      </c>
      <c r="L1706" s="1">
        <v>7</v>
      </c>
      <c r="M1706" s="1" t="s">
        <v>49</v>
      </c>
      <c r="N1706" s="3">
        <v>174.13</v>
      </c>
      <c r="O1706" s="1" t="s">
        <v>2086</v>
      </c>
      <c r="P1706" s="1" t="s">
        <v>2078</v>
      </c>
      <c r="Q1706" s="1" t="str">
        <f>TEXT((Data[[#This Row],[Order_Date]]), "mmm")</f>
        <v>May</v>
      </c>
    </row>
    <row r="1707" spans="4:17" x14ac:dyDescent="0.3">
      <c r="D1707" s="1" t="s">
        <v>1769</v>
      </c>
      <c r="E1707" s="2">
        <v>45466</v>
      </c>
      <c r="F1707" s="2">
        <v>45468</v>
      </c>
      <c r="G1707" s="1" t="s">
        <v>22</v>
      </c>
      <c r="H1707" s="1" t="s">
        <v>17</v>
      </c>
      <c r="I1707" s="1" t="s">
        <v>27</v>
      </c>
      <c r="J1707" s="1" t="s">
        <v>110</v>
      </c>
      <c r="K1707" s="3">
        <v>2336.1</v>
      </c>
      <c r="L1707" s="1">
        <v>4</v>
      </c>
      <c r="M1707" s="1" t="s">
        <v>49</v>
      </c>
      <c r="N1707" s="3">
        <v>349.8</v>
      </c>
      <c r="O1707" s="1" t="s">
        <v>2147</v>
      </c>
      <c r="P1707" s="1" t="s">
        <v>2076</v>
      </c>
      <c r="Q1707" s="1" t="str">
        <f>TEXT((Data[[#This Row],[Order_Date]]), "mmm")</f>
        <v>Jun</v>
      </c>
    </row>
    <row r="1708" spans="4:17" x14ac:dyDescent="0.3">
      <c r="D1708" s="1" t="s">
        <v>1770</v>
      </c>
      <c r="E1708" s="2">
        <v>45303</v>
      </c>
      <c r="F1708" s="2">
        <v>45305</v>
      </c>
      <c r="G1708" s="1" t="s">
        <v>36</v>
      </c>
      <c r="H1708" s="1" t="s">
        <v>23</v>
      </c>
      <c r="I1708" s="1" t="s">
        <v>24</v>
      </c>
      <c r="J1708" s="1" t="s">
        <v>93</v>
      </c>
      <c r="K1708" s="3">
        <v>792.42</v>
      </c>
      <c r="L1708" s="1">
        <v>4</v>
      </c>
      <c r="M1708" s="1" t="s">
        <v>29</v>
      </c>
      <c r="N1708" s="3">
        <v>62.77</v>
      </c>
      <c r="O1708" s="1" t="s">
        <v>2231</v>
      </c>
      <c r="P1708" s="1" t="s">
        <v>2078</v>
      </c>
      <c r="Q1708" s="1" t="str">
        <f>TEXT((Data[[#This Row],[Order_Date]]), "mmm")</f>
        <v>Jan</v>
      </c>
    </row>
    <row r="1709" spans="4:17" x14ac:dyDescent="0.3">
      <c r="D1709" s="1" t="s">
        <v>1771</v>
      </c>
      <c r="E1709" s="2">
        <v>45308</v>
      </c>
      <c r="F1709" s="2">
        <v>45311</v>
      </c>
      <c r="G1709" s="1" t="s">
        <v>36</v>
      </c>
      <c r="H1709" s="1" t="s">
        <v>23</v>
      </c>
      <c r="I1709" s="1" t="s">
        <v>61</v>
      </c>
      <c r="J1709" s="1" t="s">
        <v>62</v>
      </c>
      <c r="K1709" s="3">
        <v>1811.47</v>
      </c>
      <c r="L1709" s="1">
        <v>3</v>
      </c>
      <c r="M1709" s="1" t="s">
        <v>49</v>
      </c>
      <c r="N1709" s="3">
        <v>501.2</v>
      </c>
      <c r="O1709" s="1" t="s">
        <v>2254</v>
      </c>
      <c r="P1709" s="1" t="s">
        <v>2071</v>
      </c>
      <c r="Q1709" s="1" t="str">
        <f>TEXT((Data[[#This Row],[Order_Date]]), "mmm")</f>
        <v>Jan</v>
      </c>
    </row>
    <row r="1710" spans="4:17" x14ac:dyDescent="0.3">
      <c r="D1710" s="1" t="s">
        <v>1772</v>
      </c>
      <c r="E1710" s="2">
        <v>45325</v>
      </c>
      <c r="F1710" s="2">
        <v>45327</v>
      </c>
      <c r="G1710" s="1" t="s">
        <v>36</v>
      </c>
      <c r="H1710" s="1" t="s">
        <v>12</v>
      </c>
      <c r="I1710" s="1" t="s">
        <v>38</v>
      </c>
      <c r="J1710" s="1" t="s">
        <v>39</v>
      </c>
      <c r="K1710" s="3">
        <v>2278.91</v>
      </c>
      <c r="L1710" s="1">
        <v>1</v>
      </c>
      <c r="M1710" s="1" t="s">
        <v>49</v>
      </c>
      <c r="N1710" s="3">
        <v>429.61</v>
      </c>
      <c r="O1710" s="1" t="s">
        <v>2298</v>
      </c>
      <c r="P1710" s="1" t="s">
        <v>2078</v>
      </c>
      <c r="Q1710" s="1" t="str">
        <f>TEXT((Data[[#This Row],[Order_Date]]), "mmm")</f>
        <v>Feb</v>
      </c>
    </row>
    <row r="1711" spans="4:17" x14ac:dyDescent="0.3">
      <c r="D1711" s="1" t="s">
        <v>1773</v>
      </c>
      <c r="E1711" s="2">
        <v>45341</v>
      </c>
      <c r="F1711" s="2">
        <v>45345</v>
      </c>
      <c r="G1711" s="1" t="s">
        <v>11</v>
      </c>
      <c r="H1711" s="1" t="s">
        <v>23</v>
      </c>
      <c r="I1711" s="1" t="s">
        <v>24</v>
      </c>
      <c r="J1711" s="1" t="s">
        <v>93</v>
      </c>
      <c r="K1711" s="3">
        <v>2188.64</v>
      </c>
      <c r="L1711" s="1">
        <v>4</v>
      </c>
      <c r="M1711" s="1" t="s">
        <v>44</v>
      </c>
      <c r="N1711" s="3">
        <v>660.8</v>
      </c>
      <c r="O1711" s="1" t="s">
        <v>2282</v>
      </c>
      <c r="P1711" s="1" t="s">
        <v>2071</v>
      </c>
      <c r="Q1711" s="1" t="str">
        <f>TEXT((Data[[#This Row],[Order_Date]]), "mmm")</f>
        <v>Feb</v>
      </c>
    </row>
    <row r="1712" spans="4:17" x14ac:dyDescent="0.3">
      <c r="D1712" s="1" t="s">
        <v>1774</v>
      </c>
      <c r="E1712" s="2">
        <v>45493</v>
      </c>
      <c r="F1712" s="2">
        <v>45499</v>
      </c>
      <c r="G1712" s="1" t="s">
        <v>36</v>
      </c>
      <c r="H1712" s="1" t="s">
        <v>12</v>
      </c>
      <c r="I1712" s="1" t="s">
        <v>42</v>
      </c>
      <c r="J1712" s="1" t="s">
        <v>72</v>
      </c>
      <c r="K1712" s="3">
        <v>2870.8</v>
      </c>
      <c r="L1712" s="1">
        <v>19</v>
      </c>
      <c r="M1712" s="1" t="s">
        <v>49</v>
      </c>
      <c r="N1712" s="3">
        <v>743.38</v>
      </c>
      <c r="O1712" s="1" t="s">
        <v>2090</v>
      </c>
      <c r="P1712" s="1" t="s">
        <v>2078</v>
      </c>
      <c r="Q1712" s="1" t="str">
        <f>TEXT((Data[[#This Row],[Order_Date]]), "mmm")</f>
        <v>Jul</v>
      </c>
    </row>
    <row r="1713" spans="4:17" x14ac:dyDescent="0.3">
      <c r="D1713" s="1" t="s">
        <v>1775</v>
      </c>
      <c r="E1713" s="2">
        <v>45451</v>
      </c>
      <c r="F1713" s="2">
        <v>45457</v>
      </c>
      <c r="G1713" s="1" t="s">
        <v>36</v>
      </c>
      <c r="H1713" s="1" t="s">
        <v>12</v>
      </c>
      <c r="I1713" s="1" t="s">
        <v>38</v>
      </c>
      <c r="J1713" s="1" t="s">
        <v>85</v>
      </c>
      <c r="K1713" s="3">
        <v>1526.07</v>
      </c>
      <c r="L1713" s="1">
        <v>9</v>
      </c>
      <c r="M1713" s="1" t="s">
        <v>34</v>
      </c>
      <c r="N1713" s="3">
        <v>-444.2</v>
      </c>
      <c r="O1713" s="1" t="s">
        <v>2275</v>
      </c>
      <c r="P1713" s="1" t="s">
        <v>2076</v>
      </c>
      <c r="Q1713" s="1" t="str">
        <f>TEXT((Data[[#This Row],[Order_Date]]), "mmm")</f>
        <v>Jun</v>
      </c>
    </row>
    <row r="1714" spans="4:17" x14ac:dyDescent="0.3">
      <c r="D1714" s="1" t="s">
        <v>1776</v>
      </c>
      <c r="E1714" s="2">
        <v>45355</v>
      </c>
      <c r="F1714" s="2">
        <v>45357</v>
      </c>
      <c r="G1714" s="1" t="s">
        <v>22</v>
      </c>
      <c r="H1714" s="1" t="s">
        <v>17</v>
      </c>
      <c r="I1714" s="1" t="s">
        <v>32</v>
      </c>
      <c r="J1714" s="1" t="s">
        <v>33</v>
      </c>
      <c r="K1714" s="3">
        <v>3980.07</v>
      </c>
      <c r="L1714" s="1">
        <v>8</v>
      </c>
      <c r="M1714" s="1" t="s">
        <v>15</v>
      </c>
      <c r="N1714" s="3">
        <v>1307.95</v>
      </c>
      <c r="O1714" s="1" t="s">
        <v>2301</v>
      </c>
      <c r="P1714" s="1" t="s">
        <v>2071</v>
      </c>
      <c r="Q1714" s="1" t="str">
        <f>TEXT((Data[[#This Row],[Order_Date]]), "mmm")</f>
        <v>Mar</v>
      </c>
    </row>
    <row r="1715" spans="4:17" x14ac:dyDescent="0.3">
      <c r="D1715" s="1" t="s">
        <v>1777</v>
      </c>
      <c r="E1715" s="2">
        <v>45314</v>
      </c>
      <c r="F1715" s="2">
        <v>45319</v>
      </c>
      <c r="G1715" s="1" t="s">
        <v>11</v>
      </c>
      <c r="H1715" s="1" t="s">
        <v>17</v>
      </c>
      <c r="I1715" s="1" t="s">
        <v>27</v>
      </c>
      <c r="J1715" s="1" t="s">
        <v>28</v>
      </c>
      <c r="K1715" s="3">
        <v>1834.31</v>
      </c>
      <c r="L1715" s="1">
        <v>2</v>
      </c>
      <c r="M1715" s="1" t="s">
        <v>44</v>
      </c>
      <c r="N1715" s="3">
        <v>549.85</v>
      </c>
      <c r="O1715" s="1" t="s">
        <v>2277</v>
      </c>
      <c r="P1715" s="1" t="s">
        <v>2078</v>
      </c>
      <c r="Q1715" s="1" t="str">
        <f>TEXT((Data[[#This Row],[Order_Date]]), "mmm")</f>
        <v>Jan</v>
      </c>
    </row>
    <row r="1716" spans="4:17" x14ac:dyDescent="0.3">
      <c r="D1716" s="1" t="s">
        <v>1778</v>
      </c>
      <c r="E1716" s="2">
        <v>45576</v>
      </c>
      <c r="F1716" s="2">
        <v>45582</v>
      </c>
      <c r="G1716" s="1" t="s">
        <v>22</v>
      </c>
      <c r="H1716" s="1" t="s">
        <v>23</v>
      </c>
      <c r="I1716" s="1" t="s">
        <v>24</v>
      </c>
      <c r="J1716" s="1" t="s">
        <v>25</v>
      </c>
      <c r="K1716" s="3">
        <v>1790.46</v>
      </c>
      <c r="L1716" s="1">
        <v>5</v>
      </c>
      <c r="M1716" s="1" t="s">
        <v>20</v>
      </c>
      <c r="N1716" s="3">
        <v>365.97</v>
      </c>
      <c r="O1716" s="1" t="s">
        <v>2106</v>
      </c>
      <c r="P1716" s="1" t="s">
        <v>2071</v>
      </c>
      <c r="Q1716" s="1" t="str">
        <f>TEXT((Data[[#This Row],[Order_Date]]), "mmm")</f>
        <v>Oct</v>
      </c>
    </row>
    <row r="1717" spans="4:17" x14ac:dyDescent="0.3">
      <c r="D1717" s="1" t="s">
        <v>1779</v>
      </c>
      <c r="E1717" s="2">
        <v>45482</v>
      </c>
      <c r="F1717" s="2">
        <v>45482</v>
      </c>
      <c r="G1717" s="1" t="s">
        <v>31</v>
      </c>
      <c r="H1717" s="1" t="s">
        <v>23</v>
      </c>
      <c r="I1717" s="1" t="s">
        <v>61</v>
      </c>
      <c r="J1717" s="1" t="s">
        <v>76</v>
      </c>
      <c r="K1717" s="3">
        <v>342.9</v>
      </c>
      <c r="L1717" s="1">
        <v>19</v>
      </c>
      <c r="M1717" s="1" t="s">
        <v>34</v>
      </c>
      <c r="N1717" s="3">
        <v>100.16</v>
      </c>
      <c r="O1717" s="1" t="s">
        <v>2195</v>
      </c>
      <c r="P1717" s="1" t="s">
        <v>2078</v>
      </c>
      <c r="Q1717" s="1" t="str">
        <f>TEXT((Data[[#This Row],[Order_Date]]), "mmm")</f>
        <v>Jul</v>
      </c>
    </row>
    <row r="1718" spans="4:17" x14ac:dyDescent="0.3">
      <c r="D1718" s="1" t="s">
        <v>1780</v>
      </c>
      <c r="E1718" s="2">
        <v>45589</v>
      </c>
      <c r="F1718" s="2">
        <v>45593</v>
      </c>
      <c r="G1718" s="1" t="s">
        <v>22</v>
      </c>
      <c r="H1718" s="1" t="s">
        <v>17</v>
      </c>
      <c r="I1718" s="1" t="s">
        <v>27</v>
      </c>
      <c r="J1718" s="1" t="s">
        <v>108</v>
      </c>
      <c r="K1718" s="3">
        <v>3994.9</v>
      </c>
      <c r="L1718" s="1">
        <v>9</v>
      </c>
      <c r="M1718" s="1" t="s">
        <v>15</v>
      </c>
      <c r="N1718" s="3">
        <v>1232.3</v>
      </c>
      <c r="O1718" s="1" t="s">
        <v>2286</v>
      </c>
      <c r="P1718" s="1" t="s">
        <v>2071</v>
      </c>
      <c r="Q1718" s="1" t="str">
        <f>TEXT((Data[[#This Row],[Order_Date]]), "mmm")</f>
        <v>Oct</v>
      </c>
    </row>
    <row r="1719" spans="4:17" x14ac:dyDescent="0.3">
      <c r="D1719" s="1" t="s">
        <v>1781</v>
      </c>
      <c r="E1719" s="2">
        <v>45512</v>
      </c>
      <c r="F1719" s="2">
        <v>45519</v>
      </c>
      <c r="G1719" s="1" t="s">
        <v>31</v>
      </c>
      <c r="H1719" s="1" t="s">
        <v>17</v>
      </c>
      <c r="I1719" s="1" t="s">
        <v>27</v>
      </c>
      <c r="J1719" s="1" t="s">
        <v>108</v>
      </c>
      <c r="K1719" s="3">
        <v>1232.99</v>
      </c>
      <c r="L1719" s="1">
        <v>1</v>
      </c>
      <c r="M1719" s="1" t="s">
        <v>34</v>
      </c>
      <c r="N1719" s="3">
        <v>178.07</v>
      </c>
      <c r="O1719" s="1" t="s">
        <v>2119</v>
      </c>
      <c r="P1719" s="1" t="s">
        <v>2078</v>
      </c>
      <c r="Q1719" s="1" t="str">
        <f>TEXT((Data[[#This Row],[Order_Date]]), "mmm")</f>
        <v>Aug</v>
      </c>
    </row>
    <row r="1720" spans="4:17" x14ac:dyDescent="0.3">
      <c r="D1720" s="1" t="s">
        <v>1782</v>
      </c>
      <c r="E1720" s="2">
        <v>45542</v>
      </c>
      <c r="F1720" s="2">
        <v>45549</v>
      </c>
      <c r="G1720" s="1" t="s">
        <v>36</v>
      </c>
      <c r="H1720" s="1" t="s">
        <v>12</v>
      </c>
      <c r="I1720" s="1" t="s">
        <v>38</v>
      </c>
      <c r="J1720" s="1" t="s">
        <v>39</v>
      </c>
      <c r="K1720" s="3">
        <v>1939.83</v>
      </c>
      <c r="L1720" s="1">
        <v>10</v>
      </c>
      <c r="M1720" s="1" t="s">
        <v>34</v>
      </c>
      <c r="N1720" s="3">
        <v>658.43</v>
      </c>
      <c r="O1720" s="1" t="s">
        <v>2229</v>
      </c>
      <c r="P1720" s="1" t="s">
        <v>2078</v>
      </c>
      <c r="Q1720" s="1" t="str">
        <f>TEXT((Data[[#This Row],[Order_Date]]), "mmm")</f>
        <v>Sep</v>
      </c>
    </row>
    <row r="1721" spans="4:17" x14ac:dyDescent="0.3">
      <c r="D1721" s="1" t="s">
        <v>1783</v>
      </c>
      <c r="E1721" s="2">
        <v>45551</v>
      </c>
      <c r="F1721" s="2">
        <v>45551</v>
      </c>
      <c r="G1721" s="1" t="s">
        <v>31</v>
      </c>
      <c r="H1721" s="1" t="s">
        <v>17</v>
      </c>
      <c r="I1721" s="1" t="s">
        <v>18</v>
      </c>
      <c r="J1721" s="1" t="s">
        <v>54</v>
      </c>
      <c r="K1721" s="3">
        <v>1217.83</v>
      </c>
      <c r="L1721" s="1">
        <v>13</v>
      </c>
      <c r="M1721" s="1" t="s">
        <v>49</v>
      </c>
      <c r="N1721" s="3">
        <v>347.06</v>
      </c>
      <c r="O1721" s="1" t="s">
        <v>2099</v>
      </c>
      <c r="P1721" s="1" t="s">
        <v>2076</v>
      </c>
      <c r="Q1721" s="1" t="str">
        <f>TEXT((Data[[#This Row],[Order_Date]]), "mmm")</f>
        <v>Sep</v>
      </c>
    </row>
    <row r="1722" spans="4:17" x14ac:dyDescent="0.3">
      <c r="D1722" s="1" t="s">
        <v>1784</v>
      </c>
      <c r="E1722" s="2">
        <v>45386</v>
      </c>
      <c r="F1722" s="2">
        <v>45392</v>
      </c>
      <c r="G1722" s="1" t="s">
        <v>36</v>
      </c>
      <c r="H1722" s="1" t="s">
        <v>12</v>
      </c>
      <c r="I1722" s="1" t="s">
        <v>13</v>
      </c>
      <c r="J1722" s="1" t="s">
        <v>51</v>
      </c>
      <c r="K1722" s="3">
        <v>656.5</v>
      </c>
      <c r="L1722" s="1">
        <v>11</v>
      </c>
      <c r="M1722" s="1" t="s">
        <v>29</v>
      </c>
      <c r="N1722" s="3">
        <v>152.62</v>
      </c>
      <c r="O1722" s="1" t="s">
        <v>2214</v>
      </c>
      <c r="P1722" s="1" t="s">
        <v>2076</v>
      </c>
      <c r="Q1722" s="1" t="str">
        <f>TEXT((Data[[#This Row],[Order_Date]]), "mmm")</f>
        <v>Apr</v>
      </c>
    </row>
    <row r="1723" spans="4:17" x14ac:dyDescent="0.3">
      <c r="D1723" s="1" t="s">
        <v>1785</v>
      </c>
      <c r="E1723" s="2">
        <v>45319</v>
      </c>
      <c r="F1723" s="2">
        <v>45319</v>
      </c>
      <c r="G1723" s="1" t="s">
        <v>31</v>
      </c>
      <c r="H1723" s="1" t="s">
        <v>17</v>
      </c>
      <c r="I1723" s="1" t="s">
        <v>18</v>
      </c>
      <c r="J1723" s="1" t="s">
        <v>19</v>
      </c>
      <c r="K1723" s="3">
        <v>905.9</v>
      </c>
      <c r="L1723" s="1">
        <v>10</v>
      </c>
      <c r="M1723" s="1" t="s">
        <v>44</v>
      </c>
      <c r="N1723" s="3">
        <v>307.08999999999997</v>
      </c>
      <c r="O1723" s="1" t="s">
        <v>2122</v>
      </c>
      <c r="P1723" s="1" t="s">
        <v>2071</v>
      </c>
      <c r="Q1723" s="1" t="str">
        <f>TEXT((Data[[#This Row],[Order_Date]]), "mmm")</f>
        <v>Jan</v>
      </c>
    </row>
    <row r="1724" spans="4:17" x14ac:dyDescent="0.3">
      <c r="D1724" s="1" t="s">
        <v>1786</v>
      </c>
      <c r="E1724" s="2">
        <v>45511</v>
      </c>
      <c r="F1724" s="2">
        <v>45518</v>
      </c>
      <c r="G1724" s="1" t="s">
        <v>31</v>
      </c>
      <c r="H1724" s="1" t="s">
        <v>23</v>
      </c>
      <c r="I1724" s="1" t="s">
        <v>65</v>
      </c>
      <c r="J1724" s="1" t="s">
        <v>66</v>
      </c>
      <c r="K1724" s="3">
        <v>3114.28</v>
      </c>
      <c r="L1724" s="1">
        <v>20</v>
      </c>
      <c r="M1724" s="1" t="s">
        <v>20</v>
      </c>
      <c r="N1724" s="3">
        <v>-520.22</v>
      </c>
      <c r="O1724" s="1" t="s">
        <v>2105</v>
      </c>
      <c r="P1724" s="1" t="s">
        <v>2071</v>
      </c>
      <c r="Q1724" s="1" t="str">
        <f>TEXT((Data[[#This Row],[Order_Date]]), "mmm")</f>
        <v>Aug</v>
      </c>
    </row>
    <row r="1725" spans="4:17" x14ac:dyDescent="0.3">
      <c r="D1725" s="1" t="s">
        <v>1787</v>
      </c>
      <c r="E1725" s="2">
        <v>45382</v>
      </c>
      <c r="F1725" s="2">
        <v>45386</v>
      </c>
      <c r="G1725" s="1" t="s">
        <v>11</v>
      </c>
      <c r="H1725" s="1" t="s">
        <v>17</v>
      </c>
      <c r="I1725" s="1" t="s">
        <v>27</v>
      </c>
      <c r="J1725" s="1" t="s">
        <v>110</v>
      </c>
      <c r="K1725" s="3">
        <v>2250.2800000000002</v>
      </c>
      <c r="L1725" s="1">
        <v>17</v>
      </c>
      <c r="M1725" s="1" t="s">
        <v>15</v>
      </c>
      <c r="N1725" s="3">
        <v>-374.61</v>
      </c>
      <c r="O1725" s="1" t="s">
        <v>2131</v>
      </c>
      <c r="P1725" s="1" t="s">
        <v>2078</v>
      </c>
      <c r="Q1725" s="1" t="str">
        <f>TEXT((Data[[#This Row],[Order_Date]]), "mmm")</f>
        <v>Mar</v>
      </c>
    </row>
    <row r="1726" spans="4:17" x14ac:dyDescent="0.3">
      <c r="D1726" s="1" t="s">
        <v>1788</v>
      </c>
      <c r="E1726" s="2">
        <v>45566</v>
      </c>
      <c r="F1726" s="2">
        <v>45566</v>
      </c>
      <c r="G1726" s="1" t="s">
        <v>11</v>
      </c>
      <c r="H1726" s="1" t="s">
        <v>23</v>
      </c>
      <c r="I1726" s="1" t="s">
        <v>65</v>
      </c>
      <c r="J1726" s="1" t="s">
        <v>114</v>
      </c>
      <c r="K1726" s="3">
        <v>2916.13</v>
      </c>
      <c r="L1726" s="1">
        <v>18</v>
      </c>
      <c r="M1726" s="1" t="s">
        <v>44</v>
      </c>
      <c r="N1726" s="3">
        <v>-317.17</v>
      </c>
      <c r="O1726" s="1" t="s">
        <v>2275</v>
      </c>
      <c r="P1726" s="1" t="s">
        <v>2076</v>
      </c>
      <c r="Q1726" s="1" t="str">
        <f>TEXT((Data[[#This Row],[Order_Date]]), "mmm")</f>
        <v>Oct</v>
      </c>
    </row>
    <row r="1727" spans="4:17" x14ac:dyDescent="0.3">
      <c r="D1727" s="1" t="s">
        <v>1789</v>
      </c>
      <c r="E1727" s="2">
        <v>45587</v>
      </c>
      <c r="F1727" s="2">
        <v>45592</v>
      </c>
      <c r="G1727" s="1" t="s">
        <v>31</v>
      </c>
      <c r="H1727" s="1" t="s">
        <v>17</v>
      </c>
      <c r="I1727" s="1" t="s">
        <v>27</v>
      </c>
      <c r="J1727" s="1" t="s">
        <v>108</v>
      </c>
      <c r="K1727" s="3">
        <v>755.91</v>
      </c>
      <c r="L1727" s="1">
        <v>14</v>
      </c>
      <c r="M1727" s="1" t="s">
        <v>34</v>
      </c>
      <c r="N1727" s="3">
        <v>231.17</v>
      </c>
      <c r="O1727" s="1" t="s">
        <v>2254</v>
      </c>
      <c r="P1727" s="1" t="s">
        <v>2071</v>
      </c>
      <c r="Q1727" s="1" t="str">
        <f>TEXT((Data[[#This Row],[Order_Date]]), "mmm")</f>
        <v>Oct</v>
      </c>
    </row>
    <row r="1728" spans="4:17" x14ac:dyDescent="0.3">
      <c r="D1728" s="1" t="s">
        <v>1790</v>
      </c>
      <c r="E1728" s="2">
        <v>45509</v>
      </c>
      <c r="F1728" s="2">
        <v>45510</v>
      </c>
      <c r="G1728" s="1" t="s">
        <v>22</v>
      </c>
      <c r="H1728" s="1" t="s">
        <v>12</v>
      </c>
      <c r="I1728" s="1" t="s">
        <v>38</v>
      </c>
      <c r="J1728" s="1" t="s">
        <v>81</v>
      </c>
      <c r="K1728" s="3">
        <v>450.52</v>
      </c>
      <c r="L1728" s="1">
        <v>17</v>
      </c>
      <c r="M1728" s="1" t="s">
        <v>34</v>
      </c>
      <c r="N1728" s="3">
        <v>53.45</v>
      </c>
      <c r="O1728" s="1" t="s">
        <v>2149</v>
      </c>
      <c r="P1728" s="1" t="s">
        <v>2076</v>
      </c>
      <c r="Q1728" s="1" t="str">
        <f>TEXT((Data[[#This Row],[Order_Date]]), "mmm")</f>
        <v>Aug</v>
      </c>
    </row>
    <row r="1729" spans="4:17" x14ac:dyDescent="0.3">
      <c r="D1729" s="1" t="s">
        <v>1791</v>
      </c>
      <c r="E1729" s="2">
        <v>45537</v>
      </c>
      <c r="F1729" s="2">
        <v>45542</v>
      </c>
      <c r="G1729" s="1" t="s">
        <v>22</v>
      </c>
      <c r="H1729" s="1" t="s">
        <v>23</v>
      </c>
      <c r="I1729" s="1" t="s">
        <v>24</v>
      </c>
      <c r="J1729" s="1" t="s">
        <v>150</v>
      </c>
      <c r="K1729" s="3">
        <v>2457.7800000000002</v>
      </c>
      <c r="L1729" s="1">
        <v>13</v>
      </c>
      <c r="M1729" s="1" t="s">
        <v>29</v>
      </c>
      <c r="N1729" s="3">
        <v>158.35</v>
      </c>
      <c r="O1729" s="1" t="s">
        <v>2243</v>
      </c>
      <c r="P1729" s="1" t="s">
        <v>2076</v>
      </c>
      <c r="Q1729" s="1" t="str">
        <f>TEXT((Data[[#This Row],[Order_Date]]), "mmm")</f>
        <v>Sep</v>
      </c>
    </row>
    <row r="1730" spans="4:17" x14ac:dyDescent="0.3">
      <c r="D1730" s="1" t="s">
        <v>1792</v>
      </c>
      <c r="E1730" s="2">
        <v>45617</v>
      </c>
      <c r="F1730" s="2">
        <v>45619</v>
      </c>
      <c r="G1730" s="1" t="s">
        <v>36</v>
      </c>
      <c r="H1730" s="1" t="s">
        <v>23</v>
      </c>
      <c r="I1730" s="1" t="s">
        <v>78</v>
      </c>
      <c r="J1730" s="1" t="s">
        <v>79</v>
      </c>
      <c r="K1730" s="3">
        <v>729.69</v>
      </c>
      <c r="L1730" s="1">
        <v>18</v>
      </c>
      <c r="M1730" s="1" t="s">
        <v>15</v>
      </c>
      <c r="N1730" s="3">
        <v>200.92</v>
      </c>
      <c r="O1730" s="1" t="s">
        <v>2212</v>
      </c>
      <c r="P1730" s="1" t="s">
        <v>2076</v>
      </c>
      <c r="Q1730" s="1" t="str">
        <f>TEXT((Data[[#This Row],[Order_Date]]), "mmm")</f>
        <v>Nov</v>
      </c>
    </row>
    <row r="1731" spans="4:17" x14ac:dyDescent="0.3">
      <c r="D1731" s="1" t="s">
        <v>1793</v>
      </c>
      <c r="E1731" s="2">
        <v>45421</v>
      </c>
      <c r="F1731" s="2">
        <v>45426</v>
      </c>
      <c r="G1731" s="1" t="s">
        <v>36</v>
      </c>
      <c r="H1731" s="1" t="s">
        <v>17</v>
      </c>
      <c r="I1731" s="1" t="s">
        <v>18</v>
      </c>
      <c r="J1731" s="1" t="s">
        <v>90</v>
      </c>
      <c r="K1731" s="3">
        <v>3792.15</v>
      </c>
      <c r="L1731" s="1">
        <v>9</v>
      </c>
      <c r="M1731" s="1" t="s">
        <v>34</v>
      </c>
      <c r="N1731" s="3">
        <v>932.29</v>
      </c>
      <c r="O1731" s="1" t="s">
        <v>2112</v>
      </c>
      <c r="P1731" s="1" t="s">
        <v>2078</v>
      </c>
      <c r="Q1731" s="1" t="str">
        <f>TEXT((Data[[#This Row],[Order_Date]]), "mmm")</f>
        <v>May</v>
      </c>
    </row>
    <row r="1732" spans="4:17" x14ac:dyDescent="0.3">
      <c r="D1732" s="1" t="s">
        <v>1794</v>
      </c>
      <c r="E1732" s="2">
        <v>45531</v>
      </c>
      <c r="F1732" s="2">
        <v>45536</v>
      </c>
      <c r="G1732" s="1" t="s">
        <v>22</v>
      </c>
      <c r="H1732" s="1" t="s">
        <v>17</v>
      </c>
      <c r="I1732" s="1" t="s">
        <v>18</v>
      </c>
      <c r="J1732" s="1" t="s">
        <v>19</v>
      </c>
      <c r="K1732" s="3">
        <v>774.79</v>
      </c>
      <c r="L1732" s="1">
        <v>7</v>
      </c>
      <c r="M1732" s="1" t="s">
        <v>44</v>
      </c>
      <c r="N1732" s="3">
        <v>255.99</v>
      </c>
      <c r="O1732" s="1" t="s">
        <v>2161</v>
      </c>
      <c r="P1732" s="1" t="s">
        <v>2076</v>
      </c>
      <c r="Q1732" s="1" t="str">
        <f>TEXT((Data[[#This Row],[Order_Date]]), "mmm")</f>
        <v>Aug</v>
      </c>
    </row>
    <row r="1733" spans="4:17" x14ac:dyDescent="0.3">
      <c r="D1733" s="1" t="s">
        <v>1795</v>
      </c>
      <c r="E1733" s="2">
        <v>45438</v>
      </c>
      <c r="F1733" s="2">
        <v>45445</v>
      </c>
      <c r="G1733" s="1" t="s">
        <v>11</v>
      </c>
      <c r="H1733" s="1" t="s">
        <v>23</v>
      </c>
      <c r="I1733" s="1" t="s">
        <v>65</v>
      </c>
      <c r="J1733" s="1" t="s">
        <v>114</v>
      </c>
      <c r="K1733" s="3">
        <v>3115.59</v>
      </c>
      <c r="L1733" s="1">
        <v>8</v>
      </c>
      <c r="M1733" s="1" t="s">
        <v>15</v>
      </c>
      <c r="N1733" s="3">
        <v>430.08</v>
      </c>
      <c r="O1733" s="1" t="s">
        <v>2194</v>
      </c>
      <c r="P1733" s="1" t="s">
        <v>2078</v>
      </c>
      <c r="Q1733" s="1" t="str">
        <f>TEXT((Data[[#This Row],[Order_Date]]), "mmm")</f>
        <v>May</v>
      </c>
    </row>
    <row r="1734" spans="4:17" x14ac:dyDescent="0.3">
      <c r="D1734" s="1" t="s">
        <v>1796</v>
      </c>
      <c r="E1734" s="2">
        <v>45377</v>
      </c>
      <c r="F1734" s="2">
        <v>45384</v>
      </c>
      <c r="G1734" s="1" t="s">
        <v>22</v>
      </c>
      <c r="H1734" s="1" t="s">
        <v>17</v>
      </c>
      <c r="I1734" s="1" t="s">
        <v>18</v>
      </c>
      <c r="J1734" s="1" t="s">
        <v>90</v>
      </c>
      <c r="K1734" s="3">
        <v>2270.86</v>
      </c>
      <c r="L1734" s="1">
        <v>6</v>
      </c>
      <c r="M1734" s="1" t="s">
        <v>20</v>
      </c>
      <c r="N1734" s="3">
        <v>725.14</v>
      </c>
      <c r="O1734" s="1" t="s">
        <v>2199</v>
      </c>
      <c r="P1734" s="1" t="s">
        <v>2071</v>
      </c>
      <c r="Q1734" s="1" t="str">
        <f>TEXT((Data[[#This Row],[Order_Date]]), "mmm")</f>
        <v>Mar</v>
      </c>
    </row>
    <row r="1735" spans="4:17" x14ac:dyDescent="0.3">
      <c r="D1735" s="1" t="s">
        <v>1797</v>
      </c>
      <c r="E1735" s="2">
        <v>45298</v>
      </c>
      <c r="F1735" s="2">
        <v>45298</v>
      </c>
      <c r="G1735" s="1" t="s">
        <v>11</v>
      </c>
      <c r="H1735" s="1" t="s">
        <v>12</v>
      </c>
      <c r="I1735" s="1" t="s">
        <v>42</v>
      </c>
      <c r="J1735" s="1" t="s">
        <v>72</v>
      </c>
      <c r="K1735" s="3">
        <v>3350.13</v>
      </c>
      <c r="L1735" s="1">
        <v>9</v>
      </c>
      <c r="M1735" s="1" t="s">
        <v>34</v>
      </c>
      <c r="N1735" s="3">
        <v>885.87</v>
      </c>
      <c r="O1735" s="1" t="s">
        <v>2278</v>
      </c>
      <c r="P1735" s="1" t="s">
        <v>2076</v>
      </c>
      <c r="Q1735" s="1" t="str">
        <f>TEXT((Data[[#This Row],[Order_Date]]), "mmm")</f>
        <v>Jan</v>
      </c>
    </row>
    <row r="1736" spans="4:17" x14ac:dyDescent="0.3">
      <c r="D1736" s="1" t="s">
        <v>1798</v>
      </c>
      <c r="E1736" s="2">
        <v>45489</v>
      </c>
      <c r="F1736" s="2">
        <v>45492</v>
      </c>
      <c r="G1736" s="1" t="s">
        <v>36</v>
      </c>
      <c r="H1736" s="1" t="s">
        <v>12</v>
      </c>
      <c r="I1736" s="1" t="s">
        <v>58</v>
      </c>
      <c r="J1736" s="1" t="s">
        <v>105</v>
      </c>
      <c r="K1736" s="3">
        <v>2590.48</v>
      </c>
      <c r="L1736" s="1">
        <v>8</v>
      </c>
      <c r="M1736" s="1" t="s">
        <v>34</v>
      </c>
      <c r="N1736" s="3">
        <v>788.36</v>
      </c>
      <c r="O1736" s="1" t="s">
        <v>2262</v>
      </c>
      <c r="P1736" s="1" t="s">
        <v>2078</v>
      </c>
      <c r="Q1736" s="1" t="str">
        <f>TEXT((Data[[#This Row],[Order_Date]]), "mmm")</f>
        <v>Jul</v>
      </c>
    </row>
    <row r="1737" spans="4:17" x14ac:dyDescent="0.3">
      <c r="D1737" s="1" t="s">
        <v>1799</v>
      </c>
      <c r="E1737" s="2">
        <v>45298</v>
      </c>
      <c r="F1737" s="2">
        <v>45298</v>
      </c>
      <c r="G1737" s="1" t="s">
        <v>11</v>
      </c>
      <c r="H1737" s="1" t="s">
        <v>12</v>
      </c>
      <c r="I1737" s="1" t="s">
        <v>38</v>
      </c>
      <c r="J1737" s="1" t="s">
        <v>39</v>
      </c>
      <c r="K1737" s="3">
        <v>3522.2</v>
      </c>
      <c r="L1737" s="1">
        <v>15</v>
      </c>
      <c r="M1737" s="1" t="s">
        <v>49</v>
      </c>
      <c r="N1737" s="3">
        <v>709.89</v>
      </c>
      <c r="O1737" s="1" t="s">
        <v>2142</v>
      </c>
      <c r="P1737" s="1" t="s">
        <v>2076</v>
      </c>
      <c r="Q1737" s="1" t="str">
        <f>TEXT((Data[[#This Row],[Order_Date]]), "mmm")</f>
        <v>Jan</v>
      </c>
    </row>
    <row r="1738" spans="4:17" x14ac:dyDescent="0.3">
      <c r="D1738" s="1" t="s">
        <v>1800</v>
      </c>
      <c r="E1738" s="2">
        <v>45326</v>
      </c>
      <c r="F1738" s="2">
        <v>45332</v>
      </c>
      <c r="G1738" s="1" t="s">
        <v>36</v>
      </c>
      <c r="H1738" s="1" t="s">
        <v>17</v>
      </c>
      <c r="I1738" s="1" t="s">
        <v>27</v>
      </c>
      <c r="J1738" s="1" t="s">
        <v>110</v>
      </c>
      <c r="K1738" s="3">
        <v>1203.97</v>
      </c>
      <c r="L1738" s="1">
        <v>12</v>
      </c>
      <c r="M1738" s="1" t="s">
        <v>34</v>
      </c>
      <c r="N1738" s="3">
        <v>-154.79</v>
      </c>
      <c r="O1738" s="1" t="s">
        <v>2283</v>
      </c>
      <c r="P1738" s="1" t="s">
        <v>2076</v>
      </c>
      <c r="Q1738" s="1" t="str">
        <f>TEXT((Data[[#This Row],[Order_Date]]), "mmm")</f>
        <v>Feb</v>
      </c>
    </row>
    <row r="1739" spans="4:17" x14ac:dyDescent="0.3">
      <c r="D1739" s="1" t="s">
        <v>1801</v>
      </c>
      <c r="E1739" s="2">
        <v>45564</v>
      </c>
      <c r="F1739" s="2">
        <v>45567</v>
      </c>
      <c r="G1739" s="1" t="s">
        <v>36</v>
      </c>
      <c r="H1739" s="1" t="s">
        <v>12</v>
      </c>
      <c r="I1739" s="1" t="s">
        <v>38</v>
      </c>
      <c r="J1739" s="1" t="s">
        <v>85</v>
      </c>
      <c r="K1739" s="3">
        <v>2510.38</v>
      </c>
      <c r="L1739" s="1">
        <v>7</v>
      </c>
      <c r="M1739" s="1" t="s">
        <v>49</v>
      </c>
      <c r="N1739" s="3">
        <v>656.15</v>
      </c>
      <c r="O1739" s="1" t="s">
        <v>2282</v>
      </c>
      <c r="P1739" s="1" t="s">
        <v>2076</v>
      </c>
      <c r="Q1739" s="1" t="str">
        <f>TEXT((Data[[#This Row],[Order_Date]]), "mmm")</f>
        <v>Sep</v>
      </c>
    </row>
    <row r="1740" spans="4:17" x14ac:dyDescent="0.3">
      <c r="D1740" s="1" t="s">
        <v>1802</v>
      </c>
      <c r="E1740" s="2">
        <v>45299</v>
      </c>
      <c r="F1740" s="2">
        <v>45304</v>
      </c>
      <c r="G1740" s="1" t="s">
        <v>22</v>
      </c>
      <c r="H1740" s="1" t="s">
        <v>12</v>
      </c>
      <c r="I1740" s="1" t="s">
        <v>38</v>
      </c>
      <c r="J1740" s="1" t="s">
        <v>81</v>
      </c>
      <c r="K1740" s="3">
        <v>2262.37</v>
      </c>
      <c r="L1740" s="1">
        <v>17</v>
      </c>
      <c r="M1740" s="1" t="s">
        <v>29</v>
      </c>
      <c r="N1740" s="3">
        <v>561.79</v>
      </c>
      <c r="O1740" s="1" t="s">
        <v>2189</v>
      </c>
      <c r="P1740" s="1" t="s">
        <v>2078</v>
      </c>
      <c r="Q1740" s="1" t="str">
        <f>TEXT((Data[[#This Row],[Order_Date]]), "mmm")</f>
        <v>Jan</v>
      </c>
    </row>
    <row r="1741" spans="4:17" x14ac:dyDescent="0.3">
      <c r="D1741" s="1" t="s">
        <v>1803</v>
      </c>
      <c r="E1741" s="2">
        <v>45489</v>
      </c>
      <c r="F1741" s="2">
        <v>45495</v>
      </c>
      <c r="G1741" s="1" t="s">
        <v>22</v>
      </c>
      <c r="H1741" s="1" t="s">
        <v>12</v>
      </c>
      <c r="I1741" s="1" t="s">
        <v>38</v>
      </c>
      <c r="J1741" s="1" t="s">
        <v>85</v>
      </c>
      <c r="K1741" s="3">
        <v>3974.53</v>
      </c>
      <c r="L1741" s="1">
        <v>11</v>
      </c>
      <c r="M1741" s="1" t="s">
        <v>49</v>
      </c>
      <c r="N1741" s="3">
        <v>-888.83</v>
      </c>
      <c r="O1741" s="1" t="s">
        <v>2155</v>
      </c>
      <c r="P1741" s="1" t="s">
        <v>2071</v>
      </c>
      <c r="Q1741" s="1" t="str">
        <f>TEXT((Data[[#This Row],[Order_Date]]), "mmm")</f>
        <v>Jul</v>
      </c>
    </row>
    <row r="1742" spans="4:17" x14ac:dyDescent="0.3">
      <c r="D1742" s="1" t="s">
        <v>1804</v>
      </c>
      <c r="E1742" s="2">
        <v>45537</v>
      </c>
      <c r="F1742" s="2">
        <v>45538</v>
      </c>
      <c r="G1742" s="1" t="s">
        <v>36</v>
      </c>
      <c r="H1742" s="1" t="s">
        <v>23</v>
      </c>
      <c r="I1742" s="1" t="s">
        <v>78</v>
      </c>
      <c r="J1742" s="1" t="s">
        <v>79</v>
      </c>
      <c r="K1742" s="3">
        <v>1663.16</v>
      </c>
      <c r="L1742" s="1">
        <v>2</v>
      </c>
      <c r="M1742" s="1" t="s">
        <v>20</v>
      </c>
      <c r="N1742" s="3">
        <v>513.17999999999995</v>
      </c>
      <c r="O1742" s="1" t="s">
        <v>2084</v>
      </c>
      <c r="P1742" s="1" t="s">
        <v>2071</v>
      </c>
      <c r="Q1742" s="1" t="str">
        <f>TEXT((Data[[#This Row],[Order_Date]]), "mmm")</f>
        <v>Sep</v>
      </c>
    </row>
    <row r="1743" spans="4:17" x14ac:dyDescent="0.3">
      <c r="D1743" s="1" t="s">
        <v>1805</v>
      </c>
      <c r="E1743" s="2">
        <v>45568</v>
      </c>
      <c r="F1743" s="2">
        <v>45574</v>
      </c>
      <c r="G1743" s="1" t="s">
        <v>36</v>
      </c>
      <c r="H1743" s="1" t="s">
        <v>17</v>
      </c>
      <c r="I1743" s="1" t="s">
        <v>27</v>
      </c>
      <c r="J1743" s="1" t="s">
        <v>132</v>
      </c>
      <c r="K1743" s="3">
        <v>3642.09</v>
      </c>
      <c r="L1743" s="1">
        <v>18</v>
      </c>
      <c r="M1743" s="1" t="s">
        <v>15</v>
      </c>
      <c r="N1743" s="3">
        <v>429.46</v>
      </c>
      <c r="O1743" s="1" t="s">
        <v>2077</v>
      </c>
      <c r="P1743" s="1" t="s">
        <v>2076</v>
      </c>
      <c r="Q1743" s="1" t="str">
        <f>TEXT((Data[[#This Row],[Order_Date]]), "mmm")</f>
        <v>Oct</v>
      </c>
    </row>
    <row r="1744" spans="4:17" x14ac:dyDescent="0.3">
      <c r="D1744" s="1" t="s">
        <v>1806</v>
      </c>
      <c r="E1744" s="2">
        <v>45558</v>
      </c>
      <c r="F1744" s="2">
        <v>45561</v>
      </c>
      <c r="G1744" s="1" t="s">
        <v>22</v>
      </c>
      <c r="H1744" s="1" t="s">
        <v>12</v>
      </c>
      <c r="I1744" s="1" t="s">
        <v>38</v>
      </c>
      <c r="J1744" s="1" t="s">
        <v>81</v>
      </c>
      <c r="K1744" s="3">
        <v>3909.2</v>
      </c>
      <c r="L1744" s="1">
        <v>18</v>
      </c>
      <c r="M1744" s="1" t="s">
        <v>49</v>
      </c>
      <c r="N1744" s="3">
        <v>230.74</v>
      </c>
      <c r="O1744" s="1" t="s">
        <v>2297</v>
      </c>
      <c r="P1744" s="1" t="s">
        <v>2076</v>
      </c>
      <c r="Q1744" s="1" t="str">
        <f>TEXT((Data[[#This Row],[Order_Date]]), "mmm")</f>
        <v>Sep</v>
      </c>
    </row>
    <row r="1745" spans="4:17" x14ac:dyDescent="0.3">
      <c r="D1745" s="1" t="s">
        <v>1807</v>
      </c>
      <c r="E1745" s="2">
        <v>45372</v>
      </c>
      <c r="F1745" s="2">
        <v>45375</v>
      </c>
      <c r="G1745" s="1" t="s">
        <v>22</v>
      </c>
      <c r="H1745" s="1" t="s">
        <v>12</v>
      </c>
      <c r="I1745" s="1" t="s">
        <v>38</v>
      </c>
      <c r="J1745" s="1" t="s">
        <v>39</v>
      </c>
      <c r="K1745" s="3">
        <v>2417.7800000000002</v>
      </c>
      <c r="L1745" s="1">
        <v>7</v>
      </c>
      <c r="M1745" s="1" t="s">
        <v>44</v>
      </c>
      <c r="N1745" s="3">
        <v>-226.57</v>
      </c>
      <c r="O1745" s="1" t="s">
        <v>2227</v>
      </c>
      <c r="P1745" s="1" t="s">
        <v>2078</v>
      </c>
      <c r="Q1745" s="1" t="str">
        <f>TEXT((Data[[#This Row],[Order_Date]]), "mmm")</f>
        <v>Mar</v>
      </c>
    </row>
    <row r="1746" spans="4:17" x14ac:dyDescent="0.3">
      <c r="D1746" s="1" t="s">
        <v>1808</v>
      </c>
      <c r="E1746" s="2">
        <v>45351</v>
      </c>
      <c r="F1746" s="2">
        <v>45351</v>
      </c>
      <c r="G1746" s="1" t="s">
        <v>22</v>
      </c>
      <c r="H1746" s="1" t="s">
        <v>17</v>
      </c>
      <c r="I1746" s="1" t="s">
        <v>18</v>
      </c>
      <c r="J1746" s="1" t="s">
        <v>19</v>
      </c>
      <c r="K1746" s="3">
        <v>311.04000000000002</v>
      </c>
      <c r="L1746" s="1">
        <v>17</v>
      </c>
      <c r="M1746" s="1" t="s">
        <v>49</v>
      </c>
      <c r="N1746" s="3">
        <v>58.6</v>
      </c>
      <c r="O1746" s="1" t="s">
        <v>2089</v>
      </c>
      <c r="P1746" s="1" t="s">
        <v>2076</v>
      </c>
      <c r="Q1746" s="1" t="str">
        <f>TEXT((Data[[#This Row],[Order_Date]]), "mmm")</f>
        <v>Feb</v>
      </c>
    </row>
    <row r="1747" spans="4:17" x14ac:dyDescent="0.3">
      <c r="D1747" s="1" t="s">
        <v>1809</v>
      </c>
      <c r="E1747" s="2">
        <v>45315</v>
      </c>
      <c r="F1747" s="2">
        <v>45315</v>
      </c>
      <c r="G1747" s="1" t="s">
        <v>31</v>
      </c>
      <c r="H1747" s="1" t="s">
        <v>12</v>
      </c>
      <c r="I1747" s="1" t="s">
        <v>42</v>
      </c>
      <c r="J1747" s="1" t="s">
        <v>48</v>
      </c>
      <c r="K1747" s="3">
        <v>292.02</v>
      </c>
      <c r="L1747" s="1">
        <v>3</v>
      </c>
      <c r="M1747" s="1" t="s">
        <v>34</v>
      </c>
      <c r="N1747" s="3">
        <v>31.19</v>
      </c>
      <c r="O1747" s="1" t="s">
        <v>2282</v>
      </c>
      <c r="P1747" s="1" t="s">
        <v>2076</v>
      </c>
      <c r="Q1747" s="1" t="str">
        <f>TEXT((Data[[#This Row],[Order_Date]]), "mmm")</f>
        <v>Jan</v>
      </c>
    </row>
    <row r="1748" spans="4:17" x14ac:dyDescent="0.3">
      <c r="D1748" s="1" t="s">
        <v>1810</v>
      </c>
      <c r="E1748" s="2">
        <v>45339</v>
      </c>
      <c r="F1748" s="2">
        <v>45343</v>
      </c>
      <c r="G1748" s="1" t="s">
        <v>11</v>
      </c>
      <c r="H1748" s="1" t="s">
        <v>12</v>
      </c>
      <c r="I1748" s="1" t="s">
        <v>58</v>
      </c>
      <c r="J1748" s="1" t="s">
        <v>59</v>
      </c>
      <c r="K1748" s="3">
        <v>1335.11</v>
      </c>
      <c r="L1748" s="1">
        <v>11</v>
      </c>
      <c r="M1748" s="1" t="s">
        <v>15</v>
      </c>
      <c r="N1748" s="3">
        <v>164.47</v>
      </c>
      <c r="O1748" s="1" t="s">
        <v>2287</v>
      </c>
      <c r="P1748" s="1" t="s">
        <v>2071</v>
      </c>
      <c r="Q1748" s="1" t="str">
        <f>TEXT((Data[[#This Row],[Order_Date]]), "mmm")</f>
        <v>Feb</v>
      </c>
    </row>
    <row r="1749" spans="4:17" x14ac:dyDescent="0.3">
      <c r="D1749" s="1" t="s">
        <v>1811</v>
      </c>
      <c r="E1749" s="2">
        <v>45593</v>
      </c>
      <c r="F1749" s="2">
        <v>45593</v>
      </c>
      <c r="G1749" s="1" t="s">
        <v>31</v>
      </c>
      <c r="H1749" s="1" t="s">
        <v>23</v>
      </c>
      <c r="I1749" s="1" t="s">
        <v>65</v>
      </c>
      <c r="J1749" s="1" t="s">
        <v>122</v>
      </c>
      <c r="K1749" s="3">
        <v>2655.68</v>
      </c>
      <c r="L1749" s="1">
        <v>7</v>
      </c>
      <c r="M1749" s="1" t="s">
        <v>34</v>
      </c>
      <c r="N1749" s="3">
        <v>379.23</v>
      </c>
      <c r="O1749" s="1" t="s">
        <v>2300</v>
      </c>
      <c r="P1749" s="1" t="s">
        <v>2076</v>
      </c>
      <c r="Q1749" s="1" t="str">
        <f>TEXT((Data[[#This Row],[Order_Date]]), "mmm")</f>
        <v>Oct</v>
      </c>
    </row>
    <row r="1750" spans="4:17" x14ac:dyDescent="0.3">
      <c r="D1750" s="1" t="s">
        <v>1812</v>
      </c>
      <c r="E1750" s="2">
        <v>45593</v>
      </c>
      <c r="F1750" s="2">
        <v>45598</v>
      </c>
      <c r="G1750" s="1" t="s">
        <v>11</v>
      </c>
      <c r="H1750" s="1" t="s">
        <v>17</v>
      </c>
      <c r="I1750" s="1" t="s">
        <v>18</v>
      </c>
      <c r="J1750" s="1" t="s">
        <v>19</v>
      </c>
      <c r="K1750" s="3">
        <v>3000.01</v>
      </c>
      <c r="L1750" s="1">
        <v>1</v>
      </c>
      <c r="M1750" s="1" t="s">
        <v>49</v>
      </c>
      <c r="N1750" s="3">
        <v>901.77</v>
      </c>
      <c r="O1750" s="1" t="s">
        <v>2167</v>
      </c>
      <c r="P1750" s="1" t="s">
        <v>2078</v>
      </c>
      <c r="Q1750" s="1" t="str">
        <f>TEXT((Data[[#This Row],[Order_Date]]), "mmm")</f>
        <v>Oct</v>
      </c>
    </row>
    <row r="1751" spans="4:17" x14ac:dyDescent="0.3">
      <c r="D1751" s="1" t="s">
        <v>1813</v>
      </c>
      <c r="E1751" s="2">
        <v>45385</v>
      </c>
      <c r="F1751" s="2">
        <v>45385</v>
      </c>
      <c r="G1751" s="1" t="s">
        <v>36</v>
      </c>
      <c r="H1751" s="1" t="s">
        <v>23</v>
      </c>
      <c r="I1751" s="1" t="s">
        <v>24</v>
      </c>
      <c r="J1751" s="1" t="s">
        <v>150</v>
      </c>
      <c r="K1751" s="3">
        <v>2456.2199999999998</v>
      </c>
      <c r="L1751" s="1">
        <v>15</v>
      </c>
      <c r="M1751" s="1" t="s">
        <v>20</v>
      </c>
      <c r="N1751" s="3">
        <v>367.01</v>
      </c>
      <c r="O1751" s="1" t="s">
        <v>2223</v>
      </c>
      <c r="P1751" s="1" t="s">
        <v>2071</v>
      </c>
      <c r="Q1751" s="1" t="str">
        <f>TEXT((Data[[#This Row],[Order_Date]]), "mmm")</f>
        <v>Apr</v>
      </c>
    </row>
    <row r="1752" spans="4:17" x14ac:dyDescent="0.3">
      <c r="D1752" s="1" t="s">
        <v>1814</v>
      </c>
      <c r="E1752" s="2">
        <v>45315</v>
      </c>
      <c r="F1752" s="2">
        <v>45321</v>
      </c>
      <c r="G1752" s="1" t="s">
        <v>31</v>
      </c>
      <c r="H1752" s="1" t="s">
        <v>12</v>
      </c>
      <c r="I1752" s="1" t="s">
        <v>42</v>
      </c>
      <c r="J1752" s="1" t="s">
        <v>43</v>
      </c>
      <c r="K1752" s="3">
        <v>1257.52</v>
      </c>
      <c r="L1752" s="1">
        <v>3</v>
      </c>
      <c r="M1752" s="1" t="s">
        <v>20</v>
      </c>
      <c r="N1752" s="3">
        <v>404.29</v>
      </c>
      <c r="O1752" s="1" t="s">
        <v>2147</v>
      </c>
      <c r="P1752" s="1" t="s">
        <v>2076</v>
      </c>
      <c r="Q1752" s="1" t="str">
        <f>TEXT((Data[[#This Row],[Order_Date]]), "mmm")</f>
        <v>Jan</v>
      </c>
    </row>
    <row r="1753" spans="4:17" x14ac:dyDescent="0.3">
      <c r="D1753" s="1" t="s">
        <v>1815</v>
      </c>
      <c r="E1753" s="2">
        <v>45481</v>
      </c>
      <c r="F1753" s="2">
        <v>45485</v>
      </c>
      <c r="G1753" s="1" t="s">
        <v>11</v>
      </c>
      <c r="H1753" s="1" t="s">
        <v>12</v>
      </c>
      <c r="I1753" s="1" t="s">
        <v>38</v>
      </c>
      <c r="J1753" s="1" t="s">
        <v>39</v>
      </c>
      <c r="K1753" s="3">
        <v>3402.71</v>
      </c>
      <c r="L1753" s="1">
        <v>8</v>
      </c>
      <c r="M1753" s="1" t="s">
        <v>34</v>
      </c>
      <c r="N1753" s="3">
        <v>171.75</v>
      </c>
      <c r="O1753" s="1" t="s">
        <v>2082</v>
      </c>
      <c r="P1753" s="1" t="s">
        <v>2071</v>
      </c>
      <c r="Q1753" s="1" t="str">
        <f>TEXT((Data[[#This Row],[Order_Date]]), "mmm")</f>
        <v>Jul</v>
      </c>
    </row>
    <row r="1754" spans="4:17" x14ac:dyDescent="0.3">
      <c r="D1754" s="1" t="s">
        <v>1816</v>
      </c>
      <c r="E1754" s="2">
        <v>45457</v>
      </c>
      <c r="F1754" s="2">
        <v>45458</v>
      </c>
      <c r="G1754" s="1" t="s">
        <v>31</v>
      </c>
      <c r="H1754" s="1" t="s">
        <v>12</v>
      </c>
      <c r="I1754" s="1" t="s">
        <v>13</v>
      </c>
      <c r="J1754" s="1" t="s">
        <v>96</v>
      </c>
      <c r="K1754" s="3">
        <v>407.34</v>
      </c>
      <c r="L1754" s="1">
        <v>20</v>
      </c>
      <c r="M1754" s="1" t="s">
        <v>20</v>
      </c>
      <c r="N1754" s="3">
        <v>65.25</v>
      </c>
      <c r="O1754" s="1" t="s">
        <v>2273</v>
      </c>
      <c r="P1754" s="1" t="s">
        <v>2076</v>
      </c>
      <c r="Q1754" s="1" t="str">
        <f>TEXT((Data[[#This Row],[Order_Date]]), "mmm")</f>
        <v>Jun</v>
      </c>
    </row>
    <row r="1755" spans="4:17" x14ac:dyDescent="0.3">
      <c r="D1755" s="1" t="s">
        <v>1817</v>
      </c>
      <c r="E1755" s="2">
        <v>45391</v>
      </c>
      <c r="F1755" s="2">
        <v>45397</v>
      </c>
      <c r="G1755" s="1" t="s">
        <v>31</v>
      </c>
      <c r="H1755" s="1" t="s">
        <v>12</v>
      </c>
      <c r="I1755" s="1" t="s">
        <v>58</v>
      </c>
      <c r="J1755" s="1" t="s">
        <v>105</v>
      </c>
      <c r="K1755" s="3">
        <v>2327.35</v>
      </c>
      <c r="L1755" s="1">
        <v>13</v>
      </c>
      <c r="M1755" s="1" t="s">
        <v>29</v>
      </c>
      <c r="N1755" s="3">
        <v>623</v>
      </c>
      <c r="O1755" s="1" t="s">
        <v>2106</v>
      </c>
      <c r="P1755" s="1" t="s">
        <v>2076</v>
      </c>
      <c r="Q1755" s="1" t="str">
        <f>TEXT((Data[[#This Row],[Order_Date]]), "mmm")</f>
        <v>Apr</v>
      </c>
    </row>
    <row r="1756" spans="4:17" x14ac:dyDescent="0.3">
      <c r="D1756" s="1" t="s">
        <v>1818</v>
      </c>
      <c r="E1756" s="2">
        <v>45499</v>
      </c>
      <c r="F1756" s="2">
        <v>45501</v>
      </c>
      <c r="G1756" s="1" t="s">
        <v>31</v>
      </c>
      <c r="H1756" s="1" t="s">
        <v>12</v>
      </c>
      <c r="I1756" s="1" t="s">
        <v>42</v>
      </c>
      <c r="J1756" s="1" t="s">
        <v>48</v>
      </c>
      <c r="K1756" s="3">
        <v>2229.83</v>
      </c>
      <c r="L1756" s="1">
        <v>18</v>
      </c>
      <c r="M1756" s="1" t="s">
        <v>49</v>
      </c>
      <c r="N1756" s="3">
        <v>484.79</v>
      </c>
      <c r="O1756" s="1" t="s">
        <v>2156</v>
      </c>
      <c r="P1756" s="1" t="s">
        <v>2071</v>
      </c>
      <c r="Q1756" s="1" t="str">
        <f>TEXT((Data[[#This Row],[Order_Date]]), "mmm")</f>
        <v>Jul</v>
      </c>
    </row>
    <row r="1757" spans="4:17" x14ac:dyDescent="0.3">
      <c r="D1757" s="1" t="s">
        <v>1819</v>
      </c>
      <c r="E1757" s="2">
        <v>45617</v>
      </c>
      <c r="F1757" s="2">
        <v>45618</v>
      </c>
      <c r="G1757" s="1" t="s">
        <v>31</v>
      </c>
      <c r="H1757" s="1" t="s">
        <v>12</v>
      </c>
      <c r="I1757" s="1" t="s">
        <v>42</v>
      </c>
      <c r="J1757" s="1" t="s">
        <v>48</v>
      </c>
      <c r="K1757" s="3">
        <v>1615.32</v>
      </c>
      <c r="L1757" s="1">
        <v>12</v>
      </c>
      <c r="M1757" s="1" t="s">
        <v>29</v>
      </c>
      <c r="N1757" s="3">
        <v>288.54000000000002</v>
      </c>
      <c r="O1757" s="1" t="s">
        <v>2210</v>
      </c>
      <c r="P1757" s="1" t="s">
        <v>2078</v>
      </c>
      <c r="Q1757" s="1" t="str">
        <f>TEXT((Data[[#This Row],[Order_Date]]), "mmm")</f>
        <v>Nov</v>
      </c>
    </row>
    <row r="1758" spans="4:17" x14ac:dyDescent="0.3">
      <c r="D1758" s="1" t="s">
        <v>1820</v>
      </c>
      <c r="E1758" s="2">
        <v>45331</v>
      </c>
      <c r="F1758" s="2">
        <v>45338</v>
      </c>
      <c r="G1758" s="1" t="s">
        <v>31</v>
      </c>
      <c r="H1758" s="1" t="s">
        <v>17</v>
      </c>
      <c r="I1758" s="1" t="s">
        <v>32</v>
      </c>
      <c r="J1758" s="1" t="s">
        <v>56</v>
      </c>
      <c r="K1758" s="3">
        <v>724.39</v>
      </c>
      <c r="L1758" s="1">
        <v>3</v>
      </c>
      <c r="M1758" s="1" t="s">
        <v>44</v>
      </c>
      <c r="N1758" s="3">
        <v>130.02000000000001</v>
      </c>
      <c r="O1758" s="1" t="s">
        <v>2193</v>
      </c>
      <c r="P1758" s="1" t="s">
        <v>2078</v>
      </c>
      <c r="Q1758" s="1" t="str">
        <f>TEXT((Data[[#This Row],[Order_Date]]), "mmm")</f>
        <v>Feb</v>
      </c>
    </row>
    <row r="1759" spans="4:17" x14ac:dyDescent="0.3">
      <c r="D1759" s="1" t="s">
        <v>1821</v>
      </c>
      <c r="E1759" s="2">
        <v>45475</v>
      </c>
      <c r="F1759" s="2">
        <v>45482</v>
      </c>
      <c r="G1759" s="1" t="s">
        <v>22</v>
      </c>
      <c r="H1759" s="1" t="s">
        <v>23</v>
      </c>
      <c r="I1759" s="1" t="s">
        <v>61</v>
      </c>
      <c r="J1759" s="1" t="s">
        <v>98</v>
      </c>
      <c r="K1759" s="3">
        <v>3916.67</v>
      </c>
      <c r="L1759" s="1">
        <v>18</v>
      </c>
      <c r="M1759" s="1" t="s">
        <v>20</v>
      </c>
      <c r="N1759" s="3">
        <v>1090.07</v>
      </c>
      <c r="O1759" s="1" t="s">
        <v>2177</v>
      </c>
      <c r="P1759" s="1" t="s">
        <v>2076</v>
      </c>
      <c r="Q1759" s="1" t="str">
        <f>TEXT((Data[[#This Row],[Order_Date]]), "mmm")</f>
        <v>Jul</v>
      </c>
    </row>
    <row r="1760" spans="4:17" x14ac:dyDescent="0.3">
      <c r="D1760" s="1" t="s">
        <v>1822</v>
      </c>
      <c r="E1760" s="2">
        <v>45584</v>
      </c>
      <c r="F1760" s="2">
        <v>45589</v>
      </c>
      <c r="G1760" s="1" t="s">
        <v>22</v>
      </c>
      <c r="H1760" s="1" t="s">
        <v>17</v>
      </c>
      <c r="I1760" s="1" t="s">
        <v>27</v>
      </c>
      <c r="J1760" s="1" t="s">
        <v>110</v>
      </c>
      <c r="K1760" s="3">
        <v>1508.55</v>
      </c>
      <c r="L1760" s="1">
        <v>11</v>
      </c>
      <c r="M1760" s="1" t="s">
        <v>20</v>
      </c>
      <c r="N1760" s="3">
        <v>283.87</v>
      </c>
      <c r="O1760" s="1" t="s">
        <v>2151</v>
      </c>
      <c r="P1760" s="1" t="s">
        <v>2078</v>
      </c>
      <c r="Q1760" s="1" t="str">
        <f>TEXT((Data[[#This Row],[Order_Date]]), "mmm")</f>
        <v>Oct</v>
      </c>
    </row>
    <row r="1761" spans="4:17" x14ac:dyDescent="0.3">
      <c r="D1761" s="1" t="s">
        <v>1823</v>
      </c>
      <c r="E1761" s="2">
        <v>45653</v>
      </c>
      <c r="F1761" s="2">
        <v>45654</v>
      </c>
      <c r="G1761" s="1" t="s">
        <v>22</v>
      </c>
      <c r="H1761" s="1" t="s">
        <v>23</v>
      </c>
      <c r="I1761" s="1" t="s">
        <v>24</v>
      </c>
      <c r="J1761" s="1" t="s">
        <v>93</v>
      </c>
      <c r="K1761" s="3">
        <v>2507.96</v>
      </c>
      <c r="L1761" s="1">
        <v>3</v>
      </c>
      <c r="M1761" s="1" t="s">
        <v>20</v>
      </c>
      <c r="N1761" s="3">
        <v>533.04999999999995</v>
      </c>
      <c r="O1761" s="1" t="s">
        <v>2283</v>
      </c>
      <c r="P1761" s="1" t="s">
        <v>2078</v>
      </c>
      <c r="Q1761" s="1" t="str">
        <f>TEXT((Data[[#This Row],[Order_Date]]), "mmm")</f>
        <v>Dec</v>
      </c>
    </row>
    <row r="1762" spans="4:17" x14ac:dyDescent="0.3">
      <c r="D1762" s="1" t="s">
        <v>1824</v>
      </c>
      <c r="E1762" s="2">
        <v>45622</v>
      </c>
      <c r="F1762" s="2">
        <v>45624</v>
      </c>
      <c r="G1762" s="1" t="s">
        <v>36</v>
      </c>
      <c r="H1762" s="1" t="s">
        <v>17</v>
      </c>
      <c r="I1762" s="1" t="s">
        <v>32</v>
      </c>
      <c r="J1762" s="1" t="s">
        <v>33</v>
      </c>
      <c r="K1762" s="3">
        <v>3774.87</v>
      </c>
      <c r="L1762" s="1">
        <v>14</v>
      </c>
      <c r="M1762" s="1" t="s">
        <v>34</v>
      </c>
      <c r="N1762" s="3">
        <v>-389.22</v>
      </c>
      <c r="O1762" s="1" t="s">
        <v>2248</v>
      </c>
      <c r="P1762" s="1" t="s">
        <v>2071</v>
      </c>
      <c r="Q1762" s="1" t="str">
        <f>TEXT((Data[[#This Row],[Order_Date]]), "mmm")</f>
        <v>Nov</v>
      </c>
    </row>
    <row r="1763" spans="4:17" x14ac:dyDescent="0.3">
      <c r="D1763" s="1" t="s">
        <v>1825</v>
      </c>
      <c r="E1763" s="2">
        <v>45536</v>
      </c>
      <c r="F1763" s="2">
        <v>45541</v>
      </c>
      <c r="G1763" s="1" t="s">
        <v>11</v>
      </c>
      <c r="H1763" s="1" t="s">
        <v>23</v>
      </c>
      <c r="I1763" s="1" t="s">
        <v>61</v>
      </c>
      <c r="J1763" s="1" t="s">
        <v>62</v>
      </c>
      <c r="K1763" s="3">
        <v>3556.16</v>
      </c>
      <c r="L1763" s="1">
        <v>9</v>
      </c>
      <c r="M1763" s="1" t="s">
        <v>15</v>
      </c>
      <c r="N1763" s="3">
        <v>958.11</v>
      </c>
      <c r="O1763" s="1" t="s">
        <v>2232</v>
      </c>
      <c r="P1763" s="1" t="s">
        <v>2076</v>
      </c>
      <c r="Q1763" s="1" t="str">
        <f>TEXT((Data[[#This Row],[Order_Date]]), "mmm")</f>
        <v>Sep</v>
      </c>
    </row>
    <row r="1764" spans="4:17" x14ac:dyDescent="0.3">
      <c r="D1764" s="1" t="s">
        <v>1826</v>
      </c>
      <c r="E1764" s="2">
        <v>45359</v>
      </c>
      <c r="F1764" s="2">
        <v>45360</v>
      </c>
      <c r="G1764" s="1" t="s">
        <v>36</v>
      </c>
      <c r="H1764" s="1" t="s">
        <v>12</v>
      </c>
      <c r="I1764" s="1" t="s">
        <v>13</v>
      </c>
      <c r="J1764" s="1" t="s">
        <v>129</v>
      </c>
      <c r="K1764" s="3">
        <v>2072.9</v>
      </c>
      <c r="L1764" s="1">
        <v>2</v>
      </c>
      <c r="M1764" s="1" t="s">
        <v>34</v>
      </c>
      <c r="N1764" s="3">
        <v>374.23</v>
      </c>
      <c r="O1764" s="1" t="s">
        <v>2173</v>
      </c>
      <c r="P1764" s="1" t="s">
        <v>2076</v>
      </c>
      <c r="Q1764" s="1" t="str">
        <f>TEXT((Data[[#This Row],[Order_Date]]), "mmm")</f>
        <v>Mar</v>
      </c>
    </row>
    <row r="1765" spans="4:17" x14ac:dyDescent="0.3">
      <c r="D1765" s="1" t="s">
        <v>1827</v>
      </c>
      <c r="E1765" s="2">
        <v>45293</v>
      </c>
      <c r="F1765" s="2">
        <v>45295</v>
      </c>
      <c r="G1765" s="1" t="s">
        <v>22</v>
      </c>
      <c r="H1765" s="1" t="s">
        <v>23</v>
      </c>
      <c r="I1765" s="1" t="s">
        <v>65</v>
      </c>
      <c r="J1765" s="1" t="s">
        <v>66</v>
      </c>
      <c r="K1765" s="3">
        <v>2913.65</v>
      </c>
      <c r="L1765" s="1">
        <v>1</v>
      </c>
      <c r="M1765" s="1" t="s">
        <v>15</v>
      </c>
      <c r="N1765" s="3">
        <v>189.2</v>
      </c>
      <c r="O1765" s="1" t="s">
        <v>2119</v>
      </c>
      <c r="P1765" s="1" t="s">
        <v>2071</v>
      </c>
      <c r="Q1765" s="1" t="str">
        <f>TEXT((Data[[#This Row],[Order_Date]]), "mmm")</f>
        <v>Jan</v>
      </c>
    </row>
    <row r="1766" spans="4:17" x14ac:dyDescent="0.3">
      <c r="D1766" s="1" t="s">
        <v>1828</v>
      </c>
      <c r="E1766" s="2">
        <v>45404</v>
      </c>
      <c r="F1766" s="2">
        <v>45409</v>
      </c>
      <c r="G1766" s="1" t="s">
        <v>31</v>
      </c>
      <c r="H1766" s="1" t="s">
        <v>23</v>
      </c>
      <c r="I1766" s="1" t="s">
        <v>61</v>
      </c>
      <c r="J1766" s="1" t="s">
        <v>98</v>
      </c>
      <c r="K1766" s="3">
        <v>893.79</v>
      </c>
      <c r="L1766" s="1">
        <v>5</v>
      </c>
      <c r="M1766" s="1" t="s">
        <v>34</v>
      </c>
      <c r="N1766" s="3">
        <v>271.97000000000003</v>
      </c>
      <c r="O1766" s="1" t="s">
        <v>2273</v>
      </c>
      <c r="P1766" s="1" t="s">
        <v>2078</v>
      </c>
      <c r="Q1766" s="1" t="str">
        <f>TEXT((Data[[#This Row],[Order_Date]]), "mmm")</f>
        <v>Apr</v>
      </c>
    </row>
    <row r="1767" spans="4:17" x14ac:dyDescent="0.3">
      <c r="D1767" s="1" t="s">
        <v>1829</v>
      </c>
      <c r="E1767" s="2">
        <v>45382</v>
      </c>
      <c r="F1767" s="2">
        <v>45384</v>
      </c>
      <c r="G1767" s="1" t="s">
        <v>36</v>
      </c>
      <c r="H1767" s="1" t="s">
        <v>12</v>
      </c>
      <c r="I1767" s="1" t="s">
        <v>13</v>
      </c>
      <c r="J1767" s="1" t="s">
        <v>51</v>
      </c>
      <c r="K1767" s="3">
        <v>469.04</v>
      </c>
      <c r="L1767" s="1">
        <v>16</v>
      </c>
      <c r="M1767" s="1" t="s">
        <v>29</v>
      </c>
      <c r="N1767" s="3">
        <v>115.19</v>
      </c>
      <c r="O1767" s="1" t="s">
        <v>2170</v>
      </c>
      <c r="P1767" s="1" t="s">
        <v>2076</v>
      </c>
      <c r="Q1767" s="1" t="str">
        <f>TEXT((Data[[#This Row],[Order_Date]]), "mmm")</f>
        <v>Mar</v>
      </c>
    </row>
    <row r="1768" spans="4:17" x14ac:dyDescent="0.3">
      <c r="D1768" s="1" t="s">
        <v>1830</v>
      </c>
      <c r="E1768" s="2">
        <v>45556</v>
      </c>
      <c r="F1768" s="2">
        <v>45558</v>
      </c>
      <c r="G1768" s="1" t="s">
        <v>22</v>
      </c>
      <c r="H1768" s="1" t="s">
        <v>12</v>
      </c>
      <c r="I1768" s="1" t="s">
        <v>13</v>
      </c>
      <c r="J1768" s="1" t="s">
        <v>96</v>
      </c>
      <c r="K1768" s="3">
        <v>1151.3900000000001</v>
      </c>
      <c r="L1768" s="1">
        <v>5</v>
      </c>
      <c r="M1768" s="1" t="s">
        <v>49</v>
      </c>
      <c r="N1768" s="3">
        <v>82.61</v>
      </c>
      <c r="O1768" s="1" t="s">
        <v>2279</v>
      </c>
      <c r="P1768" s="1" t="s">
        <v>2071</v>
      </c>
      <c r="Q1768" s="1" t="str">
        <f>TEXT((Data[[#This Row],[Order_Date]]), "mmm")</f>
        <v>Sep</v>
      </c>
    </row>
    <row r="1769" spans="4:17" x14ac:dyDescent="0.3">
      <c r="D1769" s="1" t="s">
        <v>1831</v>
      </c>
      <c r="E1769" s="2">
        <v>45569</v>
      </c>
      <c r="F1769" s="2">
        <v>45574</v>
      </c>
      <c r="G1769" s="1" t="s">
        <v>11</v>
      </c>
      <c r="H1769" s="1" t="s">
        <v>23</v>
      </c>
      <c r="I1769" s="1" t="s">
        <v>61</v>
      </c>
      <c r="J1769" s="1" t="s">
        <v>76</v>
      </c>
      <c r="K1769" s="3">
        <v>3198.63</v>
      </c>
      <c r="L1769" s="1">
        <v>18</v>
      </c>
      <c r="M1769" s="1" t="s">
        <v>15</v>
      </c>
      <c r="N1769" s="3">
        <v>829.74</v>
      </c>
      <c r="O1769" s="1" t="s">
        <v>2188</v>
      </c>
      <c r="P1769" s="1" t="s">
        <v>2071</v>
      </c>
      <c r="Q1769" s="1" t="str">
        <f>TEXT((Data[[#This Row],[Order_Date]]), "mmm")</f>
        <v>Oct</v>
      </c>
    </row>
    <row r="1770" spans="4:17" x14ac:dyDescent="0.3">
      <c r="D1770" s="1" t="s">
        <v>1832</v>
      </c>
      <c r="E1770" s="2">
        <v>45338</v>
      </c>
      <c r="F1770" s="2">
        <v>45339</v>
      </c>
      <c r="G1770" s="1" t="s">
        <v>36</v>
      </c>
      <c r="H1770" s="1" t="s">
        <v>17</v>
      </c>
      <c r="I1770" s="1" t="s">
        <v>32</v>
      </c>
      <c r="J1770" s="1" t="s">
        <v>56</v>
      </c>
      <c r="K1770" s="3">
        <v>3414.4</v>
      </c>
      <c r="L1770" s="1">
        <v>4</v>
      </c>
      <c r="M1770" s="1" t="s">
        <v>15</v>
      </c>
      <c r="N1770" s="3">
        <v>258.99</v>
      </c>
      <c r="O1770" s="1" t="s">
        <v>2213</v>
      </c>
      <c r="P1770" s="1" t="s">
        <v>2078</v>
      </c>
      <c r="Q1770" s="1" t="str">
        <f>TEXT((Data[[#This Row],[Order_Date]]), "mmm")</f>
        <v>Feb</v>
      </c>
    </row>
    <row r="1771" spans="4:17" x14ac:dyDescent="0.3">
      <c r="D1771" s="1" t="s">
        <v>1833</v>
      </c>
      <c r="E1771" s="2">
        <v>45333</v>
      </c>
      <c r="F1771" s="2">
        <v>45333</v>
      </c>
      <c r="G1771" s="1" t="s">
        <v>36</v>
      </c>
      <c r="H1771" s="1" t="s">
        <v>17</v>
      </c>
      <c r="I1771" s="1" t="s">
        <v>27</v>
      </c>
      <c r="J1771" s="1" t="s">
        <v>28</v>
      </c>
      <c r="K1771" s="3">
        <v>3328.06</v>
      </c>
      <c r="L1771" s="1">
        <v>5</v>
      </c>
      <c r="M1771" s="1" t="s">
        <v>44</v>
      </c>
      <c r="N1771" s="3">
        <v>210.18</v>
      </c>
      <c r="O1771" s="1" t="s">
        <v>2142</v>
      </c>
      <c r="P1771" s="1" t="s">
        <v>2071</v>
      </c>
      <c r="Q1771" s="1" t="str">
        <f>TEXT((Data[[#This Row],[Order_Date]]), "mmm")</f>
        <v>Feb</v>
      </c>
    </row>
    <row r="1772" spans="4:17" x14ac:dyDescent="0.3">
      <c r="D1772" s="1" t="s">
        <v>1834</v>
      </c>
      <c r="E1772" s="2">
        <v>45512</v>
      </c>
      <c r="F1772" s="2">
        <v>45517</v>
      </c>
      <c r="G1772" s="1" t="s">
        <v>11</v>
      </c>
      <c r="H1772" s="1" t="s">
        <v>17</v>
      </c>
      <c r="I1772" s="1" t="s">
        <v>27</v>
      </c>
      <c r="J1772" s="1" t="s">
        <v>110</v>
      </c>
      <c r="K1772" s="3">
        <v>3647.69</v>
      </c>
      <c r="L1772" s="1">
        <v>3</v>
      </c>
      <c r="M1772" s="1" t="s">
        <v>29</v>
      </c>
      <c r="N1772" s="3">
        <v>810.52</v>
      </c>
      <c r="O1772" s="1" t="s">
        <v>2216</v>
      </c>
      <c r="P1772" s="1" t="s">
        <v>2078</v>
      </c>
      <c r="Q1772" s="1" t="str">
        <f>TEXT((Data[[#This Row],[Order_Date]]), "mmm")</f>
        <v>Aug</v>
      </c>
    </row>
    <row r="1773" spans="4:17" x14ac:dyDescent="0.3">
      <c r="D1773" s="1" t="s">
        <v>1835</v>
      </c>
      <c r="E1773" s="2">
        <v>45656</v>
      </c>
      <c r="F1773" s="2">
        <v>45661</v>
      </c>
      <c r="G1773" s="1" t="s">
        <v>36</v>
      </c>
      <c r="H1773" s="1" t="s">
        <v>17</v>
      </c>
      <c r="I1773" s="1" t="s">
        <v>32</v>
      </c>
      <c r="J1773" s="1" t="s">
        <v>56</v>
      </c>
      <c r="K1773" s="3">
        <v>3240.43</v>
      </c>
      <c r="L1773" s="1">
        <v>17</v>
      </c>
      <c r="M1773" s="1" t="s">
        <v>49</v>
      </c>
      <c r="N1773" s="3">
        <v>563.71</v>
      </c>
      <c r="O1773" s="1" t="s">
        <v>2221</v>
      </c>
      <c r="P1773" s="1" t="s">
        <v>2076</v>
      </c>
      <c r="Q1773" s="1" t="str">
        <f>TEXT((Data[[#This Row],[Order_Date]]), "mmm")</f>
        <v>Dec</v>
      </c>
    </row>
    <row r="1774" spans="4:17" x14ac:dyDescent="0.3">
      <c r="D1774" s="1" t="s">
        <v>1836</v>
      </c>
      <c r="E1774" s="2">
        <v>45401</v>
      </c>
      <c r="F1774" s="2">
        <v>45407</v>
      </c>
      <c r="G1774" s="1" t="s">
        <v>36</v>
      </c>
      <c r="H1774" s="1" t="s">
        <v>17</v>
      </c>
      <c r="I1774" s="1" t="s">
        <v>32</v>
      </c>
      <c r="J1774" s="1" t="s">
        <v>33</v>
      </c>
      <c r="K1774" s="3">
        <v>1296.3599999999999</v>
      </c>
      <c r="L1774" s="1">
        <v>16</v>
      </c>
      <c r="M1774" s="1" t="s">
        <v>20</v>
      </c>
      <c r="N1774" s="3">
        <v>225.6</v>
      </c>
      <c r="O1774" s="1" t="s">
        <v>2090</v>
      </c>
      <c r="P1774" s="1" t="s">
        <v>2078</v>
      </c>
      <c r="Q1774" s="1" t="str">
        <f>TEXT((Data[[#This Row],[Order_Date]]), "mmm")</f>
        <v>Apr</v>
      </c>
    </row>
    <row r="1775" spans="4:17" x14ac:dyDescent="0.3">
      <c r="D1775" s="1" t="s">
        <v>1837</v>
      </c>
      <c r="E1775" s="2">
        <v>45611</v>
      </c>
      <c r="F1775" s="2">
        <v>45613</v>
      </c>
      <c r="G1775" s="1" t="s">
        <v>31</v>
      </c>
      <c r="H1775" s="1" t="s">
        <v>17</v>
      </c>
      <c r="I1775" s="1" t="s">
        <v>27</v>
      </c>
      <c r="J1775" s="1" t="s">
        <v>28</v>
      </c>
      <c r="K1775" s="3">
        <v>1049.57</v>
      </c>
      <c r="L1775" s="1">
        <v>3</v>
      </c>
      <c r="M1775" s="1" t="s">
        <v>20</v>
      </c>
      <c r="N1775" s="3">
        <v>-133.66</v>
      </c>
      <c r="O1775" s="1" t="s">
        <v>2101</v>
      </c>
      <c r="P1775" s="1" t="s">
        <v>2071</v>
      </c>
      <c r="Q1775" s="1" t="str">
        <f>TEXT((Data[[#This Row],[Order_Date]]), "mmm")</f>
        <v>Nov</v>
      </c>
    </row>
    <row r="1776" spans="4:17" x14ac:dyDescent="0.3">
      <c r="D1776" s="1" t="s">
        <v>1838</v>
      </c>
      <c r="E1776" s="2">
        <v>45472</v>
      </c>
      <c r="F1776" s="2">
        <v>45478</v>
      </c>
      <c r="G1776" s="1" t="s">
        <v>22</v>
      </c>
      <c r="H1776" s="1" t="s">
        <v>12</v>
      </c>
      <c r="I1776" s="1" t="s">
        <v>58</v>
      </c>
      <c r="J1776" s="1" t="s">
        <v>120</v>
      </c>
      <c r="K1776" s="3">
        <v>2006.02</v>
      </c>
      <c r="L1776" s="1">
        <v>10</v>
      </c>
      <c r="M1776" s="1" t="s">
        <v>44</v>
      </c>
      <c r="N1776" s="3">
        <v>684.55</v>
      </c>
      <c r="O1776" s="1" t="s">
        <v>2241</v>
      </c>
      <c r="P1776" s="1" t="s">
        <v>2071</v>
      </c>
      <c r="Q1776" s="1" t="str">
        <f>TEXT((Data[[#This Row],[Order_Date]]), "mmm")</f>
        <v>Jun</v>
      </c>
    </row>
    <row r="1777" spans="4:17" x14ac:dyDescent="0.3">
      <c r="D1777" s="1" t="s">
        <v>1839</v>
      </c>
      <c r="E1777" s="2">
        <v>45476</v>
      </c>
      <c r="F1777" s="2">
        <v>45483</v>
      </c>
      <c r="G1777" s="1" t="s">
        <v>36</v>
      </c>
      <c r="H1777" s="1" t="s">
        <v>12</v>
      </c>
      <c r="I1777" s="1" t="s">
        <v>58</v>
      </c>
      <c r="J1777" s="1" t="s">
        <v>105</v>
      </c>
      <c r="K1777" s="3">
        <v>3517.59</v>
      </c>
      <c r="L1777" s="1">
        <v>5</v>
      </c>
      <c r="M1777" s="1" t="s">
        <v>49</v>
      </c>
      <c r="N1777" s="3">
        <v>735.11</v>
      </c>
      <c r="O1777" s="1" t="s">
        <v>2203</v>
      </c>
      <c r="P1777" s="1" t="s">
        <v>2078</v>
      </c>
      <c r="Q1777" s="1" t="str">
        <f>TEXT((Data[[#This Row],[Order_Date]]), "mmm")</f>
        <v>Jul</v>
      </c>
    </row>
    <row r="1778" spans="4:17" x14ac:dyDescent="0.3">
      <c r="D1778" s="1" t="s">
        <v>1840</v>
      </c>
      <c r="E1778" s="2">
        <v>45431</v>
      </c>
      <c r="F1778" s="2">
        <v>45437</v>
      </c>
      <c r="G1778" s="1" t="s">
        <v>11</v>
      </c>
      <c r="H1778" s="1" t="s">
        <v>12</v>
      </c>
      <c r="I1778" s="1" t="s">
        <v>42</v>
      </c>
      <c r="J1778" s="1" t="s">
        <v>43</v>
      </c>
      <c r="K1778" s="3">
        <v>976.59</v>
      </c>
      <c r="L1778" s="1">
        <v>18</v>
      </c>
      <c r="M1778" s="1" t="s">
        <v>44</v>
      </c>
      <c r="N1778" s="3">
        <v>338.8</v>
      </c>
      <c r="O1778" s="1" t="s">
        <v>2209</v>
      </c>
      <c r="P1778" s="1" t="s">
        <v>2076</v>
      </c>
      <c r="Q1778" s="1" t="str">
        <f>TEXT((Data[[#This Row],[Order_Date]]), "mmm")</f>
        <v>May</v>
      </c>
    </row>
    <row r="1779" spans="4:17" x14ac:dyDescent="0.3">
      <c r="D1779" s="1" t="s">
        <v>1841</v>
      </c>
      <c r="E1779" s="2">
        <v>45445</v>
      </c>
      <c r="F1779" s="2">
        <v>45448</v>
      </c>
      <c r="G1779" s="1" t="s">
        <v>36</v>
      </c>
      <c r="H1779" s="1" t="s">
        <v>17</v>
      </c>
      <c r="I1779" s="1" t="s">
        <v>27</v>
      </c>
      <c r="J1779" s="1" t="s">
        <v>132</v>
      </c>
      <c r="K1779" s="3">
        <v>1684.84</v>
      </c>
      <c r="L1779" s="1">
        <v>10</v>
      </c>
      <c r="M1779" s="1" t="s">
        <v>49</v>
      </c>
      <c r="N1779" s="3">
        <v>546.73</v>
      </c>
      <c r="O1779" s="1" t="s">
        <v>2163</v>
      </c>
      <c r="P1779" s="1" t="s">
        <v>2071</v>
      </c>
      <c r="Q1779" s="1" t="str">
        <f>TEXT((Data[[#This Row],[Order_Date]]), "mmm")</f>
        <v>Jun</v>
      </c>
    </row>
    <row r="1780" spans="4:17" x14ac:dyDescent="0.3">
      <c r="D1780" s="1" t="s">
        <v>1842</v>
      </c>
      <c r="E1780" s="2">
        <v>45461</v>
      </c>
      <c r="F1780" s="2">
        <v>45466</v>
      </c>
      <c r="G1780" s="1" t="s">
        <v>11</v>
      </c>
      <c r="H1780" s="1" t="s">
        <v>23</v>
      </c>
      <c r="I1780" s="1" t="s">
        <v>65</v>
      </c>
      <c r="J1780" s="1" t="s">
        <v>114</v>
      </c>
      <c r="K1780" s="3">
        <v>2892.58</v>
      </c>
      <c r="L1780" s="1">
        <v>13</v>
      </c>
      <c r="M1780" s="1" t="s">
        <v>34</v>
      </c>
      <c r="N1780" s="3">
        <v>534.25</v>
      </c>
      <c r="O1780" s="1" t="s">
        <v>2147</v>
      </c>
      <c r="P1780" s="1" t="s">
        <v>2071</v>
      </c>
      <c r="Q1780" s="1" t="str">
        <f>TEXT((Data[[#This Row],[Order_Date]]), "mmm")</f>
        <v>Jun</v>
      </c>
    </row>
    <row r="1781" spans="4:17" x14ac:dyDescent="0.3">
      <c r="D1781" s="1" t="s">
        <v>1843</v>
      </c>
      <c r="E1781" s="2">
        <v>45332</v>
      </c>
      <c r="F1781" s="2">
        <v>45337</v>
      </c>
      <c r="G1781" s="1" t="s">
        <v>31</v>
      </c>
      <c r="H1781" s="1" t="s">
        <v>17</v>
      </c>
      <c r="I1781" s="1" t="s">
        <v>18</v>
      </c>
      <c r="J1781" s="1" t="s">
        <v>90</v>
      </c>
      <c r="K1781" s="3">
        <v>935.4</v>
      </c>
      <c r="L1781" s="1">
        <v>1</v>
      </c>
      <c r="M1781" s="1" t="s">
        <v>29</v>
      </c>
      <c r="N1781" s="3">
        <v>56.32</v>
      </c>
      <c r="O1781" s="1" t="s">
        <v>2216</v>
      </c>
      <c r="P1781" s="1" t="s">
        <v>2078</v>
      </c>
      <c r="Q1781" s="1" t="str">
        <f>TEXT((Data[[#This Row],[Order_Date]]), "mmm")</f>
        <v>Feb</v>
      </c>
    </row>
    <row r="1782" spans="4:17" x14ac:dyDescent="0.3">
      <c r="D1782" s="1" t="s">
        <v>1844</v>
      </c>
      <c r="E1782" s="2">
        <v>45458</v>
      </c>
      <c r="F1782" s="2">
        <v>45459</v>
      </c>
      <c r="G1782" s="1" t="s">
        <v>11</v>
      </c>
      <c r="H1782" s="1" t="s">
        <v>23</v>
      </c>
      <c r="I1782" s="1" t="s">
        <v>24</v>
      </c>
      <c r="J1782" s="1" t="s">
        <v>150</v>
      </c>
      <c r="K1782" s="3">
        <v>353.34</v>
      </c>
      <c r="L1782" s="1">
        <v>20</v>
      </c>
      <c r="M1782" s="1" t="s">
        <v>20</v>
      </c>
      <c r="N1782" s="3">
        <v>-111.95</v>
      </c>
      <c r="O1782" s="1" t="s">
        <v>2256</v>
      </c>
      <c r="P1782" s="1" t="s">
        <v>2078</v>
      </c>
      <c r="Q1782" s="1" t="str">
        <f>TEXT((Data[[#This Row],[Order_Date]]), "mmm")</f>
        <v>Jun</v>
      </c>
    </row>
    <row r="1783" spans="4:17" x14ac:dyDescent="0.3">
      <c r="D1783" s="1" t="s">
        <v>1845</v>
      </c>
      <c r="E1783" s="2">
        <v>45334</v>
      </c>
      <c r="F1783" s="2">
        <v>45335</v>
      </c>
      <c r="G1783" s="1" t="s">
        <v>31</v>
      </c>
      <c r="H1783" s="1" t="s">
        <v>12</v>
      </c>
      <c r="I1783" s="1" t="s">
        <v>42</v>
      </c>
      <c r="J1783" s="1" t="s">
        <v>48</v>
      </c>
      <c r="K1783" s="3">
        <v>2503.85</v>
      </c>
      <c r="L1783" s="1">
        <v>1</v>
      </c>
      <c r="M1783" s="1" t="s">
        <v>44</v>
      </c>
      <c r="N1783" s="3">
        <v>371.97</v>
      </c>
      <c r="O1783" s="1" t="s">
        <v>2108</v>
      </c>
      <c r="P1783" s="1" t="s">
        <v>2071</v>
      </c>
      <c r="Q1783" s="1" t="str">
        <f>TEXT((Data[[#This Row],[Order_Date]]), "mmm")</f>
        <v>Feb</v>
      </c>
    </row>
    <row r="1784" spans="4:17" x14ac:dyDescent="0.3">
      <c r="D1784" s="1" t="s">
        <v>1846</v>
      </c>
      <c r="E1784" s="2">
        <v>45519</v>
      </c>
      <c r="F1784" s="2">
        <v>45525</v>
      </c>
      <c r="G1784" s="1" t="s">
        <v>11</v>
      </c>
      <c r="H1784" s="1" t="s">
        <v>12</v>
      </c>
      <c r="I1784" s="1" t="s">
        <v>58</v>
      </c>
      <c r="J1784" s="1" t="s">
        <v>120</v>
      </c>
      <c r="K1784" s="3">
        <v>2626.92</v>
      </c>
      <c r="L1784" s="1">
        <v>13</v>
      </c>
      <c r="M1784" s="1" t="s">
        <v>15</v>
      </c>
      <c r="N1784" s="3">
        <v>620.73</v>
      </c>
      <c r="O1784" s="1" t="s">
        <v>2119</v>
      </c>
      <c r="P1784" s="1" t="s">
        <v>2076</v>
      </c>
      <c r="Q1784" s="1" t="str">
        <f>TEXT((Data[[#This Row],[Order_Date]]), "mmm")</f>
        <v>Aug</v>
      </c>
    </row>
    <row r="1785" spans="4:17" x14ac:dyDescent="0.3">
      <c r="D1785" s="1" t="s">
        <v>1847</v>
      </c>
      <c r="E1785" s="2">
        <v>45453</v>
      </c>
      <c r="F1785" s="2">
        <v>45457</v>
      </c>
      <c r="G1785" s="1" t="s">
        <v>11</v>
      </c>
      <c r="H1785" s="1" t="s">
        <v>12</v>
      </c>
      <c r="I1785" s="1" t="s">
        <v>58</v>
      </c>
      <c r="J1785" s="1" t="s">
        <v>120</v>
      </c>
      <c r="K1785" s="3">
        <v>3598.63</v>
      </c>
      <c r="L1785" s="1">
        <v>5</v>
      </c>
      <c r="M1785" s="1" t="s">
        <v>44</v>
      </c>
      <c r="N1785" s="3">
        <v>652.51</v>
      </c>
      <c r="O1785" s="1" t="s">
        <v>2267</v>
      </c>
      <c r="P1785" s="1" t="s">
        <v>2071</v>
      </c>
      <c r="Q1785" s="1" t="str">
        <f>TEXT((Data[[#This Row],[Order_Date]]), "mmm")</f>
        <v>Jun</v>
      </c>
    </row>
    <row r="1786" spans="4:17" x14ac:dyDescent="0.3">
      <c r="D1786" s="1" t="s">
        <v>1848</v>
      </c>
      <c r="E1786" s="2">
        <v>45581</v>
      </c>
      <c r="F1786" s="2">
        <v>45586</v>
      </c>
      <c r="G1786" s="1" t="s">
        <v>11</v>
      </c>
      <c r="H1786" s="1" t="s">
        <v>17</v>
      </c>
      <c r="I1786" s="1" t="s">
        <v>18</v>
      </c>
      <c r="J1786" s="1" t="s">
        <v>54</v>
      </c>
      <c r="K1786" s="3">
        <v>3098.3</v>
      </c>
      <c r="L1786" s="1">
        <v>2</v>
      </c>
      <c r="M1786" s="1" t="s">
        <v>20</v>
      </c>
      <c r="N1786" s="3">
        <v>451.89</v>
      </c>
      <c r="O1786" s="1" t="s">
        <v>2193</v>
      </c>
      <c r="P1786" s="1" t="s">
        <v>2071</v>
      </c>
      <c r="Q1786" s="1" t="str">
        <f>TEXT((Data[[#This Row],[Order_Date]]), "mmm")</f>
        <v>Oct</v>
      </c>
    </row>
    <row r="1787" spans="4:17" x14ac:dyDescent="0.3">
      <c r="D1787" s="1" t="s">
        <v>1849</v>
      </c>
      <c r="E1787" s="2">
        <v>45385</v>
      </c>
      <c r="F1787" s="2">
        <v>45390</v>
      </c>
      <c r="G1787" s="1" t="s">
        <v>36</v>
      </c>
      <c r="H1787" s="1" t="s">
        <v>23</v>
      </c>
      <c r="I1787" s="1" t="s">
        <v>24</v>
      </c>
      <c r="J1787" s="1" t="s">
        <v>25</v>
      </c>
      <c r="K1787" s="3">
        <v>1892.73</v>
      </c>
      <c r="L1787" s="1">
        <v>2</v>
      </c>
      <c r="M1787" s="1" t="s">
        <v>49</v>
      </c>
      <c r="N1787" s="3">
        <v>151.36000000000001</v>
      </c>
      <c r="O1787" s="1" t="s">
        <v>2153</v>
      </c>
      <c r="P1787" s="1" t="s">
        <v>2078</v>
      </c>
      <c r="Q1787" s="1" t="str">
        <f>TEXT((Data[[#This Row],[Order_Date]]), "mmm")</f>
        <v>Apr</v>
      </c>
    </row>
    <row r="1788" spans="4:17" x14ac:dyDescent="0.3">
      <c r="D1788" s="1" t="s">
        <v>1850</v>
      </c>
      <c r="E1788" s="2">
        <v>45389</v>
      </c>
      <c r="F1788" s="2">
        <v>45391</v>
      </c>
      <c r="G1788" s="1" t="s">
        <v>31</v>
      </c>
      <c r="H1788" s="1" t="s">
        <v>12</v>
      </c>
      <c r="I1788" s="1" t="s">
        <v>38</v>
      </c>
      <c r="J1788" s="1" t="s">
        <v>85</v>
      </c>
      <c r="K1788" s="3">
        <v>2906.11</v>
      </c>
      <c r="L1788" s="1">
        <v>19</v>
      </c>
      <c r="M1788" s="1" t="s">
        <v>15</v>
      </c>
      <c r="N1788" s="3">
        <v>-464.53</v>
      </c>
      <c r="O1788" s="1" t="s">
        <v>2140</v>
      </c>
      <c r="P1788" s="1" t="s">
        <v>2076</v>
      </c>
      <c r="Q1788" s="1" t="str">
        <f>TEXT((Data[[#This Row],[Order_Date]]), "mmm")</f>
        <v>Apr</v>
      </c>
    </row>
    <row r="1789" spans="4:17" x14ac:dyDescent="0.3">
      <c r="D1789" s="1" t="s">
        <v>1851</v>
      </c>
      <c r="E1789" s="2">
        <v>45410</v>
      </c>
      <c r="F1789" s="2">
        <v>45411</v>
      </c>
      <c r="G1789" s="1" t="s">
        <v>11</v>
      </c>
      <c r="H1789" s="1" t="s">
        <v>17</v>
      </c>
      <c r="I1789" s="1" t="s">
        <v>27</v>
      </c>
      <c r="J1789" s="1" t="s">
        <v>110</v>
      </c>
      <c r="K1789" s="3">
        <v>3840.22</v>
      </c>
      <c r="L1789" s="1">
        <v>20</v>
      </c>
      <c r="M1789" s="1" t="s">
        <v>44</v>
      </c>
      <c r="N1789" s="3">
        <v>1309.32</v>
      </c>
      <c r="O1789" s="1" t="s">
        <v>2092</v>
      </c>
      <c r="P1789" s="1" t="s">
        <v>2078</v>
      </c>
      <c r="Q1789" s="1" t="str">
        <f>TEXT((Data[[#This Row],[Order_Date]]), "mmm")</f>
        <v>Apr</v>
      </c>
    </row>
    <row r="1790" spans="4:17" x14ac:dyDescent="0.3">
      <c r="D1790" s="1" t="s">
        <v>1852</v>
      </c>
      <c r="E1790" s="2">
        <v>45298</v>
      </c>
      <c r="F1790" s="2">
        <v>45301</v>
      </c>
      <c r="G1790" s="1" t="s">
        <v>11</v>
      </c>
      <c r="H1790" s="1" t="s">
        <v>17</v>
      </c>
      <c r="I1790" s="1" t="s">
        <v>27</v>
      </c>
      <c r="J1790" s="1" t="s">
        <v>110</v>
      </c>
      <c r="K1790" s="3">
        <v>722.71</v>
      </c>
      <c r="L1790" s="1">
        <v>2</v>
      </c>
      <c r="M1790" s="1" t="s">
        <v>44</v>
      </c>
      <c r="N1790" s="3">
        <v>129.02000000000001</v>
      </c>
      <c r="O1790" s="1" t="s">
        <v>2227</v>
      </c>
      <c r="P1790" s="1" t="s">
        <v>2076</v>
      </c>
      <c r="Q1790" s="1" t="str">
        <f>TEXT((Data[[#This Row],[Order_Date]]), "mmm")</f>
        <v>Jan</v>
      </c>
    </row>
    <row r="1791" spans="4:17" x14ac:dyDescent="0.3">
      <c r="D1791" s="1" t="s">
        <v>1853</v>
      </c>
      <c r="E1791" s="2">
        <v>45649</v>
      </c>
      <c r="F1791" s="2">
        <v>45653</v>
      </c>
      <c r="G1791" s="1" t="s">
        <v>11</v>
      </c>
      <c r="H1791" s="1" t="s">
        <v>17</v>
      </c>
      <c r="I1791" s="1" t="s">
        <v>32</v>
      </c>
      <c r="J1791" s="1" t="s">
        <v>33</v>
      </c>
      <c r="K1791" s="3">
        <v>2600.73</v>
      </c>
      <c r="L1791" s="1">
        <v>4</v>
      </c>
      <c r="M1791" s="1" t="s">
        <v>44</v>
      </c>
      <c r="N1791" s="3">
        <v>902.83</v>
      </c>
      <c r="O1791" s="1" t="s">
        <v>2177</v>
      </c>
      <c r="P1791" s="1" t="s">
        <v>2078</v>
      </c>
      <c r="Q1791" s="1" t="str">
        <f>TEXT((Data[[#This Row],[Order_Date]]), "mmm")</f>
        <v>Dec</v>
      </c>
    </row>
    <row r="1792" spans="4:17" x14ac:dyDescent="0.3">
      <c r="D1792" s="1" t="s">
        <v>1854</v>
      </c>
      <c r="E1792" s="2">
        <v>45607</v>
      </c>
      <c r="F1792" s="2">
        <v>45609</v>
      </c>
      <c r="G1792" s="1" t="s">
        <v>36</v>
      </c>
      <c r="H1792" s="1" t="s">
        <v>23</v>
      </c>
      <c r="I1792" s="1" t="s">
        <v>78</v>
      </c>
      <c r="J1792" s="1" t="s">
        <v>79</v>
      </c>
      <c r="K1792" s="3">
        <v>2822.59</v>
      </c>
      <c r="L1792" s="1">
        <v>11</v>
      </c>
      <c r="M1792" s="1" t="s">
        <v>44</v>
      </c>
      <c r="N1792" s="3">
        <v>179.83</v>
      </c>
      <c r="O1792" s="1" t="s">
        <v>2106</v>
      </c>
      <c r="P1792" s="1" t="s">
        <v>2078</v>
      </c>
      <c r="Q1792" s="1" t="str">
        <f>TEXT((Data[[#This Row],[Order_Date]]), "mmm")</f>
        <v>Nov</v>
      </c>
    </row>
    <row r="1793" spans="4:17" x14ac:dyDescent="0.3">
      <c r="D1793" s="1" t="s">
        <v>1855</v>
      </c>
      <c r="E1793" s="2">
        <v>45309</v>
      </c>
      <c r="F1793" s="2">
        <v>45309</v>
      </c>
      <c r="G1793" s="1" t="s">
        <v>31</v>
      </c>
      <c r="H1793" s="1" t="s">
        <v>23</v>
      </c>
      <c r="I1793" s="1" t="s">
        <v>61</v>
      </c>
      <c r="J1793" s="1" t="s">
        <v>62</v>
      </c>
      <c r="K1793" s="3">
        <v>322.08</v>
      </c>
      <c r="L1793" s="1">
        <v>19</v>
      </c>
      <c r="M1793" s="1" t="s">
        <v>49</v>
      </c>
      <c r="N1793" s="3">
        <v>107.21</v>
      </c>
      <c r="O1793" s="1" t="s">
        <v>2167</v>
      </c>
      <c r="P1793" s="1" t="s">
        <v>2076</v>
      </c>
      <c r="Q1793" s="1" t="str">
        <f>TEXT((Data[[#This Row],[Order_Date]]), "mmm")</f>
        <v>Jan</v>
      </c>
    </row>
    <row r="1794" spans="4:17" x14ac:dyDescent="0.3">
      <c r="D1794" s="1" t="s">
        <v>1856</v>
      </c>
      <c r="E1794" s="2">
        <v>45572</v>
      </c>
      <c r="F1794" s="2">
        <v>45572</v>
      </c>
      <c r="G1794" s="1" t="s">
        <v>11</v>
      </c>
      <c r="H1794" s="1" t="s">
        <v>12</v>
      </c>
      <c r="I1794" s="1" t="s">
        <v>42</v>
      </c>
      <c r="J1794" s="1" t="s">
        <v>43</v>
      </c>
      <c r="K1794" s="3">
        <v>2040.63</v>
      </c>
      <c r="L1794" s="1">
        <v>2</v>
      </c>
      <c r="M1794" s="1" t="s">
        <v>15</v>
      </c>
      <c r="N1794" s="3">
        <v>650.21</v>
      </c>
      <c r="O1794" s="1" t="s">
        <v>2075</v>
      </c>
      <c r="P1794" s="1" t="s">
        <v>2076</v>
      </c>
      <c r="Q1794" s="1" t="str">
        <f>TEXT((Data[[#This Row],[Order_Date]]), "mmm")</f>
        <v>Oct</v>
      </c>
    </row>
    <row r="1795" spans="4:17" x14ac:dyDescent="0.3">
      <c r="D1795" s="1" t="s">
        <v>1857</v>
      </c>
      <c r="E1795" s="2">
        <v>45548</v>
      </c>
      <c r="F1795" s="2">
        <v>45552</v>
      </c>
      <c r="G1795" s="1" t="s">
        <v>22</v>
      </c>
      <c r="H1795" s="1" t="s">
        <v>12</v>
      </c>
      <c r="I1795" s="1" t="s">
        <v>58</v>
      </c>
      <c r="J1795" s="1" t="s">
        <v>59</v>
      </c>
      <c r="K1795" s="3">
        <v>976.92</v>
      </c>
      <c r="L1795" s="1">
        <v>10</v>
      </c>
      <c r="M1795" s="1" t="s">
        <v>34</v>
      </c>
      <c r="N1795" s="3">
        <v>219.14</v>
      </c>
      <c r="O1795" s="1" t="s">
        <v>2070</v>
      </c>
      <c r="P1795" s="1" t="s">
        <v>2071</v>
      </c>
      <c r="Q1795" s="1" t="str">
        <f>TEXT((Data[[#This Row],[Order_Date]]), "mmm")</f>
        <v>Sep</v>
      </c>
    </row>
    <row r="1796" spans="4:17" x14ac:dyDescent="0.3">
      <c r="D1796" s="1" t="s">
        <v>1858</v>
      </c>
      <c r="E1796" s="2">
        <v>45483</v>
      </c>
      <c r="F1796" s="2">
        <v>45486</v>
      </c>
      <c r="G1796" s="1" t="s">
        <v>11</v>
      </c>
      <c r="H1796" s="1" t="s">
        <v>17</v>
      </c>
      <c r="I1796" s="1" t="s">
        <v>27</v>
      </c>
      <c r="J1796" s="1" t="s">
        <v>108</v>
      </c>
      <c r="K1796" s="3">
        <v>1969.29</v>
      </c>
      <c r="L1796" s="1">
        <v>6</v>
      </c>
      <c r="M1796" s="1" t="s">
        <v>34</v>
      </c>
      <c r="N1796" s="3">
        <v>292.3</v>
      </c>
      <c r="O1796" s="1" t="s">
        <v>2211</v>
      </c>
      <c r="P1796" s="1" t="s">
        <v>2076</v>
      </c>
      <c r="Q1796" s="1" t="str">
        <f>TEXT((Data[[#This Row],[Order_Date]]), "mmm")</f>
        <v>Jul</v>
      </c>
    </row>
    <row r="1797" spans="4:17" x14ac:dyDescent="0.3">
      <c r="D1797" s="1" t="s">
        <v>1859</v>
      </c>
      <c r="E1797" s="2">
        <v>45616</v>
      </c>
      <c r="F1797" s="2">
        <v>45621</v>
      </c>
      <c r="G1797" s="1" t="s">
        <v>11</v>
      </c>
      <c r="H1797" s="1" t="s">
        <v>17</v>
      </c>
      <c r="I1797" s="1" t="s">
        <v>27</v>
      </c>
      <c r="J1797" s="1" t="s">
        <v>132</v>
      </c>
      <c r="K1797" s="3">
        <v>3945.13</v>
      </c>
      <c r="L1797" s="1">
        <v>11</v>
      </c>
      <c r="M1797" s="1" t="s">
        <v>34</v>
      </c>
      <c r="N1797" s="3">
        <v>351.13</v>
      </c>
      <c r="O1797" s="1" t="s">
        <v>2275</v>
      </c>
      <c r="P1797" s="1" t="s">
        <v>2071</v>
      </c>
      <c r="Q1797" s="1" t="str">
        <f>TEXT((Data[[#This Row],[Order_Date]]), "mmm")</f>
        <v>Nov</v>
      </c>
    </row>
    <row r="1798" spans="4:17" x14ac:dyDescent="0.3">
      <c r="D1798" s="1" t="s">
        <v>1860</v>
      </c>
      <c r="E1798" s="2">
        <v>45438</v>
      </c>
      <c r="F1798" s="2">
        <v>45439</v>
      </c>
      <c r="G1798" s="1" t="s">
        <v>31</v>
      </c>
      <c r="H1798" s="1" t="s">
        <v>12</v>
      </c>
      <c r="I1798" s="1" t="s">
        <v>13</v>
      </c>
      <c r="J1798" s="1" t="s">
        <v>14</v>
      </c>
      <c r="K1798" s="3">
        <v>2432.92</v>
      </c>
      <c r="L1798" s="1">
        <v>6</v>
      </c>
      <c r="M1798" s="1" t="s">
        <v>15</v>
      </c>
      <c r="N1798" s="3">
        <v>812.86</v>
      </c>
      <c r="O1798" s="1" t="s">
        <v>2176</v>
      </c>
      <c r="P1798" s="1" t="s">
        <v>2076</v>
      </c>
      <c r="Q1798" s="1" t="str">
        <f>TEXT((Data[[#This Row],[Order_Date]]), "mmm")</f>
        <v>May</v>
      </c>
    </row>
    <row r="1799" spans="4:17" x14ac:dyDescent="0.3">
      <c r="D1799" s="1" t="s">
        <v>1861</v>
      </c>
      <c r="E1799" s="2">
        <v>45368</v>
      </c>
      <c r="F1799" s="2">
        <v>45371</v>
      </c>
      <c r="G1799" s="1" t="s">
        <v>22</v>
      </c>
      <c r="H1799" s="1" t="s">
        <v>23</v>
      </c>
      <c r="I1799" s="1" t="s">
        <v>24</v>
      </c>
      <c r="J1799" s="1" t="s">
        <v>25</v>
      </c>
      <c r="K1799" s="3">
        <v>511.54</v>
      </c>
      <c r="L1799" s="1">
        <v>2</v>
      </c>
      <c r="M1799" s="1" t="s">
        <v>29</v>
      </c>
      <c r="N1799" s="3">
        <v>31.69</v>
      </c>
      <c r="O1799" s="1" t="s">
        <v>2249</v>
      </c>
      <c r="P1799" s="1" t="s">
        <v>2076</v>
      </c>
      <c r="Q1799" s="1" t="str">
        <f>TEXT((Data[[#This Row],[Order_Date]]), "mmm")</f>
        <v>Mar</v>
      </c>
    </row>
    <row r="1800" spans="4:17" x14ac:dyDescent="0.3">
      <c r="D1800" s="1" t="s">
        <v>1862</v>
      </c>
      <c r="E1800" s="2">
        <v>45507</v>
      </c>
      <c r="F1800" s="2">
        <v>45507</v>
      </c>
      <c r="G1800" s="1" t="s">
        <v>36</v>
      </c>
      <c r="H1800" s="1" t="s">
        <v>17</v>
      </c>
      <c r="I1800" s="1" t="s">
        <v>18</v>
      </c>
      <c r="J1800" s="1" t="s">
        <v>90</v>
      </c>
      <c r="K1800" s="3">
        <v>3116.15</v>
      </c>
      <c r="L1800" s="1">
        <v>18</v>
      </c>
      <c r="M1800" s="1" t="s">
        <v>29</v>
      </c>
      <c r="N1800" s="3">
        <v>1009.81</v>
      </c>
      <c r="O1800" s="1" t="s">
        <v>2081</v>
      </c>
      <c r="P1800" s="1" t="s">
        <v>2071</v>
      </c>
      <c r="Q1800" s="1" t="str">
        <f>TEXT((Data[[#This Row],[Order_Date]]), "mmm")</f>
        <v>Aug</v>
      </c>
    </row>
    <row r="1801" spans="4:17" x14ac:dyDescent="0.3">
      <c r="D1801" s="1" t="s">
        <v>1863</v>
      </c>
      <c r="E1801" s="2">
        <v>45416</v>
      </c>
      <c r="F1801" s="2">
        <v>45416</v>
      </c>
      <c r="G1801" s="1" t="s">
        <v>22</v>
      </c>
      <c r="H1801" s="1" t="s">
        <v>17</v>
      </c>
      <c r="I1801" s="1" t="s">
        <v>18</v>
      </c>
      <c r="J1801" s="1" t="s">
        <v>54</v>
      </c>
      <c r="K1801" s="3">
        <v>1722.18</v>
      </c>
      <c r="L1801" s="1">
        <v>8</v>
      </c>
      <c r="M1801" s="1" t="s">
        <v>44</v>
      </c>
      <c r="N1801" s="3">
        <v>-404.51</v>
      </c>
      <c r="O1801" s="1" t="s">
        <v>2178</v>
      </c>
      <c r="P1801" s="1" t="s">
        <v>2078</v>
      </c>
      <c r="Q1801" s="1" t="str">
        <f>TEXT((Data[[#This Row],[Order_Date]]), "mmm")</f>
        <v>May</v>
      </c>
    </row>
    <row r="1802" spans="4:17" x14ac:dyDescent="0.3">
      <c r="D1802" s="1" t="s">
        <v>1864</v>
      </c>
      <c r="E1802" s="2">
        <v>45639</v>
      </c>
      <c r="F1802" s="2">
        <v>45644</v>
      </c>
      <c r="G1802" s="1" t="s">
        <v>31</v>
      </c>
      <c r="H1802" s="1" t="s">
        <v>23</v>
      </c>
      <c r="I1802" s="1" t="s">
        <v>65</v>
      </c>
      <c r="J1802" s="1" t="s">
        <v>114</v>
      </c>
      <c r="K1802" s="3">
        <v>3464.54</v>
      </c>
      <c r="L1802" s="1">
        <v>6</v>
      </c>
      <c r="M1802" s="1" t="s">
        <v>20</v>
      </c>
      <c r="N1802" s="3">
        <v>350.95</v>
      </c>
      <c r="O1802" s="1" t="s">
        <v>2228</v>
      </c>
      <c r="P1802" s="1" t="s">
        <v>2071</v>
      </c>
      <c r="Q1802" s="1" t="str">
        <f>TEXT((Data[[#This Row],[Order_Date]]), "mmm")</f>
        <v>Dec</v>
      </c>
    </row>
    <row r="1803" spans="4:17" x14ac:dyDescent="0.3">
      <c r="D1803" s="1" t="s">
        <v>1865</v>
      </c>
      <c r="E1803" s="2">
        <v>45508</v>
      </c>
      <c r="F1803" s="2">
        <v>45512</v>
      </c>
      <c r="G1803" s="1" t="s">
        <v>22</v>
      </c>
      <c r="H1803" s="1" t="s">
        <v>23</v>
      </c>
      <c r="I1803" s="1" t="s">
        <v>61</v>
      </c>
      <c r="J1803" s="1" t="s">
        <v>76</v>
      </c>
      <c r="K1803" s="3">
        <v>3824.69</v>
      </c>
      <c r="L1803" s="1">
        <v>8</v>
      </c>
      <c r="M1803" s="1" t="s">
        <v>49</v>
      </c>
      <c r="N1803" s="3">
        <v>961.19</v>
      </c>
      <c r="O1803" s="1" t="s">
        <v>2091</v>
      </c>
      <c r="P1803" s="1" t="s">
        <v>2071</v>
      </c>
      <c r="Q1803" s="1" t="str">
        <f>TEXT((Data[[#This Row],[Order_Date]]), "mmm")</f>
        <v>Aug</v>
      </c>
    </row>
    <row r="1804" spans="4:17" x14ac:dyDescent="0.3">
      <c r="D1804" s="1" t="s">
        <v>1866</v>
      </c>
      <c r="E1804" s="2">
        <v>45296</v>
      </c>
      <c r="F1804" s="2">
        <v>45298</v>
      </c>
      <c r="G1804" s="1" t="s">
        <v>31</v>
      </c>
      <c r="H1804" s="1" t="s">
        <v>23</v>
      </c>
      <c r="I1804" s="1" t="s">
        <v>24</v>
      </c>
      <c r="J1804" s="1" t="s">
        <v>150</v>
      </c>
      <c r="K1804" s="3">
        <v>949.52</v>
      </c>
      <c r="L1804" s="1">
        <v>9</v>
      </c>
      <c r="M1804" s="1" t="s">
        <v>49</v>
      </c>
      <c r="N1804" s="3">
        <v>327.58</v>
      </c>
      <c r="O1804" s="1" t="s">
        <v>2192</v>
      </c>
      <c r="P1804" s="1" t="s">
        <v>2071</v>
      </c>
      <c r="Q1804" s="1" t="str">
        <f>TEXT((Data[[#This Row],[Order_Date]]), "mmm")</f>
        <v>Jan</v>
      </c>
    </row>
    <row r="1805" spans="4:17" x14ac:dyDescent="0.3">
      <c r="D1805" s="1" t="s">
        <v>1867</v>
      </c>
      <c r="E1805" s="2">
        <v>45647</v>
      </c>
      <c r="F1805" s="2">
        <v>45649</v>
      </c>
      <c r="G1805" s="1" t="s">
        <v>11</v>
      </c>
      <c r="H1805" s="1" t="s">
        <v>23</v>
      </c>
      <c r="I1805" s="1" t="s">
        <v>61</v>
      </c>
      <c r="J1805" s="1" t="s">
        <v>76</v>
      </c>
      <c r="K1805" s="3">
        <v>3254.32</v>
      </c>
      <c r="L1805" s="1">
        <v>6</v>
      </c>
      <c r="M1805" s="1" t="s">
        <v>44</v>
      </c>
      <c r="N1805" s="3">
        <v>859.49</v>
      </c>
      <c r="O1805" s="1" t="s">
        <v>2291</v>
      </c>
      <c r="P1805" s="1" t="s">
        <v>2078</v>
      </c>
      <c r="Q1805" s="1" t="str">
        <f>TEXT((Data[[#This Row],[Order_Date]]), "mmm")</f>
        <v>Dec</v>
      </c>
    </row>
    <row r="1806" spans="4:17" x14ac:dyDescent="0.3">
      <c r="D1806" s="1" t="s">
        <v>1868</v>
      </c>
      <c r="E1806" s="2">
        <v>45384</v>
      </c>
      <c r="F1806" s="2">
        <v>45387</v>
      </c>
      <c r="G1806" s="1" t="s">
        <v>31</v>
      </c>
      <c r="H1806" s="1" t="s">
        <v>12</v>
      </c>
      <c r="I1806" s="1" t="s">
        <v>58</v>
      </c>
      <c r="J1806" s="1" t="s">
        <v>120</v>
      </c>
      <c r="K1806" s="3">
        <v>2676.38</v>
      </c>
      <c r="L1806" s="1">
        <v>20</v>
      </c>
      <c r="M1806" s="1" t="s">
        <v>15</v>
      </c>
      <c r="N1806" s="3">
        <v>-663.95</v>
      </c>
      <c r="O1806" s="1" t="s">
        <v>2183</v>
      </c>
      <c r="P1806" s="1" t="s">
        <v>2076</v>
      </c>
      <c r="Q1806" s="1" t="str">
        <f>TEXT((Data[[#This Row],[Order_Date]]), "mmm")</f>
        <v>Apr</v>
      </c>
    </row>
    <row r="1807" spans="4:17" x14ac:dyDescent="0.3">
      <c r="D1807" s="1" t="s">
        <v>1869</v>
      </c>
      <c r="E1807" s="2">
        <v>45560</v>
      </c>
      <c r="F1807" s="2">
        <v>45561</v>
      </c>
      <c r="G1807" s="1" t="s">
        <v>31</v>
      </c>
      <c r="H1807" s="1" t="s">
        <v>12</v>
      </c>
      <c r="I1807" s="1" t="s">
        <v>38</v>
      </c>
      <c r="J1807" s="1" t="s">
        <v>39</v>
      </c>
      <c r="K1807" s="3">
        <v>1622.66</v>
      </c>
      <c r="L1807" s="1">
        <v>4</v>
      </c>
      <c r="M1807" s="1" t="s">
        <v>49</v>
      </c>
      <c r="N1807" s="3">
        <v>-132.94</v>
      </c>
      <c r="O1807" s="1" t="s">
        <v>2307</v>
      </c>
      <c r="P1807" s="1" t="s">
        <v>2078</v>
      </c>
      <c r="Q1807" s="1" t="str">
        <f>TEXT((Data[[#This Row],[Order_Date]]), "mmm")</f>
        <v>Sep</v>
      </c>
    </row>
    <row r="1808" spans="4:17" x14ac:dyDescent="0.3">
      <c r="D1808" s="1" t="s">
        <v>1870</v>
      </c>
      <c r="E1808" s="2">
        <v>45515</v>
      </c>
      <c r="F1808" s="2">
        <v>45518</v>
      </c>
      <c r="G1808" s="1" t="s">
        <v>36</v>
      </c>
      <c r="H1808" s="1" t="s">
        <v>23</v>
      </c>
      <c r="I1808" s="1" t="s">
        <v>61</v>
      </c>
      <c r="J1808" s="1" t="s">
        <v>62</v>
      </c>
      <c r="K1808" s="3">
        <v>2457.0300000000002</v>
      </c>
      <c r="L1808" s="1">
        <v>11</v>
      </c>
      <c r="M1808" s="1" t="s">
        <v>29</v>
      </c>
      <c r="N1808" s="3">
        <v>675.41</v>
      </c>
      <c r="O1808" s="1" t="s">
        <v>2242</v>
      </c>
      <c r="P1808" s="1" t="s">
        <v>2078</v>
      </c>
      <c r="Q1808" s="1" t="str">
        <f>TEXT((Data[[#This Row],[Order_Date]]), "mmm")</f>
        <v>Aug</v>
      </c>
    </row>
    <row r="1809" spans="4:17" x14ac:dyDescent="0.3">
      <c r="D1809" s="1" t="s">
        <v>1871</v>
      </c>
      <c r="E1809" s="2">
        <v>45532</v>
      </c>
      <c r="F1809" s="2">
        <v>45534</v>
      </c>
      <c r="G1809" s="1" t="s">
        <v>11</v>
      </c>
      <c r="H1809" s="1" t="s">
        <v>23</v>
      </c>
      <c r="I1809" s="1" t="s">
        <v>61</v>
      </c>
      <c r="J1809" s="1" t="s">
        <v>62</v>
      </c>
      <c r="K1809" s="3">
        <v>438.79</v>
      </c>
      <c r="L1809" s="1">
        <v>11</v>
      </c>
      <c r="M1809" s="1" t="s">
        <v>44</v>
      </c>
      <c r="N1809" s="3">
        <v>84.96</v>
      </c>
      <c r="O1809" s="1" t="s">
        <v>2103</v>
      </c>
      <c r="P1809" s="1" t="s">
        <v>2071</v>
      </c>
      <c r="Q1809" s="1" t="str">
        <f>TEXT((Data[[#This Row],[Order_Date]]), "mmm")</f>
        <v>Aug</v>
      </c>
    </row>
    <row r="1810" spans="4:17" x14ac:dyDescent="0.3">
      <c r="D1810" s="1" t="s">
        <v>1872</v>
      </c>
      <c r="E1810" s="2">
        <v>45650</v>
      </c>
      <c r="F1810" s="2">
        <v>45653</v>
      </c>
      <c r="G1810" s="1" t="s">
        <v>11</v>
      </c>
      <c r="H1810" s="1" t="s">
        <v>12</v>
      </c>
      <c r="I1810" s="1" t="s">
        <v>42</v>
      </c>
      <c r="J1810" s="1" t="s">
        <v>72</v>
      </c>
      <c r="K1810" s="3">
        <v>2156.9499999999998</v>
      </c>
      <c r="L1810" s="1">
        <v>19</v>
      </c>
      <c r="M1810" s="1" t="s">
        <v>49</v>
      </c>
      <c r="N1810" s="3">
        <v>689.72</v>
      </c>
      <c r="O1810" s="1" t="s">
        <v>2180</v>
      </c>
      <c r="P1810" s="1" t="s">
        <v>2076</v>
      </c>
      <c r="Q1810" s="1" t="str">
        <f>TEXT((Data[[#This Row],[Order_Date]]), "mmm")</f>
        <v>Dec</v>
      </c>
    </row>
    <row r="1811" spans="4:17" x14ac:dyDescent="0.3">
      <c r="D1811" s="1" t="s">
        <v>1873</v>
      </c>
      <c r="E1811" s="2">
        <v>45433</v>
      </c>
      <c r="F1811" s="2">
        <v>45438</v>
      </c>
      <c r="G1811" s="1" t="s">
        <v>36</v>
      </c>
      <c r="H1811" s="1" t="s">
        <v>17</v>
      </c>
      <c r="I1811" s="1" t="s">
        <v>32</v>
      </c>
      <c r="J1811" s="1" t="s">
        <v>56</v>
      </c>
      <c r="K1811" s="3">
        <v>3982.86</v>
      </c>
      <c r="L1811" s="1">
        <v>5</v>
      </c>
      <c r="M1811" s="1" t="s">
        <v>44</v>
      </c>
      <c r="N1811" s="3">
        <v>1062.29</v>
      </c>
      <c r="O1811" s="1" t="s">
        <v>2074</v>
      </c>
      <c r="P1811" s="1" t="s">
        <v>2078</v>
      </c>
      <c r="Q1811" s="1" t="str">
        <f>TEXT((Data[[#This Row],[Order_Date]]), "mmm")</f>
        <v>May</v>
      </c>
    </row>
    <row r="1812" spans="4:17" x14ac:dyDescent="0.3">
      <c r="D1812" s="1" t="s">
        <v>1874</v>
      </c>
      <c r="E1812" s="2">
        <v>45292</v>
      </c>
      <c r="F1812" s="2">
        <v>45292</v>
      </c>
      <c r="G1812" s="1" t="s">
        <v>22</v>
      </c>
      <c r="H1812" s="1" t="s">
        <v>12</v>
      </c>
      <c r="I1812" s="1" t="s">
        <v>58</v>
      </c>
      <c r="J1812" s="1" t="s">
        <v>59</v>
      </c>
      <c r="K1812" s="3">
        <v>1354.55</v>
      </c>
      <c r="L1812" s="1">
        <v>5</v>
      </c>
      <c r="M1812" s="1" t="s">
        <v>15</v>
      </c>
      <c r="N1812" s="3">
        <v>444.27</v>
      </c>
      <c r="O1812" s="1" t="s">
        <v>2159</v>
      </c>
      <c r="P1812" s="1" t="s">
        <v>2071</v>
      </c>
      <c r="Q1812" s="1" t="str">
        <f>TEXT((Data[[#This Row],[Order_Date]]), "mmm")</f>
        <v>Jan</v>
      </c>
    </row>
    <row r="1813" spans="4:17" x14ac:dyDescent="0.3">
      <c r="D1813" s="1" t="s">
        <v>1875</v>
      </c>
      <c r="E1813" s="2">
        <v>45361</v>
      </c>
      <c r="F1813" s="2">
        <v>45363</v>
      </c>
      <c r="G1813" s="1" t="s">
        <v>11</v>
      </c>
      <c r="H1813" s="1" t="s">
        <v>23</v>
      </c>
      <c r="I1813" s="1" t="s">
        <v>61</v>
      </c>
      <c r="J1813" s="1" t="s">
        <v>98</v>
      </c>
      <c r="K1813" s="3">
        <v>1295.29</v>
      </c>
      <c r="L1813" s="1">
        <v>9</v>
      </c>
      <c r="M1813" s="1" t="s">
        <v>15</v>
      </c>
      <c r="N1813" s="3">
        <v>-146.91999999999999</v>
      </c>
      <c r="O1813" s="1" t="s">
        <v>2120</v>
      </c>
      <c r="P1813" s="1" t="s">
        <v>2071</v>
      </c>
      <c r="Q1813" s="1" t="str">
        <f>TEXT((Data[[#This Row],[Order_Date]]), "mmm")</f>
        <v>Mar</v>
      </c>
    </row>
    <row r="1814" spans="4:17" x14ac:dyDescent="0.3">
      <c r="D1814" s="1" t="s">
        <v>1876</v>
      </c>
      <c r="E1814" s="2">
        <v>45560</v>
      </c>
      <c r="F1814" s="2">
        <v>45561</v>
      </c>
      <c r="G1814" s="1" t="s">
        <v>11</v>
      </c>
      <c r="H1814" s="1" t="s">
        <v>23</v>
      </c>
      <c r="I1814" s="1" t="s">
        <v>24</v>
      </c>
      <c r="J1814" s="1" t="s">
        <v>150</v>
      </c>
      <c r="K1814" s="3">
        <v>2509.16</v>
      </c>
      <c r="L1814" s="1">
        <v>7</v>
      </c>
      <c r="M1814" s="1" t="s">
        <v>15</v>
      </c>
      <c r="N1814" s="3">
        <v>-133.13999999999999</v>
      </c>
      <c r="O1814" s="1" t="s">
        <v>2134</v>
      </c>
      <c r="P1814" s="1" t="s">
        <v>2078</v>
      </c>
      <c r="Q1814" s="1" t="str">
        <f>TEXT((Data[[#This Row],[Order_Date]]), "mmm")</f>
        <v>Sep</v>
      </c>
    </row>
    <row r="1815" spans="4:17" x14ac:dyDescent="0.3">
      <c r="D1815" s="1" t="s">
        <v>1877</v>
      </c>
      <c r="E1815" s="2">
        <v>45613</v>
      </c>
      <c r="F1815" s="2">
        <v>45613</v>
      </c>
      <c r="G1815" s="1" t="s">
        <v>22</v>
      </c>
      <c r="H1815" s="1" t="s">
        <v>17</v>
      </c>
      <c r="I1815" s="1" t="s">
        <v>32</v>
      </c>
      <c r="J1815" s="1" t="s">
        <v>56</v>
      </c>
      <c r="K1815" s="3">
        <v>3920.03</v>
      </c>
      <c r="L1815" s="1">
        <v>9</v>
      </c>
      <c r="M1815" s="1" t="s">
        <v>15</v>
      </c>
      <c r="N1815" s="3">
        <v>1014.36</v>
      </c>
      <c r="O1815" s="1" t="s">
        <v>2241</v>
      </c>
      <c r="P1815" s="1" t="s">
        <v>2076</v>
      </c>
      <c r="Q1815" s="1" t="str">
        <f>TEXT((Data[[#This Row],[Order_Date]]), "mmm")</f>
        <v>Nov</v>
      </c>
    </row>
    <row r="1816" spans="4:17" x14ac:dyDescent="0.3">
      <c r="D1816" s="1" t="s">
        <v>1878</v>
      </c>
      <c r="E1816" s="2">
        <v>45359</v>
      </c>
      <c r="F1816" s="2">
        <v>45361</v>
      </c>
      <c r="G1816" s="1" t="s">
        <v>31</v>
      </c>
      <c r="H1816" s="1" t="s">
        <v>23</v>
      </c>
      <c r="I1816" s="1" t="s">
        <v>24</v>
      </c>
      <c r="J1816" s="1" t="s">
        <v>25</v>
      </c>
      <c r="K1816" s="3">
        <v>2857.95</v>
      </c>
      <c r="L1816" s="1">
        <v>4</v>
      </c>
      <c r="M1816" s="1" t="s">
        <v>44</v>
      </c>
      <c r="N1816" s="3">
        <v>462.64</v>
      </c>
      <c r="O1816" s="1" t="s">
        <v>2123</v>
      </c>
      <c r="P1816" s="1" t="s">
        <v>2078</v>
      </c>
      <c r="Q1816" s="1" t="str">
        <f>TEXT((Data[[#This Row],[Order_Date]]), "mmm")</f>
        <v>Mar</v>
      </c>
    </row>
    <row r="1817" spans="4:17" x14ac:dyDescent="0.3">
      <c r="D1817" s="1" t="s">
        <v>1879</v>
      </c>
      <c r="E1817" s="2">
        <v>45358</v>
      </c>
      <c r="F1817" s="2">
        <v>45359</v>
      </c>
      <c r="G1817" s="1" t="s">
        <v>31</v>
      </c>
      <c r="H1817" s="1" t="s">
        <v>23</v>
      </c>
      <c r="I1817" s="1" t="s">
        <v>61</v>
      </c>
      <c r="J1817" s="1" t="s">
        <v>98</v>
      </c>
      <c r="K1817" s="3">
        <v>1200.5</v>
      </c>
      <c r="L1817" s="1">
        <v>7</v>
      </c>
      <c r="M1817" s="1" t="s">
        <v>20</v>
      </c>
      <c r="N1817" s="3">
        <v>305.70999999999998</v>
      </c>
      <c r="O1817" s="1" t="s">
        <v>2305</v>
      </c>
      <c r="P1817" s="1" t="s">
        <v>2071</v>
      </c>
      <c r="Q1817" s="1" t="str">
        <f>TEXT((Data[[#This Row],[Order_Date]]), "mmm")</f>
        <v>Mar</v>
      </c>
    </row>
    <row r="1818" spans="4:17" x14ac:dyDescent="0.3">
      <c r="D1818" s="1" t="s">
        <v>1880</v>
      </c>
      <c r="E1818" s="2">
        <v>45468</v>
      </c>
      <c r="F1818" s="2">
        <v>45471</v>
      </c>
      <c r="G1818" s="1" t="s">
        <v>31</v>
      </c>
      <c r="H1818" s="1" t="s">
        <v>23</v>
      </c>
      <c r="I1818" s="1" t="s">
        <v>65</v>
      </c>
      <c r="J1818" s="1" t="s">
        <v>114</v>
      </c>
      <c r="K1818" s="3">
        <v>1742.06</v>
      </c>
      <c r="L1818" s="1">
        <v>19</v>
      </c>
      <c r="M1818" s="1" t="s">
        <v>20</v>
      </c>
      <c r="N1818" s="3">
        <v>406.48</v>
      </c>
      <c r="O1818" s="1" t="s">
        <v>2180</v>
      </c>
      <c r="P1818" s="1" t="s">
        <v>2076</v>
      </c>
      <c r="Q1818" s="1" t="str">
        <f>TEXT((Data[[#This Row],[Order_Date]]), "mmm")</f>
        <v>Jun</v>
      </c>
    </row>
    <row r="1819" spans="4:17" x14ac:dyDescent="0.3">
      <c r="D1819" s="1" t="s">
        <v>1881</v>
      </c>
      <c r="E1819" s="2">
        <v>45328</v>
      </c>
      <c r="F1819" s="2">
        <v>45328</v>
      </c>
      <c r="G1819" s="1" t="s">
        <v>22</v>
      </c>
      <c r="H1819" s="1" t="s">
        <v>12</v>
      </c>
      <c r="I1819" s="1" t="s">
        <v>38</v>
      </c>
      <c r="J1819" s="1" t="s">
        <v>85</v>
      </c>
      <c r="K1819" s="3">
        <v>2809.89</v>
      </c>
      <c r="L1819" s="1">
        <v>3</v>
      </c>
      <c r="M1819" s="1" t="s">
        <v>49</v>
      </c>
      <c r="N1819" s="3">
        <v>392.15</v>
      </c>
      <c r="O1819" s="1" t="s">
        <v>2106</v>
      </c>
      <c r="P1819" s="1" t="s">
        <v>2076</v>
      </c>
      <c r="Q1819" s="1" t="str">
        <f>TEXT((Data[[#This Row],[Order_Date]]), "mmm")</f>
        <v>Feb</v>
      </c>
    </row>
    <row r="1820" spans="4:17" x14ac:dyDescent="0.3">
      <c r="D1820" s="1" t="s">
        <v>1882</v>
      </c>
      <c r="E1820" s="2">
        <v>45312</v>
      </c>
      <c r="F1820" s="2">
        <v>45314</v>
      </c>
      <c r="G1820" s="1" t="s">
        <v>22</v>
      </c>
      <c r="H1820" s="1" t="s">
        <v>17</v>
      </c>
      <c r="I1820" s="1" t="s">
        <v>18</v>
      </c>
      <c r="J1820" s="1" t="s">
        <v>54</v>
      </c>
      <c r="K1820" s="3">
        <v>1179.78</v>
      </c>
      <c r="L1820" s="1">
        <v>18</v>
      </c>
      <c r="M1820" s="1" t="s">
        <v>34</v>
      </c>
      <c r="N1820" s="3">
        <v>82.66</v>
      </c>
      <c r="O1820" s="1" t="s">
        <v>2257</v>
      </c>
      <c r="P1820" s="1" t="s">
        <v>2071</v>
      </c>
      <c r="Q1820" s="1" t="str">
        <f>TEXT((Data[[#This Row],[Order_Date]]), "mmm")</f>
        <v>Jan</v>
      </c>
    </row>
    <row r="1821" spans="4:17" x14ac:dyDescent="0.3">
      <c r="D1821" s="1" t="s">
        <v>1883</v>
      </c>
      <c r="E1821" s="2">
        <v>45375</v>
      </c>
      <c r="F1821" s="2">
        <v>45377</v>
      </c>
      <c r="G1821" s="1" t="s">
        <v>11</v>
      </c>
      <c r="H1821" s="1" t="s">
        <v>17</v>
      </c>
      <c r="I1821" s="1" t="s">
        <v>18</v>
      </c>
      <c r="J1821" s="1" t="s">
        <v>54</v>
      </c>
      <c r="K1821" s="3">
        <v>2075.6799999999998</v>
      </c>
      <c r="L1821" s="1">
        <v>17</v>
      </c>
      <c r="M1821" s="1" t="s">
        <v>20</v>
      </c>
      <c r="N1821" s="3">
        <v>332.25</v>
      </c>
      <c r="O1821" s="1" t="s">
        <v>2138</v>
      </c>
      <c r="P1821" s="1" t="s">
        <v>2078</v>
      </c>
      <c r="Q1821" s="1" t="str">
        <f>TEXT((Data[[#This Row],[Order_Date]]), "mmm")</f>
        <v>Mar</v>
      </c>
    </row>
    <row r="1822" spans="4:17" x14ac:dyDescent="0.3">
      <c r="D1822" s="1" t="s">
        <v>1884</v>
      </c>
      <c r="E1822" s="2">
        <v>45480</v>
      </c>
      <c r="F1822" s="2">
        <v>45486</v>
      </c>
      <c r="G1822" s="1" t="s">
        <v>31</v>
      </c>
      <c r="H1822" s="1" t="s">
        <v>23</v>
      </c>
      <c r="I1822" s="1" t="s">
        <v>61</v>
      </c>
      <c r="J1822" s="1" t="s">
        <v>98</v>
      </c>
      <c r="K1822" s="3">
        <v>1127</v>
      </c>
      <c r="L1822" s="1">
        <v>13</v>
      </c>
      <c r="M1822" s="1" t="s">
        <v>44</v>
      </c>
      <c r="N1822" s="3">
        <v>84.79</v>
      </c>
      <c r="O1822" s="1" t="s">
        <v>2093</v>
      </c>
      <c r="P1822" s="1" t="s">
        <v>2078</v>
      </c>
      <c r="Q1822" s="1" t="str">
        <f>TEXT((Data[[#This Row],[Order_Date]]), "mmm")</f>
        <v>Jul</v>
      </c>
    </row>
    <row r="1823" spans="4:17" x14ac:dyDescent="0.3">
      <c r="D1823" s="1" t="s">
        <v>1885</v>
      </c>
      <c r="E1823" s="2">
        <v>45493</v>
      </c>
      <c r="F1823" s="2">
        <v>45498</v>
      </c>
      <c r="G1823" s="1" t="s">
        <v>36</v>
      </c>
      <c r="H1823" s="1" t="s">
        <v>17</v>
      </c>
      <c r="I1823" s="1" t="s">
        <v>27</v>
      </c>
      <c r="J1823" s="1" t="s">
        <v>110</v>
      </c>
      <c r="K1823" s="3">
        <v>3170.51</v>
      </c>
      <c r="L1823" s="1">
        <v>9</v>
      </c>
      <c r="M1823" s="1" t="s">
        <v>34</v>
      </c>
      <c r="N1823" s="3">
        <v>782.51</v>
      </c>
      <c r="O1823" s="1" t="s">
        <v>2102</v>
      </c>
      <c r="P1823" s="1" t="s">
        <v>2071</v>
      </c>
      <c r="Q1823" s="1" t="str">
        <f>TEXT((Data[[#This Row],[Order_Date]]), "mmm")</f>
        <v>Jul</v>
      </c>
    </row>
    <row r="1824" spans="4:17" x14ac:dyDescent="0.3">
      <c r="D1824" s="1" t="s">
        <v>1886</v>
      </c>
      <c r="E1824" s="2">
        <v>45512</v>
      </c>
      <c r="F1824" s="2">
        <v>45518</v>
      </c>
      <c r="G1824" s="1" t="s">
        <v>22</v>
      </c>
      <c r="H1824" s="1" t="s">
        <v>12</v>
      </c>
      <c r="I1824" s="1" t="s">
        <v>13</v>
      </c>
      <c r="J1824" s="1" t="s">
        <v>14</v>
      </c>
      <c r="K1824" s="3">
        <v>2939.8</v>
      </c>
      <c r="L1824" s="1">
        <v>19</v>
      </c>
      <c r="M1824" s="1" t="s">
        <v>49</v>
      </c>
      <c r="N1824" s="3">
        <v>450.19</v>
      </c>
      <c r="O1824" s="1" t="s">
        <v>2203</v>
      </c>
      <c r="P1824" s="1" t="s">
        <v>2071</v>
      </c>
      <c r="Q1824" s="1" t="str">
        <f>TEXT((Data[[#This Row],[Order_Date]]), "mmm")</f>
        <v>Aug</v>
      </c>
    </row>
    <row r="1825" spans="4:17" x14ac:dyDescent="0.3">
      <c r="D1825" s="1" t="s">
        <v>1887</v>
      </c>
      <c r="E1825" s="2">
        <v>45601</v>
      </c>
      <c r="F1825" s="2">
        <v>45607</v>
      </c>
      <c r="G1825" s="1" t="s">
        <v>22</v>
      </c>
      <c r="H1825" s="1" t="s">
        <v>23</v>
      </c>
      <c r="I1825" s="1" t="s">
        <v>78</v>
      </c>
      <c r="J1825" s="1" t="s">
        <v>118</v>
      </c>
      <c r="K1825" s="3">
        <v>3424.41</v>
      </c>
      <c r="L1825" s="1">
        <v>13</v>
      </c>
      <c r="M1825" s="1" t="s">
        <v>44</v>
      </c>
      <c r="N1825" s="3">
        <v>616.91</v>
      </c>
      <c r="O1825" s="1" t="s">
        <v>2264</v>
      </c>
      <c r="P1825" s="1" t="s">
        <v>2076</v>
      </c>
      <c r="Q1825" s="1" t="str">
        <f>TEXT((Data[[#This Row],[Order_Date]]), "mmm")</f>
        <v>Nov</v>
      </c>
    </row>
    <row r="1826" spans="4:17" x14ac:dyDescent="0.3">
      <c r="D1826" s="1" t="s">
        <v>1888</v>
      </c>
      <c r="E1826" s="2">
        <v>45337</v>
      </c>
      <c r="F1826" s="2">
        <v>45341</v>
      </c>
      <c r="G1826" s="1" t="s">
        <v>22</v>
      </c>
      <c r="H1826" s="1" t="s">
        <v>23</v>
      </c>
      <c r="I1826" s="1" t="s">
        <v>78</v>
      </c>
      <c r="J1826" s="1" t="s">
        <v>79</v>
      </c>
      <c r="K1826" s="3">
        <v>2745.49</v>
      </c>
      <c r="L1826" s="1">
        <v>11</v>
      </c>
      <c r="M1826" s="1" t="s">
        <v>15</v>
      </c>
      <c r="N1826" s="3">
        <v>594.24</v>
      </c>
      <c r="O1826" s="1" t="s">
        <v>2201</v>
      </c>
      <c r="P1826" s="1" t="s">
        <v>2071</v>
      </c>
      <c r="Q1826" s="1" t="str">
        <f>TEXT((Data[[#This Row],[Order_Date]]), "mmm")</f>
        <v>Feb</v>
      </c>
    </row>
    <row r="1827" spans="4:17" x14ac:dyDescent="0.3">
      <c r="D1827" s="1" t="s">
        <v>1889</v>
      </c>
      <c r="E1827" s="2">
        <v>45636</v>
      </c>
      <c r="F1827" s="2">
        <v>45638</v>
      </c>
      <c r="G1827" s="1" t="s">
        <v>11</v>
      </c>
      <c r="H1827" s="1" t="s">
        <v>12</v>
      </c>
      <c r="I1827" s="1" t="s">
        <v>38</v>
      </c>
      <c r="J1827" s="1" t="s">
        <v>39</v>
      </c>
      <c r="K1827" s="3">
        <v>3006.07</v>
      </c>
      <c r="L1827" s="1">
        <v>20</v>
      </c>
      <c r="M1827" s="1" t="s">
        <v>15</v>
      </c>
      <c r="N1827" s="3">
        <v>707.36</v>
      </c>
      <c r="O1827" s="1" t="s">
        <v>2154</v>
      </c>
      <c r="P1827" s="1" t="s">
        <v>2071</v>
      </c>
      <c r="Q1827" s="1" t="str">
        <f>TEXT((Data[[#This Row],[Order_Date]]), "mmm")</f>
        <v>Dec</v>
      </c>
    </row>
    <row r="1828" spans="4:17" x14ac:dyDescent="0.3">
      <c r="D1828" s="1" t="s">
        <v>1890</v>
      </c>
      <c r="E1828" s="2">
        <v>45500</v>
      </c>
      <c r="F1828" s="2">
        <v>45502</v>
      </c>
      <c r="G1828" s="1" t="s">
        <v>22</v>
      </c>
      <c r="H1828" s="1" t="s">
        <v>12</v>
      </c>
      <c r="I1828" s="1" t="s">
        <v>13</v>
      </c>
      <c r="J1828" s="1" t="s">
        <v>51</v>
      </c>
      <c r="K1828" s="3">
        <v>2717.56</v>
      </c>
      <c r="L1828" s="1">
        <v>19</v>
      </c>
      <c r="M1828" s="1" t="s">
        <v>15</v>
      </c>
      <c r="N1828" s="3">
        <v>445.9</v>
      </c>
      <c r="O1828" s="1" t="s">
        <v>2271</v>
      </c>
      <c r="P1828" s="1" t="s">
        <v>2076</v>
      </c>
      <c r="Q1828" s="1" t="str">
        <f>TEXT((Data[[#This Row],[Order_Date]]), "mmm")</f>
        <v>Jul</v>
      </c>
    </row>
    <row r="1829" spans="4:17" x14ac:dyDescent="0.3">
      <c r="D1829" s="1" t="s">
        <v>1891</v>
      </c>
      <c r="E1829" s="2">
        <v>45578</v>
      </c>
      <c r="F1829" s="2">
        <v>45583</v>
      </c>
      <c r="G1829" s="1" t="s">
        <v>22</v>
      </c>
      <c r="H1829" s="1" t="s">
        <v>17</v>
      </c>
      <c r="I1829" s="1" t="s">
        <v>32</v>
      </c>
      <c r="J1829" s="1" t="s">
        <v>33</v>
      </c>
      <c r="K1829" s="3">
        <v>3802.13</v>
      </c>
      <c r="L1829" s="1">
        <v>6</v>
      </c>
      <c r="M1829" s="1" t="s">
        <v>34</v>
      </c>
      <c r="N1829" s="3">
        <v>950.58</v>
      </c>
      <c r="O1829" s="1" t="s">
        <v>2173</v>
      </c>
      <c r="P1829" s="1" t="s">
        <v>2071</v>
      </c>
      <c r="Q1829" s="1" t="str">
        <f>TEXT((Data[[#This Row],[Order_Date]]), "mmm")</f>
        <v>Oct</v>
      </c>
    </row>
    <row r="1830" spans="4:17" x14ac:dyDescent="0.3">
      <c r="D1830" s="1" t="s">
        <v>1892</v>
      </c>
      <c r="E1830" s="2">
        <v>45412</v>
      </c>
      <c r="F1830" s="2">
        <v>45415</v>
      </c>
      <c r="G1830" s="1" t="s">
        <v>22</v>
      </c>
      <c r="H1830" s="1" t="s">
        <v>23</v>
      </c>
      <c r="I1830" s="1" t="s">
        <v>78</v>
      </c>
      <c r="J1830" s="1" t="s">
        <v>118</v>
      </c>
      <c r="K1830" s="3">
        <v>3283.44</v>
      </c>
      <c r="L1830" s="1">
        <v>8</v>
      </c>
      <c r="M1830" s="1" t="s">
        <v>20</v>
      </c>
      <c r="N1830" s="3">
        <v>241.68</v>
      </c>
      <c r="O1830" s="1" t="s">
        <v>2095</v>
      </c>
      <c r="P1830" s="1" t="s">
        <v>2071</v>
      </c>
      <c r="Q1830" s="1" t="str">
        <f>TEXT((Data[[#This Row],[Order_Date]]), "mmm")</f>
        <v>Apr</v>
      </c>
    </row>
    <row r="1831" spans="4:17" x14ac:dyDescent="0.3">
      <c r="D1831" s="1" t="s">
        <v>1893</v>
      </c>
      <c r="E1831" s="2">
        <v>45634</v>
      </c>
      <c r="F1831" s="2">
        <v>45641</v>
      </c>
      <c r="G1831" s="1" t="s">
        <v>31</v>
      </c>
      <c r="H1831" s="1" t="s">
        <v>17</v>
      </c>
      <c r="I1831" s="1" t="s">
        <v>27</v>
      </c>
      <c r="J1831" s="1" t="s">
        <v>110</v>
      </c>
      <c r="K1831" s="3">
        <v>1636.73</v>
      </c>
      <c r="L1831" s="1">
        <v>15</v>
      </c>
      <c r="M1831" s="1" t="s">
        <v>15</v>
      </c>
      <c r="N1831" s="3">
        <v>273.52999999999997</v>
      </c>
      <c r="O1831" s="1" t="s">
        <v>2295</v>
      </c>
      <c r="P1831" s="1" t="s">
        <v>2078</v>
      </c>
      <c r="Q1831" s="1" t="str">
        <f>TEXT((Data[[#This Row],[Order_Date]]), "mmm")</f>
        <v>Dec</v>
      </c>
    </row>
    <row r="1832" spans="4:17" x14ac:dyDescent="0.3">
      <c r="D1832" s="1" t="s">
        <v>1894</v>
      </c>
      <c r="E1832" s="2">
        <v>45637</v>
      </c>
      <c r="F1832" s="2">
        <v>45641</v>
      </c>
      <c r="G1832" s="1" t="s">
        <v>31</v>
      </c>
      <c r="H1832" s="1" t="s">
        <v>23</v>
      </c>
      <c r="I1832" s="1" t="s">
        <v>65</v>
      </c>
      <c r="J1832" s="1" t="s">
        <v>114</v>
      </c>
      <c r="K1832" s="3">
        <v>2450.6</v>
      </c>
      <c r="L1832" s="1">
        <v>9</v>
      </c>
      <c r="M1832" s="1" t="s">
        <v>15</v>
      </c>
      <c r="N1832" s="3">
        <v>690.15</v>
      </c>
      <c r="O1832" s="1" t="s">
        <v>2166</v>
      </c>
      <c r="P1832" s="1" t="s">
        <v>2078</v>
      </c>
      <c r="Q1832" s="1" t="str">
        <f>TEXT((Data[[#This Row],[Order_Date]]), "mmm")</f>
        <v>Dec</v>
      </c>
    </row>
    <row r="1833" spans="4:17" x14ac:dyDescent="0.3">
      <c r="D1833" s="1" t="s">
        <v>1895</v>
      </c>
      <c r="E1833" s="2">
        <v>45617</v>
      </c>
      <c r="F1833" s="2">
        <v>45622</v>
      </c>
      <c r="G1833" s="1" t="s">
        <v>22</v>
      </c>
      <c r="H1833" s="1" t="s">
        <v>23</v>
      </c>
      <c r="I1833" s="1" t="s">
        <v>78</v>
      </c>
      <c r="J1833" s="1" t="s">
        <v>79</v>
      </c>
      <c r="K1833" s="3">
        <v>1640.2</v>
      </c>
      <c r="L1833" s="1">
        <v>16</v>
      </c>
      <c r="M1833" s="1" t="s">
        <v>34</v>
      </c>
      <c r="N1833" s="3">
        <v>275.39999999999998</v>
      </c>
      <c r="O1833" s="1" t="s">
        <v>2209</v>
      </c>
      <c r="P1833" s="1" t="s">
        <v>2078</v>
      </c>
      <c r="Q1833" s="1" t="str">
        <f>TEXT((Data[[#This Row],[Order_Date]]), "mmm")</f>
        <v>Nov</v>
      </c>
    </row>
    <row r="1834" spans="4:17" x14ac:dyDescent="0.3">
      <c r="D1834" s="1" t="s">
        <v>1896</v>
      </c>
      <c r="E1834" s="2">
        <v>45596</v>
      </c>
      <c r="F1834" s="2">
        <v>45602</v>
      </c>
      <c r="G1834" s="1" t="s">
        <v>11</v>
      </c>
      <c r="H1834" s="1" t="s">
        <v>23</v>
      </c>
      <c r="I1834" s="1" t="s">
        <v>78</v>
      </c>
      <c r="J1834" s="1" t="s">
        <v>79</v>
      </c>
      <c r="K1834" s="3">
        <v>724.27</v>
      </c>
      <c r="L1834" s="1">
        <v>6</v>
      </c>
      <c r="M1834" s="1" t="s">
        <v>34</v>
      </c>
      <c r="N1834" s="3">
        <v>-98.26</v>
      </c>
      <c r="O1834" s="1" t="s">
        <v>2086</v>
      </c>
      <c r="P1834" s="1" t="s">
        <v>2071</v>
      </c>
      <c r="Q1834" s="1" t="str">
        <f>TEXT((Data[[#This Row],[Order_Date]]), "mmm")</f>
        <v>Oct</v>
      </c>
    </row>
    <row r="1835" spans="4:17" x14ac:dyDescent="0.3">
      <c r="D1835" s="1" t="s">
        <v>1897</v>
      </c>
      <c r="E1835" s="2">
        <v>45649</v>
      </c>
      <c r="F1835" s="2">
        <v>45649</v>
      </c>
      <c r="G1835" s="1" t="s">
        <v>36</v>
      </c>
      <c r="H1835" s="1" t="s">
        <v>12</v>
      </c>
      <c r="I1835" s="1" t="s">
        <v>13</v>
      </c>
      <c r="J1835" s="1" t="s">
        <v>51</v>
      </c>
      <c r="K1835" s="3">
        <v>3305.37</v>
      </c>
      <c r="L1835" s="1">
        <v>6</v>
      </c>
      <c r="M1835" s="1" t="s">
        <v>49</v>
      </c>
      <c r="N1835" s="3">
        <v>756.21</v>
      </c>
      <c r="O1835" s="1" t="s">
        <v>2112</v>
      </c>
      <c r="P1835" s="1" t="s">
        <v>2076</v>
      </c>
      <c r="Q1835" s="1" t="str">
        <f>TEXT((Data[[#This Row],[Order_Date]]), "mmm")</f>
        <v>Dec</v>
      </c>
    </row>
    <row r="1836" spans="4:17" x14ac:dyDescent="0.3">
      <c r="D1836" s="1" t="s">
        <v>1898</v>
      </c>
      <c r="E1836" s="2">
        <v>45482</v>
      </c>
      <c r="F1836" s="2">
        <v>45488</v>
      </c>
      <c r="G1836" s="1" t="s">
        <v>31</v>
      </c>
      <c r="H1836" s="1" t="s">
        <v>23</v>
      </c>
      <c r="I1836" s="1" t="s">
        <v>65</v>
      </c>
      <c r="J1836" s="1" t="s">
        <v>66</v>
      </c>
      <c r="K1836" s="3">
        <v>673.16</v>
      </c>
      <c r="L1836" s="1">
        <v>8</v>
      </c>
      <c r="M1836" s="1" t="s">
        <v>20</v>
      </c>
      <c r="N1836" s="3">
        <v>125.18</v>
      </c>
      <c r="O1836" s="1" t="s">
        <v>2251</v>
      </c>
      <c r="P1836" s="1" t="s">
        <v>2071</v>
      </c>
      <c r="Q1836" s="1" t="str">
        <f>TEXT((Data[[#This Row],[Order_Date]]), "mmm")</f>
        <v>Jul</v>
      </c>
    </row>
    <row r="1837" spans="4:17" x14ac:dyDescent="0.3">
      <c r="D1837" s="1" t="s">
        <v>1899</v>
      </c>
      <c r="E1837" s="2">
        <v>45361</v>
      </c>
      <c r="F1837" s="2">
        <v>45364</v>
      </c>
      <c r="G1837" s="1" t="s">
        <v>36</v>
      </c>
      <c r="H1837" s="1" t="s">
        <v>12</v>
      </c>
      <c r="I1837" s="1" t="s">
        <v>38</v>
      </c>
      <c r="J1837" s="1" t="s">
        <v>85</v>
      </c>
      <c r="K1837" s="3">
        <v>930.97</v>
      </c>
      <c r="L1837" s="1">
        <v>4</v>
      </c>
      <c r="M1837" s="1" t="s">
        <v>34</v>
      </c>
      <c r="N1837" s="3">
        <v>61.25</v>
      </c>
      <c r="O1837" s="1" t="s">
        <v>2074</v>
      </c>
      <c r="P1837" s="1" t="s">
        <v>2078</v>
      </c>
      <c r="Q1837" s="1" t="str">
        <f>TEXT((Data[[#This Row],[Order_Date]]), "mmm")</f>
        <v>Mar</v>
      </c>
    </row>
    <row r="1838" spans="4:17" x14ac:dyDescent="0.3">
      <c r="D1838" s="1" t="s">
        <v>1900</v>
      </c>
      <c r="E1838" s="2">
        <v>45427</v>
      </c>
      <c r="F1838" s="2">
        <v>45430</v>
      </c>
      <c r="G1838" s="1" t="s">
        <v>22</v>
      </c>
      <c r="H1838" s="1" t="s">
        <v>17</v>
      </c>
      <c r="I1838" s="1" t="s">
        <v>27</v>
      </c>
      <c r="J1838" s="1" t="s">
        <v>28</v>
      </c>
      <c r="K1838" s="3">
        <v>1378.74</v>
      </c>
      <c r="L1838" s="1">
        <v>11</v>
      </c>
      <c r="M1838" s="1" t="s">
        <v>34</v>
      </c>
      <c r="N1838" s="3">
        <v>157.24</v>
      </c>
      <c r="O1838" s="1" t="s">
        <v>2297</v>
      </c>
      <c r="P1838" s="1" t="s">
        <v>2071</v>
      </c>
      <c r="Q1838" s="1" t="str">
        <f>TEXT((Data[[#This Row],[Order_Date]]), "mmm")</f>
        <v>May</v>
      </c>
    </row>
    <row r="1839" spans="4:17" x14ac:dyDescent="0.3">
      <c r="D1839" s="1" t="s">
        <v>1901</v>
      </c>
      <c r="E1839" s="2">
        <v>45523</v>
      </c>
      <c r="F1839" s="2">
        <v>45529</v>
      </c>
      <c r="G1839" s="1" t="s">
        <v>22</v>
      </c>
      <c r="H1839" s="1" t="s">
        <v>12</v>
      </c>
      <c r="I1839" s="1" t="s">
        <v>42</v>
      </c>
      <c r="J1839" s="1" t="s">
        <v>72</v>
      </c>
      <c r="K1839" s="3">
        <v>640.94000000000005</v>
      </c>
      <c r="L1839" s="1">
        <v>1</v>
      </c>
      <c r="M1839" s="1" t="s">
        <v>20</v>
      </c>
      <c r="N1839" s="3">
        <v>134.76</v>
      </c>
      <c r="O1839" s="1" t="s">
        <v>2235</v>
      </c>
      <c r="P1839" s="1" t="s">
        <v>2071</v>
      </c>
      <c r="Q1839" s="1" t="str">
        <f>TEXT((Data[[#This Row],[Order_Date]]), "mmm")</f>
        <v>Aug</v>
      </c>
    </row>
    <row r="1840" spans="4:17" x14ac:dyDescent="0.3">
      <c r="D1840" s="1" t="s">
        <v>1902</v>
      </c>
      <c r="E1840" s="2">
        <v>45354</v>
      </c>
      <c r="F1840" s="2">
        <v>45361</v>
      </c>
      <c r="G1840" s="1" t="s">
        <v>36</v>
      </c>
      <c r="H1840" s="1" t="s">
        <v>17</v>
      </c>
      <c r="I1840" s="1" t="s">
        <v>18</v>
      </c>
      <c r="J1840" s="1" t="s">
        <v>19</v>
      </c>
      <c r="K1840" s="3">
        <v>547.75</v>
      </c>
      <c r="L1840" s="1">
        <v>18</v>
      </c>
      <c r="M1840" s="1" t="s">
        <v>49</v>
      </c>
      <c r="N1840" s="3">
        <v>42.57</v>
      </c>
      <c r="O1840" s="1" t="s">
        <v>2203</v>
      </c>
      <c r="P1840" s="1" t="s">
        <v>2076</v>
      </c>
      <c r="Q1840" s="1" t="str">
        <f>TEXT((Data[[#This Row],[Order_Date]]), "mmm")</f>
        <v>Mar</v>
      </c>
    </row>
    <row r="1841" spans="4:17" x14ac:dyDescent="0.3">
      <c r="D1841" s="1" t="s">
        <v>1903</v>
      </c>
      <c r="E1841" s="2">
        <v>45435</v>
      </c>
      <c r="F1841" s="2">
        <v>45440</v>
      </c>
      <c r="G1841" s="1" t="s">
        <v>22</v>
      </c>
      <c r="H1841" s="1" t="s">
        <v>17</v>
      </c>
      <c r="I1841" s="1" t="s">
        <v>27</v>
      </c>
      <c r="J1841" s="1" t="s">
        <v>110</v>
      </c>
      <c r="K1841" s="3">
        <v>3021.72</v>
      </c>
      <c r="L1841" s="1">
        <v>6</v>
      </c>
      <c r="M1841" s="1" t="s">
        <v>49</v>
      </c>
      <c r="N1841" s="3">
        <v>957.14</v>
      </c>
      <c r="O1841" s="1" t="s">
        <v>2209</v>
      </c>
      <c r="P1841" s="1" t="s">
        <v>2076</v>
      </c>
      <c r="Q1841" s="1" t="str">
        <f>TEXT((Data[[#This Row],[Order_Date]]), "mmm")</f>
        <v>May</v>
      </c>
    </row>
    <row r="1842" spans="4:17" x14ac:dyDescent="0.3">
      <c r="D1842" s="1" t="s">
        <v>1904</v>
      </c>
      <c r="E1842" s="2">
        <v>45527</v>
      </c>
      <c r="F1842" s="2">
        <v>45531</v>
      </c>
      <c r="G1842" s="1" t="s">
        <v>36</v>
      </c>
      <c r="H1842" s="1" t="s">
        <v>12</v>
      </c>
      <c r="I1842" s="1" t="s">
        <v>42</v>
      </c>
      <c r="J1842" s="1" t="s">
        <v>48</v>
      </c>
      <c r="K1842" s="3">
        <v>671.61</v>
      </c>
      <c r="L1842" s="1">
        <v>7</v>
      </c>
      <c r="M1842" s="1" t="s">
        <v>15</v>
      </c>
      <c r="N1842" s="3">
        <v>227.99</v>
      </c>
      <c r="O1842" s="1" t="s">
        <v>2222</v>
      </c>
      <c r="P1842" s="1" t="s">
        <v>2076</v>
      </c>
      <c r="Q1842" s="1" t="str">
        <f>TEXT((Data[[#This Row],[Order_Date]]), "mmm")</f>
        <v>Aug</v>
      </c>
    </row>
    <row r="1843" spans="4:17" x14ac:dyDescent="0.3">
      <c r="D1843" s="1" t="s">
        <v>1905</v>
      </c>
      <c r="E1843" s="2">
        <v>45638</v>
      </c>
      <c r="F1843" s="2">
        <v>45638</v>
      </c>
      <c r="G1843" s="1" t="s">
        <v>31</v>
      </c>
      <c r="H1843" s="1" t="s">
        <v>23</v>
      </c>
      <c r="I1843" s="1" t="s">
        <v>78</v>
      </c>
      <c r="J1843" s="1" t="s">
        <v>118</v>
      </c>
      <c r="K1843" s="3">
        <v>3643.51</v>
      </c>
      <c r="L1843" s="1">
        <v>15</v>
      </c>
      <c r="M1843" s="1" t="s">
        <v>49</v>
      </c>
      <c r="N1843" s="3">
        <v>326.52</v>
      </c>
      <c r="O1843" s="1" t="s">
        <v>2244</v>
      </c>
      <c r="P1843" s="1" t="s">
        <v>2071</v>
      </c>
      <c r="Q1843" s="1" t="str">
        <f>TEXT((Data[[#This Row],[Order_Date]]), "mmm")</f>
        <v>Dec</v>
      </c>
    </row>
    <row r="1844" spans="4:17" x14ac:dyDescent="0.3">
      <c r="D1844" s="1" t="s">
        <v>1906</v>
      </c>
      <c r="E1844" s="2">
        <v>45641</v>
      </c>
      <c r="F1844" s="2">
        <v>45646</v>
      </c>
      <c r="G1844" s="1" t="s">
        <v>31</v>
      </c>
      <c r="H1844" s="1" t="s">
        <v>17</v>
      </c>
      <c r="I1844" s="1" t="s">
        <v>18</v>
      </c>
      <c r="J1844" s="1" t="s">
        <v>54</v>
      </c>
      <c r="K1844" s="3">
        <v>262.77</v>
      </c>
      <c r="L1844" s="1">
        <v>9</v>
      </c>
      <c r="M1844" s="1" t="s">
        <v>20</v>
      </c>
      <c r="N1844" s="3">
        <v>-64.040000000000006</v>
      </c>
      <c r="O1844" s="1" t="s">
        <v>2175</v>
      </c>
      <c r="P1844" s="1" t="s">
        <v>2078</v>
      </c>
      <c r="Q1844" s="1" t="str">
        <f>TEXT((Data[[#This Row],[Order_Date]]), "mmm")</f>
        <v>Dec</v>
      </c>
    </row>
    <row r="1845" spans="4:17" x14ac:dyDescent="0.3">
      <c r="D1845" s="1" t="s">
        <v>1907</v>
      </c>
      <c r="E1845" s="2">
        <v>45614</v>
      </c>
      <c r="F1845" s="2">
        <v>45619</v>
      </c>
      <c r="G1845" s="1" t="s">
        <v>22</v>
      </c>
      <c r="H1845" s="1" t="s">
        <v>23</v>
      </c>
      <c r="I1845" s="1" t="s">
        <v>61</v>
      </c>
      <c r="J1845" s="1" t="s">
        <v>76</v>
      </c>
      <c r="K1845" s="3">
        <v>3728.39</v>
      </c>
      <c r="L1845" s="1">
        <v>12</v>
      </c>
      <c r="M1845" s="1" t="s">
        <v>34</v>
      </c>
      <c r="N1845" s="3">
        <v>912.42</v>
      </c>
      <c r="O1845" s="1" t="s">
        <v>2141</v>
      </c>
      <c r="P1845" s="1" t="s">
        <v>2076</v>
      </c>
      <c r="Q1845" s="1" t="str">
        <f>TEXT((Data[[#This Row],[Order_Date]]), "mmm")</f>
        <v>Nov</v>
      </c>
    </row>
    <row r="1846" spans="4:17" x14ac:dyDescent="0.3">
      <c r="D1846" s="1" t="s">
        <v>1908</v>
      </c>
      <c r="E1846" s="2">
        <v>45315</v>
      </c>
      <c r="F1846" s="2">
        <v>45315</v>
      </c>
      <c r="G1846" s="1" t="s">
        <v>11</v>
      </c>
      <c r="H1846" s="1" t="s">
        <v>17</v>
      </c>
      <c r="I1846" s="1" t="s">
        <v>27</v>
      </c>
      <c r="J1846" s="1" t="s">
        <v>132</v>
      </c>
      <c r="K1846" s="3">
        <v>2985.58</v>
      </c>
      <c r="L1846" s="1">
        <v>3</v>
      </c>
      <c r="M1846" s="1" t="s">
        <v>34</v>
      </c>
      <c r="N1846" s="3">
        <v>316.14999999999998</v>
      </c>
      <c r="O1846" s="1" t="s">
        <v>2280</v>
      </c>
      <c r="P1846" s="1" t="s">
        <v>2071</v>
      </c>
      <c r="Q1846" s="1" t="str">
        <f>TEXT((Data[[#This Row],[Order_Date]]), "mmm")</f>
        <v>Jan</v>
      </c>
    </row>
    <row r="1847" spans="4:17" x14ac:dyDescent="0.3">
      <c r="D1847" s="1" t="s">
        <v>1909</v>
      </c>
      <c r="E1847" s="2">
        <v>45391</v>
      </c>
      <c r="F1847" s="2">
        <v>45392</v>
      </c>
      <c r="G1847" s="1" t="s">
        <v>31</v>
      </c>
      <c r="H1847" s="1" t="s">
        <v>17</v>
      </c>
      <c r="I1847" s="1" t="s">
        <v>32</v>
      </c>
      <c r="J1847" s="1" t="s">
        <v>33</v>
      </c>
      <c r="K1847" s="3">
        <v>1100.1600000000001</v>
      </c>
      <c r="L1847" s="1">
        <v>19</v>
      </c>
      <c r="M1847" s="1" t="s">
        <v>15</v>
      </c>
      <c r="N1847" s="3">
        <v>316.33</v>
      </c>
      <c r="O1847" s="1" t="s">
        <v>2244</v>
      </c>
      <c r="P1847" s="1" t="s">
        <v>2076</v>
      </c>
      <c r="Q1847" s="1" t="str">
        <f>TEXT((Data[[#This Row],[Order_Date]]), "mmm")</f>
        <v>Apr</v>
      </c>
    </row>
    <row r="1848" spans="4:17" x14ac:dyDescent="0.3">
      <c r="D1848" s="1" t="s">
        <v>1910</v>
      </c>
      <c r="E1848" s="2">
        <v>45403</v>
      </c>
      <c r="F1848" s="2">
        <v>45409</v>
      </c>
      <c r="G1848" s="1" t="s">
        <v>11</v>
      </c>
      <c r="H1848" s="1" t="s">
        <v>23</v>
      </c>
      <c r="I1848" s="1" t="s">
        <v>78</v>
      </c>
      <c r="J1848" s="1" t="s">
        <v>118</v>
      </c>
      <c r="K1848" s="3">
        <v>994.22</v>
      </c>
      <c r="L1848" s="1">
        <v>7</v>
      </c>
      <c r="M1848" s="1" t="s">
        <v>49</v>
      </c>
      <c r="N1848" s="3">
        <v>235.36</v>
      </c>
      <c r="O1848" s="1" t="s">
        <v>2146</v>
      </c>
      <c r="P1848" s="1" t="s">
        <v>2078</v>
      </c>
      <c r="Q1848" s="1" t="str">
        <f>TEXT((Data[[#This Row],[Order_Date]]), "mmm")</f>
        <v>Apr</v>
      </c>
    </row>
    <row r="1849" spans="4:17" x14ac:dyDescent="0.3">
      <c r="D1849" s="1" t="s">
        <v>1911</v>
      </c>
      <c r="E1849" s="2">
        <v>45370</v>
      </c>
      <c r="F1849" s="2">
        <v>45376</v>
      </c>
      <c r="G1849" s="1" t="s">
        <v>22</v>
      </c>
      <c r="H1849" s="1" t="s">
        <v>12</v>
      </c>
      <c r="I1849" s="1" t="s">
        <v>38</v>
      </c>
      <c r="J1849" s="1" t="s">
        <v>39</v>
      </c>
      <c r="K1849" s="3">
        <v>2668.28</v>
      </c>
      <c r="L1849" s="1">
        <v>19</v>
      </c>
      <c r="M1849" s="1" t="s">
        <v>15</v>
      </c>
      <c r="N1849" s="3">
        <v>638.65</v>
      </c>
      <c r="O1849" s="1" t="s">
        <v>2261</v>
      </c>
      <c r="P1849" s="1" t="s">
        <v>2076</v>
      </c>
      <c r="Q1849" s="1" t="str">
        <f>TEXT((Data[[#This Row],[Order_Date]]), "mmm")</f>
        <v>Mar</v>
      </c>
    </row>
    <row r="1850" spans="4:17" x14ac:dyDescent="0.3">
      <c r="D1850" s="1" t="s">
        <v>1912</v>
      </c>
      <c r="E1850" s="2">
        <v>45418</v>
      </c>
      <c r="F1850" s="2">
        <v>45423</v>
      </c>
      <c r="G1850" s="1" t="s">
        <v>22</v>
      </c>
      <c r="H1850" s="1" t="s">
        <v>12</v>
      </c>
      <c r="I1850" s="1" t="s">
        <v>13</v>
      </c>
      <c r="J1850" s="1" t="s">
        <v>129</v>
      </c>
      <c r="K1850" s="3">
        <v>3352.18</v>
      </c>
      <c r="L1850" s="1">
        <v>7</v>
      </c>
      <c r="M1850" s="1" t="s">
        <v>44</v>
      </c>
      <c r="N1850" s="3">
        <v>316.81</v>
      </c>
      <c r="O1850" s="1" t="s">
        <v>2186</v>
      </c>
      <c r="P1850" s="1" t="s">
        <v>2071</v>
      </c>
      <c r="Q1850" s="1" t="str">
        <f>TEXT((Data[[#This Row],[Order_Date]]), "mmm")</f>
        <v>May</v>
      </c>
    </row>
    <row r="1851" spans="4:17" x14ac:dyDescent="0.3">
      <c r="D1851" s="1" t="s">
        <v>1913</v>
      </c>
      <c r="E1851" s="2">
        <v>45646</v>
      </c>
      <c r="F1851" s="2">
        <v>45653</v>
      </c>
      <c r="G1851" s="1" t="s">
        <v>22</v>
      </c>
      <c r="H1851" s="1" t="s">
        <v>12</v>
      </c>
      <c r="I1851" s="1" t="s">
        <v>58</v>
      </c>
      <c r="J1851" s="1" t="s">
        <v>59</v>
      </c>
      <c r="K1851" s="3">
        <v>2512.71</v>
      </c>
      <c r="L1851" s="1">
        <v>6</v>
      </c>
      <c r="M1851" s="1" t="s">
        <v>20</v>
      </c>
      <c r="N1851" s="3">
        <v>342.23</v>
      </c>
      <c r="O1851" s="1" t="s">
        <v>2176</v>
      </c>
      <c r="P1851" s="1" t="s">
        <v>2078</v>
      </c>
      <c r="Q1851" s="1" t="str">
        <f>TEXT((Data[[#This Row],[Order_Date]]), "mmm")</f>
        <v>Dec</v>
      </c>
    </row>
    <row r="1852" spans="4:17" x14ac:dyDescent="0.3">
      <c r="D1852" s="1" t="s">
        <v>1914</v>
      </c>
      <c r="E1852" s="2">
        <v>45645</v>
      </c>
      <c r="F1852" s="2">
        <v>45648</v>
      </c>
      <c r="G1852" s="1" t="s">
        <v>36</v>
      </c>
      <c r="H1852" s="1" t="s">
        <v>17</v>
      </c>
      <c r="I1852" s="1" t="s">
        <v>18</v>
      </c>
      <c r="J1852" s="1" t="s">
        <v>19</v>
      </c>
      <c r="K1852" s="3">
        <v>1837.1</v>
      </c>
      <c r="L1852" s="1">
        <v>3</v>
      </c>
      <c r="M1852" s="1" t="s">
        <v>29</v>
      </c>
      <c r="N1852" s="3">
        <v>-284.75</v>
      </c>
      <c r="O1852" s="1" t="s">
        <v>2296</v>
      </c>
      <c r="P1852" s="1" t="s">
        <v>2078</v>
      </c>
      <c r="Q1852" s="1" t="str">
        <f>TEXT((Data[[#This Row],[Order_Date]]), "mmm")</f>
        <v>Dec</v>
      </c>
    </row>
    <row r="1853" spans="4:17" x14ac:dyDescent="0.3">
      <c r="D1853" s="1" t="s">
        <v>1915</v>
      </c>
      <c r="E1853" s="2">
        <v>45495</v>
      </c>
      <c r="F1853" s="2">
        <v>45496</v>
      </c>
      <c r="G1853" s="1" t="s">
        <v>11</v>
      </c>
      <c r="H1853" s="1" t="s">
        <v>12</v>
      </c>
      <c r="I1853" s="1" t="s">
        <v>42</v>
      </c>
      <c r="J1853" s="1" t="s">
        <v>48</v>
      </c>
      <c r="K1853" s="3">
        <v>2167.94</v>
      </c>
      <c r="L1853" s="1">
        <v>13</v>
      </c>
      <c r="M1853" s="1" t="s">
        <v>29</v>
      </c>
      <c r="N1853" s="3">
        <v>432.18</v>
      </c>
      <c r="O1853" s="1" t="s">
        <v>2167</v>
      </c>
      <c r="P1853" s="1" t="s">
        <v>2078</v>
      </c>
      <c r="Q1853" s="1" t="str">
        <f>TEXT((Data[[#This Row],[Order_Date]]), "mmm")</f>
        <v>Jul</v>
      </c>
    </row>
    <row r="1854" spans="4:17" x14ac:dyDescent="0.3">
      <c r="D1854" s="1" t="s">
        <v>1916</v>
      </c>
      <c r="E1854" s="2">
        <v>45550</v>
      </c>
      <c r="F1854" s="2">
        <v>45552</v>
      </c>
      <c r="G1854" s="1" t="s">
        <v>22</v>
      </c>
      <c r="H1854" s="1" t="s">
        <v>23</v>
      </c>
      <c r="I1854" s="1" t="s">
        <v>61</v>
      </c>
      <c r="J1854" s="1" t="s">
        <v>76</v>
      </c>
      <c r="K1854" s="3">
        <v>303.10000000000002</v>
      </c>
      <c r="L1854" s="1">
        <v>4</v>
      </c>
      <c r="M1854" s="1" t="s">
        <v>44</v>
      </c>
      <c r="N1854" s="3">
        <v>51.2</v>
      </c>
      <c r="O1854" s="1" t="s">
        <v>2180</v>
      </c>
      <c r="P1854" s="1" t="s">
        <v>2076</v>
      </c>
      <c r="Q1854" s="1" t="str">
        <f>TEXT((Data[[#This Row],[Order_Date]]), "mmm")</f>
        <v>Sep</v>
      </c>
    </row>
    <row r="1855" spans="4:17" x14ac:dyDescent="0.3">
      <c r="D1855" s="1" t="s">
        <v>1917</v>
      </c>
      <c r="E1855" s="2">
        <v>45575</v>
      </c>
      <c r="F1855" s="2">
        <v>45578</v>
      </c>
      <c r="G1855" s="1" t="s">
        <v>22</v>
      </c>
      <c r="H1855" s="1" t="s">
        <v>12</v>
      </c>
      <c r="I1855" s="1" t="s">
        <v>38</v>
      </c>
      <c r="J1855" s="1" t="s">
        <v>85</v>
      </c>
      <c r="K1855" s="3">
        <v>2748.33</v>
      </c>
      <c r="L1855" s="1">
        <v>14</v>
      </c>
      <c r="M1855" s="1" t="s">
        <v>15</v>
      </c>
      <c r="N1855" s="3">
        <v>765.72</v>
      </c>
      <c r="O1855" s="1" t="s">
        <v>2146</v>
      </c>
      <c r="P1855" s="1" t="s">
        <v>2071</v>
      </c>
      <c r="Q1855" s="1" t="str">
        <f>TEXT((Data[[#This Row],[Order_Date]]), "mmm")</f>
        <v>Oct</v>
      </c>
    </row>
    <row r="1856" spans="4:17" x14ac:dyDescent="0.3">
      <c r="D1856" s="1" t="s">
        <v>1918</v>
      </c>
      <c r="E1856" s="2">
        <v>45424</v>
      </c>
      <c r="F1856" s="2">
        <v>45430</v>
      </c>
      <c r="G1856" s="1" t="s">
        <v>31</v>
      </c>
      <c r="H1856" s="1" t="s">
        <v>17</v>
      </c>
      <c r="I1856" s="1" t="s">
        <v>27</v>
      </c>
      <c r="J1856" s="1" t="s">
        <v>108</v>
      </c>
      <c r="K1856" s="3">
        <v>3076.57</v>
      </c>
      <c r="L1856" s="1">
        <v>5</v>
      </c>
      <c r="M1856" s="1" t="s">
        <v>44</v>
      </c>
      <c r="N1856" s="3">
        <v>347.49</v>
      </c>
      <c r="O1856" s="1" t="s">
        <v>2142</v>
      </c>
      <c r="P1856" s="1" t="s">
        <v>2071</v>
      </c>
      <c r="Q1856" s="1" t="str">
        <f>TEXT((Data[[#This Row],[Order_Date]]), "mmm")</f>
        <v>May</v>
      </c>
    </row>
    <row r="1857" spans="4:17" x14ac:dyDescent="0.3">
      <c r="D1857" s="1" t="s">
        <v>1919</v>
      </c>
      <c r="E1857" s="2">
        <v>45402</v>
      </c>
      <c r="F1857" s="2">
        <v>45404</v>
      </c>
      <c r="G1857" s="1" t="s">
        <v>22</v>
      </c>
      <c r="H1857" s="1" t="s">
        <v>17</v>
      </c>
      <c r="I1857" s="1" t="s">
        <v>32</v>
      </c>
      <c r="J1857" s="1" t="s">
        <v>56</v>
      </c>
      <c r="K1857" s="3">
        <v>2630.28</v>
      </c>
      <c r="L1857" s="1">
        <v>20</v>
      </c>
      <c r="M1857" s="1" t="s">
        <v>34</v>
      </c>
      <c r="N1857" s="3">
        <v>331.75</v>
      </c>
      <c r="O1857" s="1" t="s">
        <v>2310</v>
      </c>
      <c r="P1857" s="1" t="s">
        <v>2076</v>
      </c>
      <c r="Q1857" s="1" t="str">
        <f>TEXT((Data[[#This Row],[Order_Date]]), "mmm")</f>
        <v>Apr</v>
      </c>
    </row>
    <row r="1858" spans="4:17" x14ac:dyDescent="0.3">
      <c r="D1858" s="1" t="s">
        <v>1920</v>
      </c>
      <c r="E1858" s="2">
        <v>45578</v>
      </c>
      <c r="F1858" s="2">
        <v>45580</v>
      </c>
      <c r="G1858" s="1" t="s">
        <v>22</v>
      </c>
      <c r="H1858" s="1" t="s">
        <v>17</v>
      </c>
      <c r="I1858" s="1" t="s">
        <v>32</v>
      </c>
      <c r="J1858" s="1" t="s">
        <v>33</v>
      </c>
      <c r="K1858" s="3">
        <v>1768.85</v>
      </c>
      <c r="L1858" s="1">
        <v>13</v>
      </c>
      <c r="M1858" s="1" t="s">
        <v>44</v>
      </c>
      <c r="N1858" s="3">
        <v>524.14</v>
      </c>
      <c r="O1858" s="1" t="s">
        <v>2182</v>
      </c>
      <c r="P1858" s="1" t="s">
        <v>2076</v>
      </c>
      <c r="Q1858" s="1" t="str">
        <f>TEXT((Data[[#This Row],[Order_Date]]), "mmm")</f>
        <v>Oct</v>
      </c>
    </row>
    <row r="1859" spans="4:17" x14ac:dyDescent="0.3">
      <c r="D1859" s="1" t="s">
        <v>1921</v>
      </c>
      <c r="E1859" s="2">
        <v>45464</v>
      </c>
      <c r="F1859" s="2">
        <v>45467</v>
      </c>
      <c r="G1859" s="1" t="s">
        <v>36</v>
      </c>
      <c r="H1859" s="1" t="s">
        <v>12</v>
      </c>
      <c r="I1859" s="1" t="s">
        <v>38</v>
      </c>
      <c r="J1859" s="1" t="s">
        <v>85</v>
      </c>
      <c r="K1859" s="3">
        <v>1158.4100000000001</v>
      </c>
      <c r="L1859" s="1">
        <v>16</v>
      </c>
      <c r="M1859" s="1" t="s">
        <v>44</v>
      </c>
      <c r="N1859" s="3">
        <v>81.09</v>
      </c>
      <c r="O1859" s="1" t="s">
        <v>2265</v>
      </c>
      <c r="P1859" s="1" t="s">
        <v>2076</v>
      </c>
      <c r="Q1859" s="1" t="str">
        <f>TEXT((Data[[#This Row],[Order_Date]]), "mmm")</f>
        <v>Jun</v>
      </c>
    </row>
    <row r="1860" spans="4:17" x14ac:dyDescent="0.3">
      <c r="D1860" s="1" t="s">
        <v>1922</v>
      </c>
      <c r="E1860" s="2">
        <v>45564</v>
      </c>
      <c r="F1860" s="2">
        <v>45564</v>
      </c>
      <c r="G1860" s="1" t="s">
        <v>36</v>
      </c>
      <c r="H1860" s="1" t="s">
        <v>23</v>
      </c>
      <c r="I1860" s="1" t="s">
        <v>65</v>
      </c>
      <c r="J1860" s="1" t="s">
        <v>114</v>
      </c>
      <c r="K1860" s="3">
        <v>642.03</v>
      </c>
      <c r="L1860" s="1">
        <v>8</v>
      </c>
      <c r="M1860" s="1" t="s">
        <v>20</v>
      </c>
      <c r="N1860" s="3">
        <v>125.63</v>
      </c>
      <c r="O1860" s="1" t="s">
        <v>2231</v>
      </c>
      <c r="P1860" s="1" t="s">
        <v>2076</v>
      </c>
      <c r="Q1860" s="1" t="str">
        <f>TEXT((Data[[#This Row],[Order_Date]]), "mmm")</f>
        <v>Sep</v>
      </c>
    </row>
    <row r="1861" spans="4:17" x14ac:dyDescent="0.3">
      <c r="D1861" s="1" t="s">
        <v>1923</v>
      </c>
      <c r="E1861" s="2">
        <v>45578</v>
      </c>
      <c r="F1861" s="2">
        <v>45582</v>
      </c>
      <c r="G1861" s="1" t="s">
        <v>11</v>
      </c>
      <c r="H1861" s="1" t="s">
        <v>12</v>
      </c>
      <c r="I1861" s="1" t="s">
        <v>13</v>
      </c>
      <c r="J1861" s="1" t="s">
        <v>14</v>
      </c>
      <c r="K1861" s="3">
        <v>300.82</v>
      </c>
      <c r="L1861" s="1">
        <v>3</v>
      </c>
      <c r="M1861" s="1" t="s">
        <v>44</v>
      </c>
      <c r="N1861" s="3">
        <v>84.96</v>
      </c>
      <c r="O1861" s="1" t="s">
        <v>2153</v>
      </c>
      <c r="P1861" s="1" t="s">
        <v>2078</v>
      </c>
      <c r="Q1861" s="1" t="str">
        <f>TEXT((Data[[#This Row],[Order_Date]]), "mmm")</f>
        <v>Oct</v>
      </c>
    </row>
    <row r="1862" spans="4:17" x14ac:dyDescent="0.3">
      <c r="D1862" s="1" t="s">
        <v>1924</v>
      </c>
      <c r="E1862" s="2">
        <v>45630</v>
      </c>
      <c r="F1862" s="2">
        <v>45630</v>
      </c>
      <c r="G1862" s="1" t="s">
        <v>36</v>
      </c>
      <c r="H1862" s="1" t="s">
        <v>12</v>
      </c>
      <c r="I1862" s="1" t="s">
        <v>42</v>
      </c>
      <c r="J1862" s="1" t="s">
        <v>72</v>
      </c>
      <c r="K1862" s="3">
        <v>2390.91</v>
      </c>
      <c r="L1862" s="1">
        <v>16</v>
      </c>
      <c r="M1862" s="1" t="s">
        <v>15</v>
      </c>
      <c r="N1862" s="3">
        <v>-381.62</v>
      </c>
      <c r="O1862" s="1" t="s">
        <v>2216</v>
      </c>
      <c r="P1862" s="1" t="s">
        <v>2071</v>
      </c>
      <c r="Q1862" s="1" t="str">
        <f>TEXT((Data[[#This Row],[Order_Date]]), "mmm")</f>
        <v>Dec</v>
      </c>
    </row>
    <row r="1863" spans="4:17" x14ac:dyDescent="0.3">
      <c r="D1863" s="1" t="s">
        <v>1925</v>
      </c>
      <c r="E1863" s="2">
        <v>45433</v>
      </c>
      <c r="F1863" s="2">
        <v>45440</v>
      </c>
      <c r="G1863" s="1" t="s">
        <v>11</v>
      </c>
      <c r="H1863" s="1" t="s">
        <v>23</v>
      </c>
      <c r="I1863" s="1" t="s">
        <v>24</v>
      </c>
      <c r="J1863" s="1" t="s">
        <v>93</v>
      </c>
      <c r="K1863" s="3">
        <v>2382.54</v>
      </c>
      <c r="L1863" s="1">
        <v>6</v>
      </c>
      <c r="M1863" s="1" t="s">
        <v>15</v>
      </c>
      <c r="N1863" s="3">
        <v>590.65</v>
      </c>
      <c r="O1863" s="1" t="s">
        <v>2170</v>
      </c>
      <c r="P1863" s="1" t="s">
        <v>2071</v>
      </c>
      <c r="Q1863" s="1" t="str">
        <f>TEXT((Data[[#This Row],[Order_Date]]), "mmm")</f>
        <v>May</v>
      </c>
    </row>
    <row r="1864" spans="4:17" x14ac:dyDescent="0.3">
      <c r="D1864" s="1" t="s">
        <v>1926</v>
      </c>
      <c r="E1864" s="2">
        <v>45511</v>
      </c>
      <c r="F1864" s="2">
        <v>45515</v>
      </c>
      <c r="G1864" s="1" t="s">
        <v>11</v>
      </c>
      <c r="H1864" s="1" t="s">
        <v>17</v>
      </c>
      <c r="I1864" s="1" t="s">
        <v>32</v>
      </c>
      <c r="J1864" s="1" t="s">
        <v>33</v>
      </c>
      <c r="K1864" s="3">
        <v>1487.31</v>
      </c>
      <c r="L1864" s="1">
        <v>9</v>
      </c>
      <c r="M1864" s="1" t="s">
        <v>20</v>
      </c>
      <c r="N1864" s="3">
        <v>328.51</v>
      </c>
      <c r="O1864" s="1" t="s">
        <v>2103</v>
      </c>
      <c r="P1864" s="1" t="s">
        <v>2076</v>
      </c>
      <c r="Q1864" s="1" t="str">
        <f>TEXT((Data[[#This Row],[Order_Date]]), "mmm")</f>
        <v>Aug</v>
      </c>
    </row>
    <row r="1865" spans="4:17" x14ac:dyDescent="0.3">
      <c r="D1865" s="1" t="s">
        <v>1927</v>
      </c>
      <c r="E1865" s="2">
        <v>45587</v>
      </c>
      <c r="F1865" s="2">
        <v>45593</v>
      </c>
      <c r="G1865" s="1" t="s">
        <v>22</v>
      </c>
      <c r="H1865" s="1" t="s">
        <v>12</v>
      </c>
      <c r="I1865" s="1" t="s">
        <v>13</v>
      </c>
      <c r="J1865" s="1" t="s">
        <v>96</v>
      </c>
      <c r="K1865" s="3">
        <v>2301.71</v>
      </c>
      <c r="L1865" s="1">
        <v>12</v>
      </c>
      <c r="M1865" s="1" t="s">
        <v>44</v>
      </c>
      <c r="N1865" s="3">
        <v>156.65</v>
      </c>
      <c r="O1865" s="1" t="s">
        <v>2298</v>
      </c>
      <c r="P1865" s="1" t="s">
        <v>2078</v>
      </c>
      <c r="Q1865" s="1" t="str">
        <f>TEXT((Data[[#This Row],[Order_Date]]), "mmm")</f>
        <v>Oct</v>
      </c>
    </row>
    <row r="1866" spans="4:17" x14ac:dyDescent="0.3">
      <c r="D1866" s="1" t="s">
        <v>1928</v>
      </c>
      <c r="E1866" s="2">
        <v>45362</v>
      </c>
      <c r="F1866" s="2">
        <v>45362</v>
      </c>
      <c r="G1866" s="1" t="s">
        <v>36</v>
      </c>
      <c r="H1866" s="1" t="s">
        <v>17</v>
      </c>
      <c r="I1866" s="1" t="s">
        <v>27</v>
      </c>
      <c r="J1866" s="1" t="s">
        <v>132</v>
      </c>
      <c r="K1866" s="3">
        <v>2749.99</v>
      </c>
      <c r="L1866" s="1">
        <v>3</v>
      </c>
      <c r="M1866" s="1" t="s">
        <v>29</v>
      </c>
      <c r="N1866" s="3">
        <v>852.67</v>
      </c>
      <c r="O1866" s="1" t="s">
        <v>2118</v>
      </c>
      <c r="P1866" s="1" t="s">
        <v>2076</v>
      </c>
      <c r="Q1866" s="1" t="str">
        <f>TEXT((Data[[#This Row],[Order_Date]]), "mmm")</f>
        <v>Mar</v>
      </c>
    </row>
    <row r="1867" spans="4:17" x14ac:dyDescent="0.3">
      <c r="D1867" s="1" t="s">
        <v>1929</v>
      </c>
      <c r="E1867" s="2">
        <v>45361</v>
      </c>
      <c r="F1867" s="2">
        <v>45362</v>
      </c>
      <c r="G1867" s="1" t="s">
        <v>22</v>
      </c>
      <c r="H1867" s="1" t="s">
        <v>23</v>
      </c>
      <c r="I1867" s="1" t="s">
        <v>61</v>
      </c>
      <c r="J1867" s="1" t="s">
        <v>76</v>
      </c>
      <c r="K1867" s="3">
        <v>2393.4</v>
      </c>
      <c r="L1867" s="1">
        <v>14</v>
      </c>
      <c r="M1867" s="1" t="s">
        <v>29</v>
      </c>
      <c r="N1867" s="3">
        <v>409.42</v>
      </c>
      <c r="O1867" s="1" t="s">
        <v>2213</v>
      </c>
      <c r="P1867" s="1" t="s">
        <v>2078</v>
      </c>
      <c r="Q1867" s="1" t="str">
        <f>TEXT((Data[[#This Row],[Order_Date]]), "mmm")</f>
        <v>Mar</v>
      </c>
    </row>
    <row r="1868" spans="4:17" x14ac:dyDescent="0.3">
      <c r="D1868" s="1" t="s">
        <v>1930</v>
      </c>
      <c r="E1868" s="2">
        <v>45623</v>
      </c>
      <c r="F1868" s="2">
        <v>45630</v>
      </c>
      <c r="G1868" s="1" t="s">
        <v>31</v>
      </c>
      <c r="H1868" s="1" t="s">
        <v>17</v>
      </c>
      <c r="I1868" s="1" t="s">
        <v>32</v>
      </c>
      <c r="J1868" s="1" t="s">
        <v>33</v>
      </c>
      <c r="K1868" s="3">
        <v>1058.57</v>
      </c>
      <c r="L1868" s="1">
        <v>6</v>
      </c>
      <c r="M1868" s="1" t="s">
        <v>49</v>
      </c>
      <c r="N1868" s="3">
        <v>208.71</v>
      </c>
      <c r="O1868" s="1" t="s">
        <v>2271</v>
      </c>
      <c r="P1868" s="1" t="s">
        <v>2076</v>
      </c>
      <c r="Q1868" s="1" t="str">
        <f>TEXT((Data[[#This Row],[Order_Date]]), "mmm")</f>
        <v>Nov</v>
      </c>
    </row>
    <row r="1869" spans="4:17" x14ac:dyDescent="0.3">
      <c r="D1869" s="1" t="s">
        <v>1931</v>
      </c>
      <c r="E1869" s="2">
        <v>45332</v>
      </c>
      <c r="F1869" s="2">
        <v>45334</v>
      </c>
      <c r="G1869" s="1" t="s">
        <v>22</v>
      </c>
      <c r="H1869" s="1" t="s">
        <v>23</v>
      </c>
      <c r="I1869" s="1" t="s">
        <v>65</v>
      </c>
      <c r="J1869" s="1" t="s">
        <v>122</v>
      </c>
      <c r="K1869" s="3">
        <v>3117.4</v>
      </c>
      <c r="L1869" s="1">
        <v>15</v>
      </c>
      <c r="M1869" s="1" t="s">
        <v>34</v>
      </c>
      <c r="N1869" s="3">
        <v>806.27</v>
      </c>
      <c r="O1869" s="1" t="s">
        <v>2115</v>
      </c>
      <c r="P1869" s="1" t="s">
        <v>2078</v>
      </c>
      <c r="Q1869" s="1" t="str">
        <f>TEXT((Data[[#This Row],[Order_Date]]), "mmm")</f>
        <v>Feb</v>
      </c>
    </row>
    <row r="1870" spans="4:17" x14ac:dyDescent="0.3">
      <c r="D1870" s="1" t="s">
        <v>1932</v>
      </c>
      <c r="E1870" s="2">
        <v>45565</v>
      </c>
      <c r="F1870" s="2">
        <v>45572</v>
      </c>
      <c r="G1870" s="1" t="s">
        <v>31</v>
      </c>
      <c r="H1870" s="1" t="s">
        <v>23</v>
      </c>
      <c r="I1870" s="1" t="s">
        <v>78</v>
      </c>
      <c r="J1870" s="1" t="s">
        <v>118</v>
      </c>
      <c r="K1870" s="3">
        <v>3777.64</v>
      </c>
      <c r="L1870" s="1">
        <v>19</v>
      </c>
      <c r="M1870" s="1" t="s">
        <v>15</v>
      </c>
      <c r="N1870" s="3">
        <v>974.22</v>
      </c>
      <c r="O1870" s="1" t="s">
        <v>2097</v>
      </c>
      <c r="P1870" s="1" t="s">
        <v>2071</v>
      </c>
      <c r="Q1870" s="1" t="str">
        <f>TEXT((Data[[#This Row],[Order_Date]]), "mmm")</f>
        <v>Sep</v>
      </c>
    </row>
    <row r="1871" spans="4:17" x14ac:dyDescent="0.3">
      <c r="D1871" s="1" t="s">
        <v>1933</v>
      </c>
      <c r="E1871" s="2">
        <v>45600</v>
      </c>
      <c r="F1871" s="2">
        <v>45601</v>
      </c>
      <c r="G1871" s="1" t="s">
        <v>31</v>
      </c>
      <c r="H1871" s="1" t="s">
        <v>23</v>
      </c>
      <c r="I1871" s="1" t="s">
        <v>24</v>
      </c>
      <c r="J1871" s="1" t="s">
        <v>25</v>
      </c>
      <c r="K1871" s="3">
        <v>365.79</v>
      </c>
      <c r="L1871" s="1">
        <v>17</v>
      </c>
      <c r="M1871" s="1" t="s">
        <v>15</v>
      </c>
      <c r="N1871" s="3">
        <v>97.86</v>
      </c>
      <c r="O1871" s="1" t="s">
        <v>2118</v>
      </c>
      <c r="P1871" s="1" t="s">
        <v>2076</v>
      </c>
      <c r="Q1871" s="1" t="str">
        <f>TEXT((Data[[#This Row],[Order_Date]]), "mmm")</f>
        <v>Nov</v>
      </c>
    </row>
    <row r="1872" spans="4:17" x14ac:dyDescent="0.3">
      <c r="D1872" s="1" t="s">
        <v>1934</v>
      </c>
      <c r="E1872" s="2">
        <v>45463</v>
      </c>
      <c r="F1872" s="2">
        <v>45465</v>
      </c>
      <c r="G1872" s="1" t="s">
        <v>22</v>
      </c>
      <c r="H1872" s="1" t="s">
        <v>17</v>
      </c>
      <c r="I1872" s="1" t="s">
        <v>18</v>
      </c>
      <c r="J1872" s="1" t="s">
        <v>19</v>
      </c>
      <c r="K1872" s="3">
        <v>844.52</v>
      </c>
      <c r="L1872" s="1">
        <v>19</v>
      </c>
      <c r="M1872" s="1" t="s">
        <v>20</v>
      </c>
      <c r="N1872" s="3">
        <v>-131.4</v>
      </c>
      <c r="O1872" s="1" t="s">
        <v>2193</v>
      </c>
      <c r="P1872" s="1" t="s">
        <v>2076</v>
      </c>
      <c r="Q1872" s="1" t="str">
        <f>TEXT((Data[[#This Row],[Order_Date]]), "mmm")</f>
        <v>Jun</v>
      </c>
    </row>
    <row r="1873" spans="4:17" x14ac:dyDescent="0.3">
      <c r="D1873" s="1" t="s">
        <v>1935</v>
      </c>
      <c r="E1873" s="2">
        <v>45470</v>
      </c>
      <c r="F1873" s="2">
        <v>45477</v>
      </c>
      <c r="G1873" s="1" t="s">
        <v>31</v>
      </c>
      <c r="H1873" s="1" t="s">
        <v>23</v>
      </c>
      <c r="I1873" s="1" t="s">
        <v>24</v>
      </c>
      <c r="J1873" s="1" t="s">
        <v>150</v>
      </c>
      <c r="K1873" s="3">
        <v>2650.31</v>
      </c>
      <c r="L1873" s="1">
        <v>10</v>
      </c>
      <c r="M1873" s="1" t="s">
        <v>49</v>
      </c>
      <c r="N1873" s="3">
        <v>-137.99</v>
      </c>
      <c r="O1873" s="1" t="s">
        <v>2182</v>
      </c>
      <c r="P1873" s="1" t="s">
        <v>2078</v>
      </c>
      <c r="Q1873" s="1" t="str">
        <f>TEXT((Data[[#This Row],[Order_Date]]), "mmm")</f>
        <v>Jun</v>
      </c>
    </row>
    <row r="1874" spans="4:17" x14ac:dyDescent="0.3">
      <c r="D1874" s="1" t="s">
        <v>1936</v>
      </c>
      <c r="E1874" s="2">
        <v>45363</v>
      </c>
      <c r="F1874" s="2">
        <v>45369</v>
      </c>
      <c r="G1874" s="1" t="s">
        <v>31</v>
      </c>
      <c r="H1874" s="1" t="s">
        <v>23</v>
      </c>
      <c r="I1874" s="1" t="s">
        <v>24</v>
      </c>
      <c r="J1874" s="1" t="s">
        <v>93</v>
      </c>
      <c r="K1874" s="3">
        <v>2292.83</v>
      </c>
      <c r="L1874" s="1">
        <v>14</v>
      </c>
      <c r="M1874" s="1" t="s">
        <v>49</v>
      </c>
      <c r="N1874" s="3">
        <v>390.41</v>
      </c>
      <c r="O1874" s="1" t="s">
        <v>2176</v>
      </c>
      <c r="P1874" s="1" t="s">
        <v>2078</v>
      </c>
      <c r="Q1874" s="1" t="str">
        <f>TEXT((Data[[#This Row],[Order_Date]]), "mmm")</f>
        <v>Mar</v>
      </c>
    </row>
    <row r="1875" spans="4:17" x14ac:dyDescent="0.3">
      <c r="D1875" s="1" t="s">
        <v>1937</v>
      </c>
      <c r="E1875" s="2">
        <v>45595</v>
      </c>
      <c r="F1875" s="2">
        <v>45602</v>
      </c>
      <c r="G1875" s="1" t="s">
        <v>36</v>
      </c>
      <c r="H1875" s="1" t="s">
        <v>17</v>
      </c>
      <c r="I1875" s="1" t="s">
        <v>27</v>
      </c>
      <c r="J1875" s="1" t="s">
        <v>132</v>
      </c>
      <c r="K1875" s="3">
        <v>1696.21</v>
      </c>
      <c r="L1875" s="1">
        <v>12</v>
      </c>
      <c r="M1875" s="1" t="s">
        <v>49</v>
      </c>
      <c r="N1875" s="3">
        <v>-436.24</v>
      </c>
      <c r="O1875" s="1" t="s">
        <v>2198</v>
      </c>
      <c r="P1875" s="1" t="s">
        <v>2071</v>
      </c>
      <c r="Q1875" s="1" t="str">
        <f>TEXT((Data[[#This Row],[Order_Date]]), "mmm")</f>
        <v>Oct</v>
      </c>
    </row>
    <row r="1876" spans="4:17" x14ac:dyDescent="0.3">
      <c r="D1876" s="1" t="s">
        <v>1938</v>
      </c>
      <c r="E1876" s="2">
        <v>45461</v>
      </c>
      <c r="F1876" s="2">
        <v>45461</v>
      </c>
      <c r="G1876" s="1" t="s">
        <v>11</v>
      </c>
      <c r="H1876" s="1" t="s">
        <v>23</v>
      </c>
      <c r="I1876" s="1" t="s">
        <v>78</v>
      </c>
      <c r="J1876" s="1" t="s">
        <v>79</v>
      </c>
      <c r="K1876" s="3">
        <v>1430.26</v>
      </c>
      <c r="L1876" s="1">
        <v>8</v>
      </c>
      <c r="M1876" s="1" t="s">
        <v>49</v>
      </c>
      <c r="N1876" s="3">
        <v>156.97999999999999</v>
      </c>
      <c r="O1876" s="1" t="s">
        <v>2209</v>
      </c>
      <c r="P1876" s="1" t="s">
        <v>2076</v>
      </c>
      <c r="Q1876" s="1" t="str">
        <f>TEXT((Data[[#This Row],[Order_Date]]), "mmm")</f>
        <v>Jun</v>
      </c>
    </row>
    <row r="1877" spans="4:17" x14ac:dyDescent="0.3">
      <c r="D1877" s="1" t="s">
        <v>1939</v>
      </c>
      <c r="E1877" s="2">
        <v>45489</v>
      </c>
      <c r="F1877" s="2">
        <v>45493</v>
      </c>
      <c r="G1877" s="1" t="s">
        <v>31</v>
      </c>
      <c r="H1877" s="1" t="s">
        <v>12</v>
      </c>
      <c r="I1877" s="1" t="s">
        <v>58</v>
      </c>
      <c r="J1877" s="1" t="s">
        <v>105</v>
      </c>
      <c r="K1877" s="3">
        <v>1905.17</v>
      </c>
      <c r="L1877" s="1">
        <v>4</v>
      </c>
      <c r="M1877" s="1" t="s">
        <v>15</v>
      </c>
      <c r="N1877" s="3">
        <v>418.43</v>
      </c>
      <c r="O1877" s="1" t="s">
        <v>2085</v>
      </c>
      <c r="P1877" s="1" t="s">
        <v>2078</v>
      </c>
      <c r="Q1877" s="1" t="str">
        <f>TEXT((Data[[#This Row],[Order_Date]]), "mmm")</f>
        <v>Jul</v>
      </c>
    </row>
    <row r="1878" spans="4:17" x14ac:dyDescent="0.3">
      <c r="D1878" s="1" t="s">
        <v>1940</v>
      </c>
      <c r="E1878" s="2">
        <v>45583</v>
      </c>
      <c r="F1878" s="2">
        <v>45589</v>
      </c>
      <c r="G1878" s="1" t="s">
        <v>22</v>
      </c>
      <c r="H1878" s="1" t="s">
        <v>23</v>
      </c>
      <c r="I1878" s="1" t="s">
        <v>78</v>
      </c>
      <c r="J1878" s="1" t="s">
        <v>118</v>
      </c>
      <c r="K1878" s="3">
        <v>2855.21</v>
      </c>
      <c r="L1878" s="1">
        <v>19</v>
      </c>
      <c r="M1878" s="1" t="s">
        <v>49</v>
      </c>
      <c r="N1878" s="3">
        <v>758.64</v>
      </c>
      <c r="O1878" s="1" t="s">
        <v>2211</v>
      </c>
      <c r="P1878" s="1" t="s">
        <v>2078</v>
      </c>
      <c r="Q1878" s="1" t="str">
        <f>TEXT((Data[[#This Row],[Order_Date]]), "mmm")</f>
        <v>Oct</v>
      </c>
    </row>
    <row r="1879" spans="4:17" x14ac:dyDescent="0.3">
      <c r="D1879" s="1" t="s">
        <v>1941</v>
      </c>
      <c r="E1879" s="2">
        <v>45471</v>
      </c>
      <c r="F1879" s="2">
        <v>45472</v>
      </c>
      <c r="G1879" s="1" t="s">
        <v>22</v>
      </c>
      <c r="H1879" s="1" t="s">
        <v>12</v>
      </c>
      <c r="I1879" s="1" t="s">
        <v>58</v>
      </c>
      <c r="J1879" s="1" t="s">
        <v>105</v>
      </c>
      <c r="K1879" s="3">
        <v>1800.72</v>
      </c>
      <c r="L1879" s="1">
        <v>7</v>
      </c>
      <c r="M1879" s="1" t="s">
        <v>49</v>
      </c>
      <c r="N1879" s="3">
        <v>251.94</v>
      </c>
      <c r="O1879" s="1" t="s">
        <v>2194</v>
      </c>
      <c r="P1879" s="1" t="s">
        <v>2078</v>
      </c>
      <c r="Q1879" s="1" t="str">
        <f>TEXT((Data[[#This Row],[Order_Date]]), "mmm")</f>
        <v>Jun</v>
      </c>
    </row>
    <row r="1880" spans="4:17" x14ac:dyDescent="0.3">
      <c r="D1880" s="1" t="s">
        <v>1942</v>
      </c>
      <c r="E1880" s="2">
        <v>45452</v>
      </c>
      <c r="F1880" s="2">
        <v>45456</v>
      </c>
      <c r="G1880" s="1" t="s">
        <v>36</v>
      </c>
      <c r="H1880" s="1" t="s">
        <v>12</v>
      </c>
      <c r="I1880" s="1" t="s">
        <v>42</v>
      </c>
      <c r="J1880" s="1" t="s">
        <v>46</v>
      </c>
      <c r="K1880" s="3">
        <v>3709.76</v>
      </c>
      <c r="L1880" s="1">
        <v>14</v>
      </c>
      <c r="M1880" s="1" t="s">
        <v>15</v>
      </c>
      <c r="N1880" s="3">
        <v>669.19</v>
      </c>
      <c r="O1880" s="1" t="s">
        <v>2077</v>
      </c>
      <c r="P1880" s="1" t="s">
        <v>2078</v>
      </c>
      <c r="Q1880" s="1" t="str">
        <f>TEXT((Data[[#This Row],[Order_Date]]), "mmm")</f>
        <v>Jun</v>
      </c>
    </row>
    <row r="1881" spans="4:17" x14ac:dyDescent="0.3">
      <c r="D1881" s="1" t="s">
        <v>1943</v>
      </c>
      <c r="E1881" s="2">
        <v>45461</v>
      </c>
      <c r="F1881" s="2">
        <v>45465</v>
      </c>
      <c r="G1881" s="1" t="s">
        <v>36</v>
      </c>
      <c r="H1881" s="1" t="s">
        <v>12</v>
      </c>
      <c r="I1881" s="1" t="s">
        <v>58</v>
      </c>
      <c r="J1881" s="1" t="s">
        <v>105</v>
      </c>
      <c r="K1881" s="3">
        <v>2908.89</v>
      </c>
      <c r="L1881" s="1">
        <v>3</v>
      </c>
      <c r="M1881" s="1" t="s">
        <v>34</v>
      </c>
      <c r="N1881" s="3">
        <v>679.51</v>
      </c>
      <c r="O1881" s="1" t="s">
        <v>2085</v>
      </c>
      <c r="P1881" s="1" t="s">
        <v>2076</v>
      </c>
      <c r="Q1881" s="1" t="str">
        <f>TEXT((Data[[#This Row],[Order_Date]]), "mmm")</f>
        <v>Jun</v>
      </c>
    </row>
    <row r="1882" spans="4:17" x14ac:dyDescent="0.3">
      <c r="D1882" s="1" t="s">
        <v>1944</v>
      </c>
      <c r="E1882" s="2">
        <v>45600</v>
      </c>
      <c r="F1882" s="2">
        <v>45603</v>
      </c>
      <c r="G1882" s="1" t="s">
        <v>22</v>
      </c>
      <c r="H1882" s="1" t="s">
        <v>12</v>
      </c>
      <c r="I1882" s="1" t="s">
        <v>13</v>
      </c>
      <c r="J1882" s="1" t="s">
        <v>129</v>
      </c>
      <c r="K1882" s="3">
        <v>2418.6999999999998</v>
      </c>
      <c r="L1882" s="1">
        <v>10</v>
      </c>
      <c r="M1882" s="1" t="s">
        <v>44</v>
      </c>
      <c r="N1882" s="3">
        <v>538.1</v>
      </c>
      <c r="O1882" s="1" t="s">
        <v>2269</v>
      </c>
      <c r="P1882" s="1" t="s">
        <v>2076</v>
      </c>
      <c r="Q1882" s="1" t="str">
        <f>TEXT((Data[[#This Row],[Order_Date]]), "mmm")</f>
        <v>Nov</v>
      </c>
    </row>
    <row r="1883" spans="4:17" x14ac:dyDescent="0.3">
      <c r="D1883" s="1" t="s">
        <v>1945</v>
      </c>
      <c r="E1883" s="2">
        <v>45501</v>
      </c>
      <c r="F1883" s="2">
        <v>45505</v>
      </c>
      <c r="G1883" s="1" t="s">
        <v>11</v>
      </c>
      <c r="H1883" s="1" t="s">
        <v>12</v>
      </c>
      <c r="I1883" s="1" t="s">
        <v>58</v>
      </c>
      <c r="J1883" s="1" t="s">
        <v>120</v>
      </c>
      <c r="K1883" s="3">
        <v>1091.98</v>
      </c>
      <c r="L1883" s="1">
        <v>19</v>
      </c>
      <c r="M1883" s="1" t="s">
        <v>34</v>
      </c>
      <c r="N1883" s="3">
        <v>-218.56</v>
      </c>
      <c r="O1883" s="1" t="s">
        <v>2219</v>
      </c>
      <c r="P1883" s="1" t="s">
        <v>2071</v>
      </c>
      <c r="Q1883" s="1" t="str">
        <f>TEXT((Data[[#This Row],[Order_Date]]), "mmm")</f>
        <v>Jul</v>
      </c>
    </row>
    <row r="1884" spans="4:17" x14ac:dyDescent="0.3">
      <c r="D1884" s="1" t="s">
        <v>1946</v>
      </c>
      <c r="E1884" s="2">
        <v>45536</v>
      </c>
      <c r="F1884" s="2">
        <v>45539</v>
      </c>
      <c r="G1884" s="1" t="s">
        <v>36</v>
      </c>
      <c r="H1884" s="1" t="s">
        <v>17</v>
      </c>
      <c r="I1884" s="1" t="s">
        <v>18</v>
      </c>
      <c r="J1884" s="1" t="s">
        <v>19</v>
      </c>
      <c r="K1884" s="3">
        <v>638.54</v>
      </c>
      <c r="L1884" s="1">
        <v>1</v>
      </c>
      <c r="M1884" s="1" t="s">
        <v>29</v>
      </c>
      <c r="N1884" s="3">
        <v>-117.28</v>
      </c>
      <c r="O1884" s="1" t="s">
        <v>2075</v>
      </c>
      <c r="P1884" s="1" t="s">
        <v>2071</v>
      </c>
      <c r="Q1884" s="1" t="str">
        <f>TEXT((Data[[#This Row],[Order_Date]]), "mmm")</f>
        <v>Sep</v>
      </c>
    </row>
    <row r="1885" spans="4:17" x14ac:dyDescent="0.3">
      <c r="D1885" s="1" t="s">
        <v>1947</v>
      </c>
      <c r="E1885" s="2">
        <v>45380</v>
      </c>
      <c r="F1885" s="2">
        <v>45381</v>
      </c>
      <c r="G1885" s="1" t="s">
        <v>31</v>
      </c>
      <c r="H1885" s="1" t="s">
        <v>17</v>
      </c>
      <c r="I1885" s="1" t="s">
        <v>27</v>
      </c>
      <c r="J1885" s="1" t="s">
        <v>110</v>
      </c>
      <c r="K1885" s="3">
        <v>1380.09</v>
      </c>
      <c r="L1885" s="1">
        <v>17</v>
      </c>
      <c r="M1885" s="1" t="s">
        <v>34</v>
      </c>
      <c r="N1885" s="3">
        <v>148.79</v>
      </c>
      <c r="O1885" s="1" t="s">
        <v>2104</v>
      </c>
      <c r="P1885" s="1" t="s">
        <v>2076</v>
      </c>
      <c r="Q1885" s="1" t="str">
        <f>TEXT((Data[[#This Row],[Order_Date]]), "mmm")</f>
        <v>Mar</v>
      </c>
    </row>
    <row r="1886" spans="4:17" x14ac:dyDescent="0.3">
      <c r="D1886" s="1" t="s">
        <v>1948</v>
      </c>
      <c r="E1886" s="2">
        <v>45503</v>
      </c>
      <c r="F1886" s="2">
        <v>45508</v>
      </c>
      <c r="G1886" s="1" t="s">
        <v>36</v>
      </c>
      <c r="H1886" s="1" t="s">
        <v>23</v>
      </c>
      <c r="I1886" s="1" t="s">
        <v>78</v>
      </c>
      <c r="J1886" s="1" t="s">
        <v>118</v>
      </c>
      <c r="K1886" s="3">
        <v>389.85</v>
      </c>
      <c r="L1886" s="1">
        <v>1</v>
      </c>
      <c r="M1886" s="1" t="s">
        <v>20</v>
      </c>
      <c r="N1886" s="3">
        <v>54.79</v>
      </c>
      <c r="O1886" s="1" t="s">
        <v>2253</v>
      </c>
      <c r="P1886" s="1" t="s">
        <v>2076</v>
      </c>
      <c r="Q1886" s="1" t="str">
        <f>TEXT((Data[[#This Row],[Order_Date]]), "mmm")</f>
        <v>Jul</v>
      </c>
    </row>
    <row r="1887" spans="4:17" x14ac:dyDescent="0.3">
      <c r="D1887" s="1" t="s">
        <v>1949</v>
      </c>
      <c r="E1887" s="2">
        <v>45447</v>
      </c>
      <c r="F1887" s="2">
        <v>45453</v>
      </c>
      <c r="G1887" s="1" t="s">
        <v>11</v>
      </c>
      <c r="H1887" s="1" t="s">
        <v>17</v>
      </c>
      <c r="I1887" s="1" t="s">
        <v>32</v>
      </c>
      <c r="J1887" s="1" t="s">
        <v>56</v>
      </c>
      <c r="K1887" s="3">
        <v>2374.65</v>
      </c>
      <c r="L1887" s="1">
        <v>1</v>
      </c>
      <c r="M1887" s="1" t="s">
        <v>44</v>
      </c>
      <c r="N1887" s="3">
        <v>757.92</v>
      </c>
      <c r="O1887" s="1" t="s">
        <v>2121</v>
      </c>
      <c r="P1887" s="1" t="s">
        <v>2071</v>
      </c>
      <c r="Q1887" s="1" t="str">
        <f>TEXT((Data[[#This Row],[Order_Date]]), "mmm")</f>
        <v>Jun</v>
      </c>
    </row>
    <row r="1888" spans="4:17" x14ac:dyDescent="0.3">
      <c r="D1888" s="1" t="s">
        <v>1950</v>
      </c>
      <c r="E1888" s="2">
        <v>45346</v>
      </c>
      <c r="F1888" s="2">
        <v>45348</v>
      </c>
      <c r="G1888" s="1" t="s">
        <v>11</v>
      </c>
      <c r="H1888" s="1" t="s">
        <v>17</v>
      </c>
      <c r="I1888" s="1" t="s">
        <v>32</v>
      </c>
      <c r="J1888" s="1" t="s">
        <v>33</v>
      </c>
      <c r="K1888" s="3">
        <v>1499.94</v>
      </c>
      <c r="L1888" s="1">
        <v>13</v>
      </c>
      <c r="M1888" s="1" t="s">
        <v>34</v>
      </c>
      <c r="N1888" s="3">
        <v>312.93</v>
      </c>
      <c r="O1888" s="1" t="s">
        <v>2156</v>
      </c>
      <c r="P1888" s="1" t="s">
        <v>2071</v>
      </c>
      <c r="Q1888" s="1" t="str">
        <f>TEXT((Data[[#This Row],[Order_Date]]), "mmm")</f>
        <v>Feb</v>
      </c>
    </row>
    <row r="1889" spans="4:17" x14ac:dyDescent="0.3">
      <c r="D1889" s="1" t="s">
        <v>1951</v>
      </c>
      <c r="E1889" s="2">
        <v>45389</v>
      </c>
      <c r="F1889" s="2">
        <v>45394</v>
      </c>
      <c r="G1889" s="1" t="s">
        <v>36</v>
      </c>
      <c r="H1889" s="1" t="s">
        <v>12</v>
      </c>
      <c r="I1889" s="1" t="s">
        <v>42</v>
      </c>
      <c r="J1889" s="1" t="s">
        <v>48</v>
      </c>
      <c r="K1889" s="3">
        <v>2332.66</v>
      </c>
      <c r="L1889" s="1">
        <v>14</v>
      </c>
      <c r="M1889" s="1" t="s">
        <v>20</v>
      </c>
      <c r="N1889" s="3">
        <v>762.34</v>
      </c>
      <c r="O1889" s="1" t="s">
        <v>2275</v>
      </c>
      <c r="P1889" s="1" t="s">
        <v>2078</v>
      </c>
      <c r="Q1889" s="1" t="str">
        <f>TEXT((Data[[#This Row],[Order_Date]]), "mmm")</f>
        <v>Apr</v>
      </c>
    </row>
    <row r="1890" spans="4:17" x14ac:dyDescent="0.3">
      <c r="D1890" s="1" t="s">
        <v>1952</v>
      </c>
      <c r="E1890" s="2">
        <v>45327</v>
      </c>
      <c r="F1890" s="2">
        <v>45331</v>
      </c>
      <c r="G1890" s="1" t="s">
        <v>36</v>
      </c>
      <c r="H1890" s="1" t="s">
        <v>12</v>
      </c>
      <c r="I1890" s="1" t="s">
        <v>13</v>
      </c>
      <c r="J1890" s="1" t="s">
        <v>14</v>
      </c>
      <c r="K1890" s="3">
        <v>1222.6600000000001</v>
      </c>
      <c r="L1890" s="1">
        <v>11</v>
      </c>
      <c r="M1890" s="1" t="s">
        <v>49</v>
      </c>
      <c r="N1890" s="3">
        <v>-203.41</v>
      </c>
      <c r="O1890" s="1" t="s">
        <v>2122</v>
      </c>
      <c r="P1890" s="1" t="s">
        <v>2078</v>
      </c>
      <c r="Q1890" s="1" t="str">
        <f>TEXT((Data[[#This Row],[Order_Date]]), "mmm")</f>
        <v>Feb</v>
      </c>
    </row>
    <row r="1891" spans="4:17" x14ac:dyDescent="0.3">
      <c r="D1891" s="1" t="s">
        <v>1953</v>
      </c>
      <c r="E1891" s="2">
        <v>45406</v>
      </c>
      <c r="F1891" s="2">
        <v>45411</v>
      </c>
      <c r="G1891" s="1" t="s">
        <v>11</v>
      </c>
      <c r="H1891" s="1" t="s">
        <v>17</v>
      </c>
      <c r="I1891" s="1" t="s">
        <v>27</v>
      </c>
      <c r="J1891" s="1" t="s">
        <v>132</v>
      </c>
      <c r="K1891" s="3">
        <v>964.35</v>
      </c>
      <c r="L1891" s="1">
        <v>14</v>
      </c>
      <c r="M1891" s="1" t="s">
        <v>44</v>
      </c>
      <c r="N1891" s="3">
        <v>318.08</v>
      </c>
      <c r="O1891" s="1" t="s">
        <v>2244</v>
      </c>
      <c r="P1891" s="1" t="s">
        <v>2078</v>
      </c>
      <c r="Q1891" s="1" t="str">
        <f>TEXT((Data[[#This Row],[Order_Date]]), "mmm")</f>
        <v>Apr</v>
      </c>
    </row>
    <row r="1892" spans="4:17" x14ac:dyDescent="0.3">
      <c r="D1892" s="1" t="s">
        <v>1954</v>
      </c>
      <c r="E1892" s="2">
        <v>45309</v>
      </c>
      <c r="F1892" s="2">
        <v>45312</v>
      </c>
      <c r="G1892" s="1" t="s">
        <v>22</v>
      </c>
      <c r="H1892" s="1" t="s">
        <v>23</v>
      </c>
      <c r="I1892" s="1" t="s">
        <v>65</v>
      </c>
      <c r="J1892" s="1" t="s">
        <v>114</v>
      </c>
      <c r="K1892" s="3">
        <v>936.67</v>
      </c>
      <c r="L1892" s="1">
        <v>14</v>
      </c>
      <c r="M1892" s="1" t="s">
        <v>44</v>
      </c>
      <c r="N1892" s="3">
        <v>-231.18</v>
      </c>
      <c r="O1892" s="1" t="s">
        <v>2113</v>
      </c>
      <c r="P1892" s="1" t="s">
        <v>2076</v>
      </c>
      <c r="Q1892" s="1" t="str">
        <f>TEXT((Data[[#This Row],[Order_Date]]), "mmm")</f>
        <v>Jan</v>
      </c>
    </row>
    <row r="1893" spans="4:17" x14ac:dyDescent="0.3">
      <c r="D1893" s="1" t="s">
        <v>1955</v>
      </c>
      <c r="E1893" s="2">
        <v>45410</v>
      </c>
      <c r="F1893" s="2">
        <v>45417</v>
      </c>
      <c r="G1893" s="1" t="s">
        <v>31</v>
      </c>
      <c r="H1893" s="1" t="s">
        <v>12</v>
      </c>
      <c r="I1893" s="1" t="s">
        <v>42</v>
      </c>
      <c r="J1893" s="1" t="s">
        <v>48</v>
      </c>
      <c r="K1893" s="3">
        <v>372.51</v>
      </c>
      <c r="L1893" s="1">
        <v>11</v>
      </c>
      <c r="M1893" s="1" t="s">
        <v>15</v>
      </c>
      <c r="N1893" s="3">
        <v>-97.73</v>
      </c>
      <c r="O1893" s="1" t="s">
        <v>2094</v>
      </c>
      <c r="P1893" s="1" t="s">
        <v>2078</v>
      </c>
      <c r="Q1893" s="1" t="str">
        <f>TEXT((Data[[#This Row],[Order_Date]]), "mmm")</f>
        <v>Apr</v>
      </c>
    </row>
    <row r="1894" spans="4:17" x14ac:dyDescent="0.3">
      <c r="D1894" s="1" t="s">
        <v>1956</v>
      </c>
      <c r="E1894" s="2">
        <v>45435</v>
      </c>
      <c r="F1894" s="2">
        <v>45441</v>
      </c>
      <c r="G1894" s="1" t="s">
        <v>11</v>
      </c>
      <c r="H1894" s="1" t="s">
        <v>17</v>
      </c>
      <c r="I1894" s="1" t="s">
        <v>32</v>
      </c>
      <c r="J1894" s="1" t="s">
        <v>56</v>
      </c>
      <c r="K1894" s="3">
        <v>2674.87</v>
      </c>
      <c r="L1894" s="1">
        <v>16</v>
      </c>
      <c r="M1894" s="1" t="s">
        <v>49</v>
      </c>
      <c r="N1894" s="3">
        <v>-847.35</v>
      </c>
      <c r="O1894" s="1" t="s">
        <v>2183</v>
      </c>
      <c r="P1894" s="1" t="s">
        <v>2076</v>
      </c>
      <c r="Q1894" s="1" t="str">
        <f>TEXT((Data[[#This Row],[Order_Date]]), "mmm")</f>
        <v>May</v>
      </c>
    </row>
    <row r="1895" spans="4:17" x14ac:dyDescent="0.3">
      <c r="D1895" s="1" t="s">
        <v>1957</v>
      </c>
      <c r="E1895" s="2">
        <v>45426</v>
      </c>
      <c r="F1895" s="2">
        <v>45429</v>
      </c>
      <c r="G1895" s="1" t="s">
        <v>11</v>
      </c>
      <c r="H1895" s="1" t="s">
        <v>23</v>
      </c>
      <c r="I1895" s="1" t="s">
        <v>78</v>
      </c>
      <c r="J1895" s="1" t="s">
        <v>79</v>
      </c>
      <c r="K1895" s="3">
        <v>469.17</v>
      </c>
      <c r="L1895" s="1">
        <v>8</v>
      </c>
      <c r="M1895" s="1" t="s">
        <v>29</v>
      </c>
      <c r="N1895" s="3">
        <v>135.21</v>
      </c>
      <c r="O1895" s="1" t="s">
        <v>2148</v>
      </c>
      <c r="P1895" s="1" t="s">
        <v>2071</v>
      </c>
      <c r="Q1895" s="1" t="str">
        <f>TEXT((Data[[#This Row],[Order_Date]]), "mmm")</f>
        <v>May</v>
      </c>
    </row>
    <row r="1896" spans="4:17" x14ac:dyDescent="0.3">
      <c r="D1896" s="1" t="s">
        <v>1958</v>
      </c>
      <c r="E1896" s="2">
        <v>45316</v>
      </c>
      <c r="F1896" s="2">
        <v>45318</v>
      </c>
      <c r="G1896" s="1" t="s">
        <v>22</v>
      </c>
      <c r="H1896" s="1" t="s">
        <v>12</v>
      </c>
      <c r="I1896" s="1" t="s">
        <v>13</v>
      </c>
      <c r="J1896" s="1" t="s">
        <v>96</v>
      </c>
      <c r="K1896" s="3">
        <v>1715.66</v>
      </c>
      <c r="L1896" s="1">
        <v>6</v>
      </c>
      <c r="M1896" s="1" t="s">
        <v>49</v>
      </c>
      <c r="N1896" s="3">
        <v>472.63</v>
      </c>
      <c r="O1896" s="1" t="s">
        <v>2187</v>
      </c>
      <c r="P1896" s="1" t="s">
        <v>2076</v>
      </c>
      <c r="Q1896" s="1" t="str">
        <f>TEXT((Data[[#This Row],[Order_Date]]), "mmm")</f>
        <v>Jan</v>
      </c>
    </row>
    <row r="1897" spans="4:17" x14ac:dyDescent="0.3">
      <c r="D1897" s="1" t="s">
        <v>1959</v>
      </c>
      <c r="E1897" s="2">
        <v>45373</v>
      </c>
      <c r="F1897" s="2">
        <v>45376</v>
      </c>
      <c r="G1897" s="1" t="s">
        <v>22</v>
      </c>
      <c r="H1897" s="1" t="s">
        <v>17</v>
      </c>
      <c r="I1897" s="1" t="s">
        <v>32</v>
      </c>
      <c r="J1897" s="1" t="s">
        <v>56</v>
      </c>
      <c r="K1897" s="3">
        <v>2588.5300000000002</v>
      </c>
      <c r="L1897" s="1">
        <v>8</v>
      </c>
      <c r="M1897" s="1" t="s">
        <v>20</v>
      </c>
      <c r="N1897" s="3">
        <v>-235.27</v>
      </c>
      <c r="O1897" s="1" t="s">
        <v>2219</v>
      </c>
      <c r="P1897" s="1" t="s">
        <v>2076</v>
      </c>
      <c r="Q1897" s="1" t="str">
        <f>TEXT((Data[[#This Row],[Order_Date]]), "mmm")</f>
        <v>Mar</v>
      </c>
    </row>
    <row r="1898" spans="4:17" x14ac:dyDescent="0.3">
      <c r="D1898" s="1" t="s">
        <v>1960</v>
      </c>
      <c r="E1898" s="2">
        <v>45497</v>
      </c>
      <c r="F1898" s="2">
        <v>45498</v>
      </c>
      <c r="G1898" s="1" t="s">
        <v>22</v>
      </c>
      <c r="H1898" s="1" t="s">
        <v>17</v>
      </c>
      <c r="I1898" s="1" t="s">
        <v>18</v>
      </c>
      <c r="J1898" s="1" t="s">
        <v>19</v>
      </c>
      <c r="K1898" s="3">
        <v>332.37</v>
      </c>
      <c r="L1898" s="1">
        <v>7</v>
      </c>
      <c r="M1898" s="1" t="s">
        <v>34</v>
      </c>
      <c r="N1898" s="3">
        <v>57.33</v>
      </c>
      <c r="O1898" s="1" t="s">
        <v>2237</v>
      </c>
      <c r="P1898" s="1" t="s">
        <v>2076</v>
      </c>
      <c r="Q1898" s="1" t="str">
        <f>TEXT((Data[[#This Row],[Order_Date]]), "mmm")</f>
        <v>Jul</v>
      </c>
    </row>
    <row r="1899" spans="4:17" x14ac:dyDescent="0.3">
      <c r="D1899" s="1" t="s">
        <v>1961</v>
      </c>
      <c r="E1899" s="2">
        <v>45646</v>
      </c>
      <c r="F1899" s="2">
        <v>45647</v>
      </c>
      <c r="G1899" s="1" t="s">
        <v>31</v>
      </c>
      <c r="H1899" s="1" t="s">
        <v>23</v>
      </c>
      <c r="I1899" s="1" t="s">
        <v>24</v>
      </c>
      <c r="J1899" s="1" t="s">
        <v>25</v>
      </c>
      <c r="K1899" s="3">
        <v>1890.77</v>
      </c>
      <c r="L1899" s="1">
        <v>14</v>
      </c>
      <c r="M1899" s="1" t="s">
        <v>44</v>
      </c>
      <c r="N1899" s="3">
        <v>534.66</v>
      </c>
      <c r="O1899" s="1" t="s">
        <v>2220</v>
      </c>
      <c r="P1899" s="1" t="s">
        <v>2076</v>
      </c>
      <c r="Q1899" s="1" t="str">
        <f>TEXT((Data[[#This Row],[Order_Date]]), "mmm")</f>
        <v>Dec</v>
      </c>
    </row>
    <row r="1900" spans="4:17" x14ac:dyDescent="0.3">
      <c r="D1900" s="1" t="s">
        <v>1962</v>
      </c>
      <c r="E1900" s="2">
        <v>45469</v>
      </c>
      <c r="F1900" s="2">
        <v>45474</v>
      </c>
      <c r="G1900" s="1" t="s">
        <v>22</v>
      </c>
      <c r="H1900" s="1" t="s">
        <v>12</v>
      </c>
      <c r="I1900" s="1" t="s">
        <v>38</v>
      </c>
      <c r="J1900" s="1" t="s">
        <v>81</v>
      </c>
      <c r="K1900" s="3">
        <v>1292.48</v>
      </c>
      <c r="L1900" s="1">
        <v>12</v>
      </c>
      <c r="M1900" s="1" t="s">
        <v>44</v>
      </c>
      <c r="N1900" s="3">
        <v>86.36</v>
      </c>
      <c r="O1900" s="1" t="s">
        <v>2156</v>
      </c>
      <c r="P1900" s="1" t="s">
        <v>2076</v>
      </c>
      <c r="Q1900" s="1" t="str">
        <f>TEXT((Data[[#This Row],[Order_Date]]), "mmm")</f>
        <v>Jun</v>
      </c>
    </row>
    <row r="1901" spans="4:17" x14ac:dyDescent="0.3">
      <c r="D1901" s="1" t="s">
        <v>1963</v>
      </c>
      <c r="E1901" s="2">
        <v>45380</v>
      </c>
      <c r="F1901" s="2">
        <v>45383</v>
      </c>
      <c r="G1901" s="1" t="s">
        <v>36</v>
      </c>
      <c r="H1901" s="1" t="s">
        <v>23</v>
      </c>
      <c r="I1901" s="1" t="s">
        <v>78</v>
      </c>
      <c r="J1901" s="1" t="s">
        <v>118</v>
      </c>
      <c r="K1901" s="3">
        <v>358.91</v>
      </c>
      <c r="L1901" s="1">
        <v>9</v>
      </c>
      <c r="M1901" s="1" t="s">
        <v>15</v>
      </c>
      <c r="N1901" s="3">
        <v>116.78</v>
      </c>
      <c r="O1901" s="1" t="s">
        <v>2183</v>
      </c>
      <c r="P1901" s="1" t="s">
        <v>2078</v>
      </c>
      <c r="Q1901" s="1" t="str">
        <f>TEXT((Data[[#This Row],[Order_Date]]), "mmm")</f>
        <v>Mar</v>
      </c>
    </row>
    <row r="1902" spans="4:17" x14ac:dyDescent="0.3">
      <c r="D1902" s="1" t="s">
        <v>1964</v>
      </c>
      <c r="E1902" s="2">
        <v>45315</v>
      </c>
      <c r="F1902" s="2">
        <v>45317</v>
      </c>
      <c r="G1902" s="1" t="s">
        <v>36</v>
      </c>
      <c r="H1902" s="1" t="s">
        <v>23</v>
      </c>
      <c r="I1902" s="1" t="s">
        <v>61</v>
      </c>
      <c r="J1902" s="1" t="s">
        <v>62</v>
      </c>
      <c r="K1902" s="3">
        <v>3285.62</v>
      </c>
      <c r="L1902" s="1">
        <v>1</v>
      </c>
      <c r="M1902" s="1" t="s">
        <v>20</v>
      </c>
      <c r="N1902" s="3">
        <v>612</v>
      </c>
      <c r="O1902" s="1" t="s">
        <v>2273</v>
      </c>
      <c r="P1902" s="1" t="s">
        <v>2076</v>
      </c>
      <c r="Q1902" s="1" t="str">
        <f>TEXT((Data[[#This Row],[Order_Date]]), "mmm")</f>
        <v>Jan</v>
      </c>
    </row>
    <row r="1903" spans="4:17" x14ac:dyDescent="0.3">
      <c r="D1903" s="1" t="s">
        <v>1965</v>
      </c>
      <c r="E1903" s="2">
        <v>45375</v>
      </c>
      <c r="F1903" s="2">
        <v>45377</v>
      </c>
      <c r="G1903" s="1" t="s">
        <v>36</v>
      </c>
      <c r="H1903" s="1" t="s">
        <v>17</v>
      </c>
      <c r="I1903" s="1" t="s">
        <v>27</v>
      </c>
      <c r="J1903" s="1" t="s">
        <v>28</v>
      </c>
      <c r="K1903" s="3">
        <v>1897.55</v>
      </c>
      <c r="L1903" s="1">
        <v>14</v>
      </c>
      <c r="M1903" s="1" t="s">
        <v>34</v>
      </c>
      <c r="N1903" s="3">
        <v>470.91</v>
      </c>
      <c r="O1903" s="1" t="s">
        <v>2211</v>
      </c>
      <c r="P1903" s="1" t="s">
        <v>2078</v>
      </c>
      <c r="Q1903" s="1" t="str">
        <f>TEXT((Data[[#This Row],[Order_Date]]), "mmm")</f>
        <v>Mar</v>
      </c>
    </row>
    <row r="1904" spans="4:17" x14ac:dyDescent="0.3">
      <c r="D1904" s="1" t="s">
        <v>1966</v>
      </c>
      <c r="E1904" s="2">
        <v>45344</v>
      </c>
      <c r="F1904" s="2">
        <v>45351</v>
      </c>
      <c r="G1904" s="1" t="s">
        <v>31</v>
      </c>
      <c r="H1904" s="1" t="s">
        <v>23</v>
      </c>
      <c r="I1904" s="1" t="s">
        <v>24</v>
      </c>
      <c r="J1904" s="1" t="s">
        <v>93</v>
      </c>
      <c r="K1904" s="3">
        <v>647.02</v>
      </c>
      <c r="L1904" s="1">
        <v>20</v>
      </c>
      <c r="M1904" s="1" t="s">
        <v>44</v>
      </c>
      <c r="N1904" s="3">
        <v>-212.03</v>
      </c>
      <c r="O1904" s="1" t="s">
        <v>2298</v>
      </c>
      <c r="P1904" s="1" t="s">
        <v>2076</v>
      </c>
      <c r="Q1904" s="1" t="str">
        <f>TEXT((Data[[#This Row],[Order_Date]]), "mmm")</f>
        <v>Feb</v>
      </c>
    </row>
    <row r="1905" spans="4:17" x14ac:dyDescent="0.3">
      <c r="D1905" s="1" t="s">
        <v>1967</v>
      </c>
      <c r="E1905" s="2">
        <v>45476</v>
      </c>
      <c r="F1905" s="2">
        <v>45479</v>
      </c>
      <c r="G1905" s="1" t="s">
        <v>31</v>
      </c>
      <c r="H1905" s="1" t="s">
        <v>17</v>
      </c>
      <c r="I1905" s="1" t="s">
        <v>32</v>
      </c>
      <c r="J1905" s="1" t="s">
        <v>33</v>
      </c>
      <c r="K1905" s="3">
        <v>2608.46</v>
      </c>
      <c r="L1905" s="1">
        <v>11</v>
      </c>
      <c r="M1905" s="1" t="s">
        <v>29</v>
      </c>
      <c r="N1905" s="3">
        <v>-812.96</v>
      </c>
      <c r="O1905" s="1" t="s">
        <v>2196</v>
      </c>
      <c r="P1905" s="1" t="s">
        <v>2071</v>
      </c>
      <c r="Q1905" s="1" t="str">
        <f>TEXT((Data[[#This Row],[Order_Date]]), "mmm")</f>
        <v>Jul</v>
      </c>
    </row>
    <row r="1906" spans="4:17" x14ac:dyDescent="0.3">
      <c r="D1906" s="1" t="s">
        <v>1968</v>
      </c>
      <c r="E1906" s="2">
        <v>45371</v>
      </c>
      <c r="F1906" s="2">
        <v>45376</v>
      </c>
      <c r="G1906" s="1" t="s">
        <v>11</v>
      </c>
      <c r="H1906" s="1" t="s">
        <v>12</v>
      </c>
      <c r="I1906" s="1" t="s">
        <v>13</v>
      </c>
      <c r="J1906" s="1" t="s">
        <v>96</v>
      </c>
      <c r="K1906" s="3">
        <v>1728.26</v>
      </c>
      <c r="L1906" s="1">
        <v>18</v>
      </c>
      <c r="M1906" s="1" t="s">
        <v>34</v>
      </c>
      <c r="N1906" s="3">
        <v>455.89</v>
      </c>
      <c r="O1906" s="1" t="s">
        <v>2191</v>
      </c>
      <c r="P1906" s="1" t="s">
        <v>2071</v>
      </c>
      <c r="Q1906" s="1" t="str">
        <f>TEXT((Data[[#This Row],[Order_Date]]), "mmm")</f>
        <v>Mar</v>
      </c>
    </row>
    <row r="1907" spans="4:17" x14ac:dyDescent="0.3">
      <c r="D1907" s="1" t="s">
        <v>1969</v>
      </c>
      <c r="E1907" s="2">
        <v>45367</v>
      </c>
      <c r="F1907" s="2">
        <v>45370</v>
      </c>
      <c r="G1907" s="1" t="s">
        <v>31</v>
      </c>
      <c r="H1907" s="1" t="s">
        <v>17</v>
      </c>
      <c r="I1907" s="1" t="s">
        <v>32</v>
      </c>
      <c r="J1907" s="1" t="s">
        <v>56</v>
      </c>
      <c r="K1907" s="3">
        <v>1942.64</v>
      </c>
      <c r="L1907" s="1">
        <v>3</v>
      </c>
      <c r="M1907" s="1" t="s">
        <v>44</v>
      </c>
      <c r="N1907" s="3">
        <v>-155.25</v>
      </c>
      <c r="O1907" s="1" t="s">
        <v>2311</v>
      </c>
      <c r="P1907" s="1" t="s">
        <v>2076</v>
      </c>
      <c r="Q1907" s="1" t="str">
        <f>TEXT((Data[[#This Row],[Order_Date]]), "mmm")</f>
        <v>Mar</v>
      </c>
    </row>
    <row r="1908" spans="4:17" x14ac:dyDescent="0.3">
      <c r="D1908" s="1" t="s">
        <v>1970</v>
      </c>
      <c r="E1908" s="2">
        <v>45316</v>
      </c>
      <c r="F1908" s="2">
        <v>45317</v>
      </c>
      <c r="G1908" s="1" t="s">
        <v>31</v>
      </c>
      <c r="H1908" s="1" t="s">
        <v>12</v>
      </c>
      <c r="I1908" s="1" t="s">
        <v>38</v>
      </c>
      <c r="J1908" s="1" t="s">
        <v>81</v>
      </c>
      <c r="K1908" s="3">
        <v>2863.33</v>
      </c>
      <c r="L1908" s="1">
        <v>18</v>
      </c>
      <c r="M1908" s="1" t="s">
        <v>49</v>
      </c>
      <c r="N1908" s="3">
        <v>836.67</v>
      </c>
      <c r="O1908" s="1" t="s">
        <v>2287</v>
      </c>
      <c r="P1908" s="1" t="s">
        <v>2076</v>
      </c>
      <c r="Q1908" s="1" t="str">
        <f>TEXT((Data[[#This Row],[Order_Date]]), "mmm")</f>
        <v>Jan</v>
      </c>
    </row>
    <row r="1909" spans="4:17" x14ac:dyDescent="0.3">
      <c r="D1909" s="1" t="s">
        <v>1971</v>
      </c>
      <c r="E1909" s="2">
        <v>45317</v>
      </c>
      <c r="F1909" s="2">
        <v>45318</v>
      </c>
      <c r="G1909" s="1" t="s">
        <v>31</v>
      </c>
      <c r="H1909" s="1" t="s">
        <v>17</v>
      </c>
      <c r="I1909" s="1" t="s">
        <v>27</v>
      </c>
      <c r="J1909" s="1" t="s">
        <v>110</v>
      </c>
      <c r="K1909" s="3">
        <v>2850.95</v>
      </c>
      <c r="L1909" s="1">
        <v>8</v>
      </c>
      <c r="M1909" s="1" t="s">
        <v>29</v>
      </c>
      <c r="N1909" s="3">
        <v>-271.74</v>
      </c>
      <c r="O1909" s="1" t="s">
        <v>2245</v>
      </c>
      <c r="P1909" s="1" t="s">
        <v>2078</v>
      </c>
      <c r="Q1909" s="1" t="str">
        <f>TEXT((Data[[#This Row],[Order_Date]]), "mmm")</f>
        <v>Jan</v>
      </c>
    </row>
    <row r="1910" spans="4:17" x14ac:dyDescent="0.3">
      <c r="D1910" s="1" t="s">
        <v>1972</v>
      </c>
      <c r="E1910" s="2">
        <v>45609</v>
      </c>
      <c r="F1910" s="2">
        <v>45613</v>
      </c>
      <c r="G1910" s="1" t="s">
        <v>36</v>
      </c>
      <c r="H1910" s="1" t="s">
        <v>17</v>
      </c>
      <c r="I1910" s="1" t="s">
        <v>32</v>
      </c>
      <c r="J1910" s="1" t="s">
        <v>33</v>
      </c>
      <c r="K1910" s="3">
        <v>3007.07</v>
      </c>
      <c r="L1910" s="1">
        <v>4</v>
      </c>
      <c r="M1910" s="1" t="s">
        <v>49</v>
      </c>
      <c r="N1910" s="3">
        <v>242.39</v>
      </c>
      <c r="O1910" s="1" t="s">
        <v>2156</v>
      </c>
      <c r="P1910" s="1" t="s">
        <v>2076</v>
      </c>
      <c r="Q1910" s="1" t="str">
        <f>TEXT((Data[[#This Row],[Order_Date]]), "mmm")</f>
        <v>Nov</v>
      </c>
    </row>
    <row r="1911" spans="4:17" x14ac:dyDescent="0.3">
      <c r="D1911" s="1" t="s">
        <v>1973</v>
      </c>
      <c r="E1911" s="2">
        <v>45544</v>
      </c>
      <c r="F1911" s="2">
        <v>45550</v>
      </c>
      <c r="G1911" s="1" t="s">
        <v>36</v>
      </c>
      <c r="H1911" s="1" t="s">
        <v>17</v>
      </c>
      <c r="I1911" s="1" t="s">
        <v>18</v>
      </c>
      <c r="J1911" s="1" t="s">
        <v>90</v>
      </c>
      <c r="K1911" s="3">
        <v>1954.01</v>
      </c>
      <c r="L1911" s="1">
        <v>6</v>
      </c>
      <c r="M1911" s="1" t="s">
        <v>20</v>
      </c>
      <c r="N1911" s="3">
        <v>309.14999999999998</v>
      </c>
      <c r="O1911" s="1" t="s">
        <v>2215</v>
      </c>
      <c r="P1911" s="1" t="s">
        <v>2078</v>
      </c>
      <c r="Q1911" s="1" t="str">
        <f>TEXT((Data[[#This Row],[Order_Date]]), "mmm")</f>
        <v>Sep</v>
      </c>
    </row>
    <row r="1912" spans="4:17" x14ac:dyDescent="0.3">
      <c r="D1912" s="1" t="s">
        <v>1974</v>
      </c>
      <c r="E1912" s="2">
        <v>45365</v>
      </c>
      <c r="F1912" s="2">
        <v>45366</v>
      </c>
      <c r="G1912" s="1" t="s">
        <v>31</v>
      </c>
      <c r="H1912" s="1" t="s">
        <v>17</v>
      </c>
      <c r="I1912" s="1" t="s">
        <v>27</v>
      </c>
      <c r="J1912" s="1" t="s">
        <v>110</v>
      </c>
      <c r="K1912" s="3">
        <v>2819.12</v>
      </c>
      <c r="L1912" s="1">
        <v>9</v>
      </c>
      <c r="M1912" s="1" t="s">
        <v>29</v>
      </c>
      <c r="N1912" s="3">
        <v>884.42</v>
      </c>
      <c r="O1912" s="1" t="s">
        <v>2159</v>
      </c>
      <c r="P1912" s="1" t="s">
        <v>2078</v>
      </c>
      <c r="Q1912" s="1" t="str">
        <f>TEXT((Data[[#This Row],[Order_Date]]), "mmm")</f>
        <v>Mar</v>
      </c>
    </row>
    <row r="1913" spans="4:17" x14ac:dyDescent="0.3">
      <c r="D1913" s="1" t="s">
        <v>1975</v>
      </c>
      <c r="E1913" s="2">
        <v>45390</v>
      </c>
      <c r="F1913" s="2">
        <v>45393</v>
      </c>
      <c r="G1913" s="1" t="s">
        <v>11</v>
      </c>
      <c r="H1913" s="1" t="s">
        <v>12</v>
      </c>
      <c r="I1913" s="1" t="s">
        <v>58</v>
      </c>
      <c r="J1913" s="1" t="s">
        <v>120</v>
      </c>
      <c r="K1913" s="3">
        <v>3910.61</v>
      </c>
      <c r="L1913" s="1">
        <v>10</v>
      </c>
      <c r="M1913" s="1" t="s">
        <v>34</v>
      </c>
      <c r="N1913" s="3">
        <v>715.04</v>
      </c>
      <c r="O1913" s="1" t="s">
        <v>2131</v>
      </c>
      <c r="P1913" s="1" t="s">
        <v>2076</v>
      </c>
      <c r="Q1913" s="1" t="str">
        <f>TEXT((Data[[#This Row],[Order_Date]]), "mmm")</f>
        <v>Apr</v>
      </c>
    </row>
    <row r="1914" spans="4:17" x14ac:dyDescent="0.3">
      <c r="D1914" s="1" t="s">
        <v>1976</v>
      </c>
      <c r="E1914" s="2">
        <v>45301</v>
      </c>
      <c r="F1914" s="2">
        <v>45305</v>
      </c>
      <c r="G1914" s="1" t="s">
        <v>31</v>
      </c>
      <c r="H1914" s="1" t="s">
        <v>12</v>
      </c>
      <c r="I1914" s="1" t="s">
        <v>13</v>
      </c>
      <c r="J1914" s="1" t="s">
        <v>51</v>
      </c>
      <c r="K1914" s="3">
        <v>1266.1099999999999</v>
      </c>
      <c r="L1914" s="1">
        <v>1</v>
      </c>
      <c r="M1914" s="1" t="s">
        <v>44</v>
      </c>
      <c r="N1914" s="3">
        <v>67.23</v>
      </c>
      <c r="O1914" s="1" t="s">
        <v>2098</v>
      </c>
      <c r="P1914" s="1" t="s">
        <v>2071</v>
      </c>
      <c r="Q1914" s="1" t="str">
        <f>TEXT((Data[[#This Row],[Order_Date]]), "mmm")</f>
        <v>Jan</v>
      </c>
    </row>
    <row r="1915" spans="4:17" x14ac:dyDescent="0.3">
      <c r="D1915" s="1" t="s">
        <v>1977</v>
      </c>
      <c r="E1915" s="2">
        <v>45641</v>
      </c>
      <c r="F1915" s="2">
        <v>45647</v>
      </c>
      <c r="G1915" s="1" t="s">
        <v>36</v>
      </c>
      <c r="H1915" s="1" t="s">
        <v>17</v>
      </c>
      <c r="I1915" s="1" t="s">
        <v>32</v>
      </c>
      <c r="J1915" s="1" t="s">
        <v>33</v>
      </c>
      <c r="K1915" s="3">
        <v>960.5</v>
      </c>
      <c r="L1915" s="1">
        <v>15</v>
      </c>
      <c r="M1915" s="1" t="s">
        <v>49</v>
      </c>
      <c r="N1915" s="3">
        <v>122.19</v>
      </c>
      <c r="O1915" s="1" t="s">
        <v>2084</v>
      </c>
      <c r="P1915" s="1" t="s">
        <v>2071</v>
      </c>
      <c r="Q1915" s="1" t="str">
        <f>TEXT((Data[[#This Row],[Order_Date]]), "mmm")</f>
        <v>Dec</v>
      </c>
    </row>
    <row r="1916" spans="4:17" x14ac:dyDescent="0.3">
      <c r="D1916" s="1" t="s">
        <v>1978</v>
      </c>
      <c r="E1916" s="2">
        <v>45385</v>
      </c>
      <c r="F1916" s="2">
        <v>45391</v>
      </c>
      <c r="G1916" s="1" t="s">
        <v>31</v>
      </c>
      <c r="H1916" s="1" t="s">
        <v>12</v>
      </c>
      <c r="I1916" s="1" t="s">
        <v>58</v>
      </c>
      <c r="J1916" s="1" t="s">
        <v>120</v>
      </c>
      <c r="K1916" s="3">
        <v>3803.61</v>
      </c>
      <c r="L1916" s="1">
        <v>20</v>
      </c>
      <c r="M1916" s="1" t="s">
        <v>15</v>
      </c>
      <c r="N1916" s="3">
        <v>551.37</v>
      </c>
      <c r="O1916" s="1" t="s">
        <v>2276</v>
      </c>
      <c r="P1916" s="1" t="s">
        <v>2071</v>
      </c>
      <c r="Q1916" s="1" t="str">
        <f>TEXT((Data[[#This Row],[Order_Date]]), "mmm")</f>
        <v>Apr</v>
      </c>
    </row>
    <row r="1917" spans="4:17" x14ac:dyDescent="0.3">
      <c r="D1917" s="1" t="s">
        <v>1979</v>
      </c>
      <c r="E1917" s="2">
        <v>45386</v>
      </c>
      <c r="F1917" s="2">
        <v>45393</v>
      </c>
      <c r="G1917" s="1" t="s">
        <v>31</v>
      </c>
      <c r="H1917" s="1" t="s">
        <v>23</v>
      </c>
      <c r="I1917" s="1" t="s">
        <v>24</v>
      </c>
      <c r="J1917" s="1" t="s">
        <v>25</v>
      </c>
      <c r="K1917" s="3">
        <v>850.07</v>
      </c>
      <c r="L1917" s="1">
        <v>12</v>
      </c>
      <c r="M1917" s="1" t="s">
        <v>29</v>
      </c>
      <c r="N1917" s="3">
        <v>81.680000000000007</v>
      </c>
      <c r="O1917" s="1" t="s">
        <v>2091</v>
      </c>
      <c r="P1917" s="1" t="s">
        <v>2076</v>
      </c>
      <c r="Q1917" s="1" t="str">
        <f>TEXT((Data[[#This Row],[Order_Date]]), "mmm")</f>
        <v>Apr</v>
      </c>
    </row>
    <row r="1918" spans="4:17" x14ac:dyDescent="0.3">
      <c r="D1918" s="1" t="s">
        <v>1980</v>
      </c>
      <c r="E1918" s="2">
        <v>45496</v>
      </c>
      <c r="F1918" s="2">
        <v>45501</v>
      </c>
      <c r="G1918" s="1" t="s">
        <v>11</v>
      </c>
      <c r="H1918" s="1" t="s">
        <v>17</v>
      </c>
      <c r="I1918" s="1" t="s">
        <v>32</v>
      </c>
      <c r="J1918" s="1" t="s">
        <v>56</v>
      </c>
      <c r="K1918" s="3">
        <v>354.16</v>
      </c>
      <c r="L1918" s="1">
        <v>12</v>
      </c>
      <c r="M1918" s="1" t="s">
        <v>29</v>
      </c>
      <c r="N1918" s="3">
        <v>94.75</v>
      </c>
      <c r="O1918" s="1" t="s">
        <v>2266</v>
      </c>
      <c r="P1918" s="1" t="s">
        <v>2076</v>
      </c>
      <c r="Q1918" s="1" t="str">
        <f>TEXT((Data[[#This Row],[Order_Date]]), "mmm")</f>
        <v>Jul</v>
      </c>
    </row>
    <row r="1919" spans="4:17" x14ac:dyDescent="0.3">
      <c r="D1919" s="1" t="s">
        <v>1981</v>
      </c>
      <c r="E1919" s="2">
        <v>45595</v>
      </c>
      <c r="F1919" s="2">
        <v>45599</v>
      </c>
      <c r="G1919" s="1" t="s">
        <v>11</v>
      </c>
      <c r="H1919" s="1" t="s">
        <v>17</v>
      </c>
      <c r="I1919" s="1" t="s">
        <v>27</v>
      </c>
      <c r="J1919" s="1" t="s">
        <v>108</v>
      </c>
      <c r="K1919" s="3">
        <v>1068.8699999999999</v>
      </c>
      <c r="L1919" s="1">
        <v>5</v>
      </c>
      <c r="M1919" s="1" t="s">
        <v>29</v>
      </c>
      <c r="N1919" s="3">
        <v>155.33000000000001</v>
      </c>
      <c r="O1919" s="1" t="s">
        <v>2295</v>
      </c>
      <c r="P1919" s="1" t="s">
        <v>2078</v>
      </c>
      <c r="Q1919" s="1" t="str">
        <f>TEXT((Data[[#This Row],[Order_Date]]), "mmm")</f>
        <v>Oct</v>
      </c>
    </row>
    <row r="1920" spans="4:17" x14ac:dyDescent="0.3">
      <c r="D1920" s="1" t="s">
        <v>1982</v>
      </c>
      <c r="E1920" s="2">
        <v>45650</v>
      </c>
      <c r="F1920" s="2">
        <v>45656</v>
      </c>
      <c r="G1920" s="1" t="s">
        <v>22</v>
      </c>
      <c r="H1920" s="1" t="s">
        <v>23</v>
      </c>
      <c r="I1920" s="1" t="s">
        <v>78</v>
      </c>
      <c r="J1920" s="1" t="s">
        <v>79</v>
      </c>
      <c r="K1920" s="3">
        <v>2756.41</v>
      </c>
      <c r="L1920" s="1">
        <v>5</v>
      </c>
      <c r="M1920" s="1" t="s">
        <v>15</v>
      </c>
      <c r="N1920" s="3">
        <v>475.71</v>
      </c>
      <c r="O1920" s="1" t="s">
        <v>2238</v>
      </c>
      <c r="P1920" s="1" t="s">
        <v>2071</v>
      </c>
      <c r="Q1920" s="1" t="str">
        <f>TEXT((Data[[#This Row],[Order_Date]]), "mmm")</f>
        <v>Dec</v>
      </c>
    </row>
    <row r="1921" spans="4:17" x14ac:dyDescent="0.3">
      <c r="D1921" s="1" t="s">
        <v>1983</v>
      </c>
      <c r="E1921" s="2">
        <v>45443</v>
      </c>
      <c r="F1921" s="2">
        <v>45445</v>
      </c>
      <c r="G1921" s="1" t="s">
        <v>11</v>
      </c>
      <c r="H1921" s="1" t="s">
        <v>23</v>
      </c>
      <c r="I1921" s="1" t="s">
        <v>65</v>
      </c>
      <c r="J1921" s="1" t="s">
        <v>66</v>
      </c>
      <c r="K1921" s="3">
        <v>1507.09</v>
      </c>
      <c r="L1921" s="1">
        <v>9</v>
      </c>
      <c r="M1921" s="1" t="s">
        <v>29</v>
      </c>
      <c r="N1921" s="3">
        <v>307.92</v>
      </c>
      <c r="O1921" s="1" t="s">
        <v>2311</v>
      </c>
      <c r="P1921" s="1" t="s">
        <v>2071</v>
      </c>
      <c r="Q1921" s="1" t="str">
        <f>TEXT((Data[[#This Row],[Order_Date]]), "mmm")</f>
        <v>May</v>
      </c>
    </row>
    <row r="1922" spans="4:17" x14ac:dyDescent="0.3">
      <c r="D1922" s="1" t="s">
        <v>1984</v>
      </c>
      <c r="E1922" s="2">
        <v>45574</v>
      </c>
      <c r="F1922" s="2">
        <v>45579</v>
      </c>
      <c r="G1922" s="1" t="s">
        <v>11</v>
      </c>
      <c r="H1922" s="1" t="s">
        <v>17</v>
      </c>
      <c r="I1922" s="1" t="s">
        <v>18</v>
      </c>
      <c r="J1922" s="1" t="s">
        <v>90</v>
      </c>
      <c r="K1922" s="3">
        <v>651.13</v>
      </c>
      <c r="L1922" s="1">
        <v>18</v>
      </c>
      <c r="M1922" s="1" t="s">
        <v>20</v>
      </c>
      <c r="N1922" s="3">
        <v>41.08</v>
      </c>
      <c r="O1922" s="1" t="s">
        <v>2245</v>
      </c>
      <c r="P1922" s="1" t="s">
        <v>2071</v>
      </c>
      <c r="Q1922" s="1" t="str">
        <f>TEXT((Data[[#This Row],[Order_Date]]), "mmm")</f>
        <v>Oct</v>
      </c>
    </row>
    <row r="1923" spans="4:17" x14ac:dyDescent="0.3">
      <c r="D1923" s="1" t="s">
        <v>1985</v>
      </c>
      <c r="E1923" s="2">
        <v>45406</v>
      </c>
      <c r="F1923" s="2">
        <v>45408</v>
      </c>
      <c r="G1923" s="1" t="s">
        <v>11</v>
      </c>
      <c r="H1923" s="1" t="s">
        <v>12</v>
      </c>
      <c r="I1923" s="1" t="s">
        <v>38</v>
      </c>
      <c r="J1923" s="1" t="s">
        <v>81</v>
      </c>
      <c r="K1923" s="3">
        <v>3439.39</v>
      </c>
      <c r="L1923" s="1">
        <v>4</v>
      </c>
      <c r="M1923" s="1" t="s">
        <v>44</v>
      </c>
      <c r="N1923" s="3">
        <v>978.96</v>
      </c>
      <c r="O1923" s="1" t="s">
        <v>2145</v>
      </c>
      <c r="P1923" s="1" t="s">
        <v>2076</v>
      </c>
      <c r="Q1923" s="1" t="str">
        <f>TEXT((Data[[#This Row],[Order_Date]]), "mmm")</f>
        <v>Apr</v>
      </c>
    </row>
    <row r="1924" spans="4:17" x14ac:dyDescent="0.3">
      <c r="D1924" s="1" t="s">
        <v>1986</v>
      </c>
      <c r="E1924" s="2">
        <v>45443</v>
      </c>
      <c r="F1924" s="2">
        <v>45444</v>
      </c>
      <c r="G1924" s="1" t="s">
        <v>36</v>
      </c>
      <c r="H1924" s="1" t="s">
        <v>12</v>
      </c>
      <c r="I1924" s="1" t="s">
        <v>58</v>
      </c>
      <c r="J1924" s="1" t="s">
        <v>105</v>
      </c>
      <c r="K1924" s="3">
        <v>2287.9</v>
      </c>
      <c r="L1924" s="1">
        <v>18</v>
      </c>
      <c r="M1924" s="1" t="s">
        <v>49</v>
      </c>
      <c r="N1924" s="3">
        <v>794.89</v>
      </c>
      <c r="O1924" s="1" t="s">
        <v>2136</v>
      </c>
      <c r="P1924" s="1" t="s">
        <v>2076</v>
      </c>
      <c r="Q1924" s="1" t="str">
        <f>TEXT((Data[[#This Row],[Order_Date]]), "mmm")</f>
        <v>May</v>
      </c>
    </row>
    <row r="1925" spans="4:17" x14ac:dyDescent="0.3">
      <c r="D1925" s="1" t="s">
        <v>1987</v>
      </c>
      <c r="E1925" s="2">
        <v>45296</v>
      </c>
      <c r="F1925" s="2">
        <v>45297</v>
      </c>
      <c r="G1925" s="1" t="s">
        <v>11</v>
      </c>
      <c r="H1925" s="1" t="s">
        <v>12</v>
      </c>
      <c r="I1925" s="1" t="s">
        <v>13</v>
      </c>
      <c r="J1925" s="1" t="s">
        <v>129</v>
      </c>
      <c r="K1925" s="3">
        <v>2336.02</v>
      </c>
      <c r="L1925" s="1">
        <v>2</v>
      </c>
      <c r="M1925" s="1" t="s">
        <v>49</v>
      </c>
      <c r="N1925" s="3">
        <v>333.56</v>
      </c>
      <c r="O1925" s="1" t="s">
        <v>2224</v>
      </c>
      <c r="P1925" s="1" t="s">
        <v>2071</v>
      </c>
      <c r="Q1925" s="1" t="str">
        <f>TEXT((Data[[#This Row],[Order_Date]]), "mmm")</f>
        <v>Jan</v>
      </c>
    </row>
    <row r="1926" spans="4:17" x14ac:dyDescent="0.3">
      <c r="D1926" s="1" t="s">
        <v>1988</v>
      </c>
      <c r="E1926" s="2">
        <v>45360</v>
      </c>
      <c r="F1926" s="2">
        <v>45360</v>
      </c>
      <c r="G1926" s="1" t="s">
        <v>11</v>
      </c>
      <c r="H1926" s="1" t="s">
        <v>23</v>
      </c>
      <c r="I1926" s="1" t="s">
        <v>78</v>
      </c>
      <c r="J1926" s="1" t="s">
        <v>79</v>
      </c>
      <c r="K1926" s="3">
        <v>1908.42</v>
      </c>
      <c r="L1926" s="1">
        <v>17</v>
      </c>
      <c r="M1926" s="1" t="s">
        <v>49</v>
      </c>
      <c r="N1926" s="3">
        <v>235.43</v>
      </c>
      <c r="O1926" s="1" t="s">
        <v>2299</v>
      </c>
      <c r="P1926" s="1" t="s">
        <v>2071</v>
      </c>
      <c r="Q1926" s="1" t="str">
        <f>TEXT((Data[[#This Row],[Order_Date]]), "mmm")</f>
        <v>Mar</v>
      </c>
    </row>
    <row r="1927" spans="4:17" x14ac:dyDescent="0.3">
      <c r="D1927" s="1" t="s">
        <v>1989</v>
      </c>
      <c r="E1927" s="2">
        <v>45459</v>
      </c>
      <c r="F1927" s="2">
        <v>45465</v>
      </c>
      <c r="G1927" s="1" t="s">
        <v>31</v>
      </c>
      <c r="H1927" s="1" t="s">
        <v>23</v>
      </c>
      <c r="I1927" s="1" t="s">
        <v>65</v>
      </c>
      <c r="J1927" s="1" t="s">
        <v>122</v>
      </c>
      <c r="K1927" s="3">
        <v>1415.47</v>
      </c>
      <c r="L1927" s="1">
        <v>4</v>
      </c>
      <c r="M1927" s="1" t="s">
        <v>29</v>
      </c>
      <c r="N1927" s="3">
        <v>-255.64</v>
      </c>
      <c r="O1927" s="1" t="s">
        <v>2102</v>
      </c>
      <c r="P1927" s="1" t="s">
        <v>2071</v>
      </c>
      <c r="Q1927" s="1" t="str">
        <f>TEXT((Data[[#This Row],[Order_Date]]), "mmm")</f>
        <v>Jun</v>
      </c>
    </row>
    <row r="1928" spans="4:17" x14ac:dyDescent="0.3">
      <c r="D1928" s="1" t="s">
        <v>1990</v>
      </c>
      <c r="E1928" s="2">
        <v>45443</v>
      </c>
      <c r="F1928" s="2">
        <v>45445</v>
      </c>
      <c r="G1928" s="1" t="s">
        <v>11</v>
      </c>
      <c r="H1928" s="1" t="s">
        <v>12</v>
      </c>
      <c r="I1928" s="1" t="s">
        <v>58</v>
      </c>
      <c r="J1928" s="1" t="s">
        <v>59</v>
      </c>
      <c r="K1928" s="3">
        <v>3738.11</v>
      </c>
      <c r="L1928" s="1">
        <v>5</v>
      </c>
      <c r="M1928" s="1" t="s">
        <v>44</v>
      </c>
      <c r="N1928" s="3">
        <v>271.13</v>
      </c>
      <c r="O1928" s="1" t="s">
        <v>2209</v>
      </c>
      <c r="P1928" s="1" t="s">
        <v>2078</v>
      </c>
      <c r="Q1928" s="1" t="str">
        <f>TEXT((Data[[#This Row],[Order_Date]]), "mmm")</f>
        <v>May</v>
      </c>
    </row>
    <row r="1929" spans="4:17" x14ac:dyDescent="0.3">
      <c r="D1929" s="1" t="s">
        <v>1991</v>
      </c>
      <c r="E1929" s="2">
        <v>45448</v>
      </c>
      <c r="F1929" s="2">
        <v>45449</v>
      </c>
      <c r="G1929" s="1" t="s">
        <v>11</v>
      </c>
      <c r="H1929" s="1" t="s">
        <v>23</v>
      </c>
      <c r="I1929" s="1" t="s">
        <v>78</v>
      </c>
      <c r="J1929" s="1" t="s">
        <v>79</v>
      </c>
      <c r="K1929" s="3">
        <v>2244.62</v>
      </c>
      <c r="L1929" s="1">
        <v>4</v>
      </c>
      <c r="M1929" s="1" t="s">
        <v>34</v>
      </c>
      <c r="N1929" s="3">
        <v>605.65</v>
      </c>
      <c r="O1929" s="1" t="s">
        <v>2213</v>
      </c>
      <c r="P1929" s="1" t="s">
        <v>2071</v>
      </c>
      <c r="Q1929" s="1" t="str">
        <f>TEXT((Data[[#This Row],[Order_Date]]), "mmm")</f>
        <v>Jun</v>
      </c>
    </row>
    <row r="1930" spans="4:17" x14ac:dyDescent="0.3">
      <c r="D1930" s="1" t="s">
        <v>1992</v>
      </c>
      <c r="E1930" s="2">
        <v>45582</v>
      </c>
      <c r="F1930" s="2">
        <v>45583</v>
      </c>
      <c r="G1930" s="1" t="s">
        <v>11</v>
      </c>
      <c r="H1930" s="1" t="s">
        <v>23</v>
      </c>
      <c r="I1930" s="1" t="s">
        <v>65</v>
      </c>
      <c r="J1930" s="1" t="s">
        <v>66</v>
      </c>
      <c r="K1930" s="3">
        <v>3345.18</v>
      </c>
      <c r="L1930" s="1">
        <v>14</v>
      </c>
      <c r="M1930" s="1" t="s">
        <v>29</v>
      </c>
      <c r="N1930" s="3">
        <v>778.84</v>
      </c>
      <c r="O1930" s="1" t="s">
        <v>2187</v>
      </c>
      <c r="P1930" s="1" t="s">
        <v>2071</v>
      </c>
      <c r="Q1930" s="1" t="str">
        <f>TEXT((Data[[#This Row],[Order_Date]]), "mmm")</f>
        <v>Oct</v>
      </c>
    </row>
    <row r="1931" spans="4:17" x14ac:dyDescent="0.3">
      <c r="D1931" s="1" t="s">
        <v>1993</v>
      </c>
      <c r="E1931" s="2">
        <v>45434</v>
      </c>
      <c r="F1931" s="2">
        <v>45435</v>
      </c>
      <c r="G1931" s="1" t="s">
        <v>22</v>
      </c>
      <c r="H1931" s="1" t="s">
        <v>12</v>
      </c>
      <c r="I1931" s="1" t="s">
        <v>58</v>
      </c>
      <c r="J1931" s="1" t="s">
        <v>120</v>
      </c>
      <c r="K1931" s="3">
        <v>3007.58</v>
      </c>
      <c r="L1931" s="1">
        <v>1</v>
      </c>
      <c r="M1931" s="1" t="s">
        <v>20</v>
      </c>
      <c r="N1931" s="3">
        <v>348.28</v>
      </c>
      <c r="O1931" s="1" t="s">
        <v>2086</v>
      </c>
      <c r="P1931" s="1" t="s">
        <v>2071</v>
      </c>
      <c r="Q1931" s="1" t="str">
        <f>TEXT((Data[[#This Row],[Order_Date]]), "mmm")</f>
        <v>May</v>
      </c>
    </row>
    <row r="1932" spans="4:17" x14ac:dyDescent="0.3">
      <c r="D1932" s="1" t="s">
        <v>1994</v>
      </c>
      <c r="E1932" s="2">
        <v>45501</v>
      </c>
      <c r="F1932" s="2">
        <v>45501</v>
      </c>
      <c r="G1932" s="1" t="s">
        <v>22</v>
      </c>
      <c r="H1932" s="1" t="s">
        <v>12</v>
      </c>
      <c r="I1932" s="1" t="s">
        <v>38</v>
      </c>
      <c r="J1932" s="1" t="s">
        <v>81</v>
      </c>
      <c r="K1932" s="3">
        <v>270.18</v>
      </c>
      <c r="L1932" s="1">
        <v>7</v>
      </c>
      <c r="M1932" s="1" t="s">
        <v>15</v>
      </c>
      <c r="N1932" s="3">
        <v>26.58</v>
      </c>
      <c r="O1932" s="1" t="s">
        <v>2198</v>
      </c>
      <c r="P1932" s="1" t="s">
        <v>2076</v>
      </c>
      <c r="Q1932" s="1" t="str">
        <f>TEXT((Data[[#This Row],[Order_Date]]), "mmm")</f>
        <v>Jul</v>
      </c>
    </row>
    <row r="1933" spans="4:17" x14ac:dyDescent="0.3">
      <c r="D1933" s="1" t="s">
        <v>1995</v>
      </c>
      <c r="E1933" s="2">
        <v>45570</v>
      </c>
      <c r="F1933" s="2">
        <v>45576</v>
      </c>
      <c r="G1933" s="1" t="s">
        <v>22</v>
      </c>
      <c r="H1933" s="1" t="s">
        <v>17</v>
      </c>
      <c r="I1933" s="1" t="s">
        <v>18</v>
      </c>
      <c r="J1933" s="1" t="s">
        <v>54</v>
      </c>
      <c r="K1933" s="3">
        <v>2619.2800000000002</v>
      </c>
      <c r="L1933" s="1">
        <v>11</v>
      </c>
      <c r="M1933" s="1" t="s">
        <v>44</v>
      </c>
      <c r="N1933" s="3">
        <v>343.25</v>
      </c>
      <c r="O1933" s="1" t="s">
        <v>2234</v>
      </c>
      <c r="P1933" s="1" t="s">
        <v>2076</v>
      </c>
      <c r="Q1933" s="1" t="str">
        <f>TEXT((Data[[#This Row],[Order_Date]]), "mmm")</f>
        <v>Oct</v>
      </c>
    </row>
    <row r="1934" spans="4:17" x14ac:dyDescent="0.3">
      <c r="D1934" s="1" t="s">
        <v>1996</v>
      </c>
      <c r="E1934" s="2">
        <v>45412</v>
      </c>
      <c r="F1934" s="2">
        <v>45412</v>
      </c>
      <c r="G1934" s="1" t="s">
        <v>36</v>
      </c>
      <c r="H1934" s="1" t="s">
        <v>12</v>
      </c>
      <c r="I1934" s="1" t="s">
        <v>58</v>
      </c>
      <c r="J1934" s="1" t="s">
        <v>105</v>
      </c>
      <c r="K1934" s="3">
        <v>3409.19</v>
      </c>
      <c r="L1934" s="1">
        <v>20</v>
      </c>
      <c r="M1934" s="1" t="s">
        <v>44</v>
      </c>
      <c r="N1934" s="3">
        <v>845.46</v>
      </c>
      <c r="O1934" s="1" t="s">
        <v>2128</v>
      </c>
      <c r="P1934" s="1" t="s">
        <v>2078</v>
      </c>
      <c r="Q1934" s="1" t="str">
        <f>TEXT((Data[[#This Row],[Order_Date]]), "mmm")</f>
        <v>Apr</v>
      </c>
    </row>
    <row r="1935" spans="4:17" x14ac:dyDescent="0.3">
      <c r="D1935" s="1" t="s">
        <v>1997</v>
      </c>
      <c r="E1935" s="2">
        <v>45605</v>
      </c>
      <c r="F1935" s="2">
        <v>45605</v>
      </c>
      <c r="G1935" s="1" t="s">
        <v>11</v>
      </c>
      <c r="H1935" s="1" t="s">
        <v>23</v>
      </c>
      <c r="I1935" s="1" t="s">
        <v>65</v>
      </c>
      <c r="J1935" s="1" t="s">
        <v>122</v>
      </c>
      <c r="K1935" s="3">
        <v>2865.65</v>
      </c>
      <c r="L1935" s="1">
        <v>6</v>
      </c>
      <c r="M1935" s="1" t="s">
        <v>49</v>
      </c>
      <c r="N1935" s="3">
        <v>793.46</v>
      </c>
      <c r="O1935" s="1" t="s">
        <v>2254</v>
      </c>
      <c r="P1935" s="1" t="s">
        <v>2071</v>
      </c>
      <c r="Q1935" s="1" t="str">
        <f>TEXT((Data[[#This Row],[Order_Date]]), "mmm")</f>
        <v>Nov</v>
      </c>
    </row>
    <row r="1936" spans="4:17" x14ac:dyDescent="0.3">
      <c r="D1936" s="1" t="s">
        <v>1998</v>
      </c>
      <c r="E1936" s="2">
        <v>45408</v>
      </c>
      <c r="F1936" s="2">
        <v>45410</v>
      </c>
      <c r="G1936" s="1" t="s">
        <v>22</v>
      </c>
      <c r="H1936" s="1" t="s">
        <v>12</v>
      </c>
      <c r="I1936" s="1" t="s">
        <v>42</v>
      </c>
      <c r="J1936" s="1" t="s">
        <v>72</v>
      </c>
      <c r="K1936" s="3">
        <v>1054.3399999999999</v>
      </c>
      <c r="L1936" s="1">
        <v>16</v>
      </c>
      <c r="M1936" s="1" t="s">
        <v>49</v>
      </c>
      <c r="N1936" s="3">
        <v>-337.43</v>
      </c>
      <c r="O1936" s="1" t="s">
        <v>2136</v>
      </c>
      <c r="P1936" s="1" t="s">
        <v>2076</v>
      </c>
      <c r="Q1936" s="1" t="str">
        <f>TEXT((Data[[#This Row],[Order_Date]]), "mmm")</f>
        <v>Apr</v>
      </c>
    </row>
    <row r="1937" spans="4:17" x14ac:dyDescent="0.3">
      <c r="D1937" s="1" t="s">
        <v>1999</v>
      </c>
      <c r="E1937" s="2">
        <v>45464</v>
      </c>
      <c r="F1937" s="2">
        <v>45465</v>
      </c>
      <c r="G1937" s="1" t="s">
        <v>31</v>
      </c>
      <c r="H1937" s="1" t="s">
        <v>17</v>
      </c>
      <c r="I1937" s="1" t="s">
        <v>27</v>
      </c>
      <c r="J1937" s="1" t="s">
        <v>108</v>
      </c>
      <c r="K1937" s="3">
        <v>642.83000000000004</v>
      </c>
      <c r="L1937" s="1">
        <v>14</v>
      </c>
      <c r="M1937" s="1" t="s">
        <v>29</v>
      </c>
      <c r="N1937" s="3">
        <v>90.9</v>
      </c>
      <c r="O1937" s="1" t="s">
        <v>2264</v>
      </c>
      <c r="P1937" s="1" t="s">
        <v>2078</v>
      </c>
      <c r="Q1937" s="1" t="str">
        <f>TEXT((Data[[#This Row],[Order_Date]]), "mmm")</f>
        <v>Jun</v>
      </c>
    </row>
    <row r="1938" spans="4:17" x14ac:dyDescent="0.3">
      <c r="D1938" s="1" t="s">
        <v>2000</v>
      </c>
      <c r="E1938" s="2">
        <v>45292</v>
      </c>
      <c r="F1938" s="2">
        <v>45293</v>
      </c>
      <c r="G1938" s="1" t="s">
        <v>22</v>
      </c>
      <c r="H1938" s="1" t="s">
        <v>17</v>
      </c>
      <c r="I1938" s="1" t="s">
        <v>32</v>
      </c>
      <c r="J1938" s="1" t="s">
        <v>56</v>
      </c>
      <c r="K1938" s="3">
        <v>1004.22</v>
      </c>
      <c r="L1938" s="1">
        <v>8</v>
      </c>
      <c r="M1938" s="1" t="s">
        <v>15</v>
      </c>
      <c r="N1938" s="3">
        <v>-233.61</v>
      </c>
      <c r="O1938" s="1" t="s">
        <v>2257</v>
      </c>
      <c r="P1938" s="1" t="s">
        <v>2076</v>
      </c>
      <c r="Q1938" s="1" t="str">
        <f>TEXT((Data[[#This Row],[Order_Date]]), "mmm")</f>
        <v>Jan</v>
      </c>
    </row>
    <row r="1939" spans="4:17" x14ac:dyDescent="0.3">
      <c r="D1939" s="1" t="s">
        <v>2001</v>
      </c>
      <c r="E1939" s="2">
        <v>45568</v>
      </c>
      <c r="F1939" s="2">
        <v>45571</v>
      </c>
      <c r="G1939" s="1" t="s">
        <v>36</v>
      </c>
      <c r="H1939" s="1" t="s">
        <v>17</v>
      </c>
      <c r="I1939" s="1" t="s">
        <v>27</v>
      </c>
      <c r="J1939" s="1" t="s">
        <v>28</v>
      </c>
      <c r="K1939" s="3">
        <v>2231.33</v>
      </c>
      <c r="L1939" s="1">
        <v>11</v>
      </c>
      <c r="M1939" s="1" t="s">
        <v>15</v>
      </c>
      <c r="N1939" s="3">
        <v>739.39</v>
      </c>
      <c r="O1939" s="1" t="s">
        <v>2159</v>
      </c>
      <c r="P1939" s="1" t="s">
        <v>2078</v>
      </c>
      <c r="Q1939" s="1" t="str">
        <f>TEXT((Data[[#This Row],[Order_Date]]), "mmm")</f>
        <v>Oct</v>
      </c>
    </row>
    <row r="1940" spans="4:17" x14ac:dyDescent="0.3">
      <c r="D1940" s="1" t="s">
        <v>2002</v>
      </c>
      <c r="E1940" s="2">
        <v>45650</v>
      </c>
      <c r="F1940" s="2">
        <v>45650</v>
      </c>
      <c r="G1940" s="1" t="s">
        <v>31</v>
      </c>
      <c r="H1940" s="1" t="s">
        <v>23</v>
      </c>
      <c r="I1940" s="1" t="s">
        <v>65</v>
      </c>
      <c r="J1940" s="1" t="s">
        <v>114</v>
      </c>
      <c r="K1940" s="3">
        <v>606.14</v>
      </c>
      <c r="L1940" s="1">
        <v>2</v>
      </c>
      <c r="M1940" s="1" t="s">
        <v>49</v>
      </c>
      <c r="N1940" s="3">
        <v>167.69</v>
      </c>
      <c r="O1940" s="1" t="s">
        <v>2115</v>
      </c>
      <c r="P1940" s="1" t="s">
        <v>2076</v>
      </c>
      <c r="Q1940" s="1" t="str">
        <f>TEXT((Data[[#This Row],[Order_Date]]), "mmm")</f>
        <v>Dec</v>
      </c>
    </row>
    <row r="1941" spans="4:17" x14ac:dyDescent="0.3">
      <c r="D1941" s="1" t="s">
        <v>2003</v>
      </c>
      <c r="E1941" s="2">
        <v>45589</v>
      </c>
      <c r="F1941" s="2">
        <v>45591</v>
      </c>
      <c r="G1941" s="1" t="s">
        <v>11</v>
      </c>
      <c r="H1941" s="1" t="s">
        <v>12</v>
      </c>
      <c r="I1941" s="1" t="s">
        <v>38</v>
      </c>
      <c r="J1941" s="1" t="s">
        <v>39</v>
      </c>
      <c r="K1941" s="3">
        <v>3299.57</v>
      </c>
      <c r="L1941" s="1">
        <v>8</v>
      </c>
      <c r="M1941" s="1" t="s">
        <v>20</v>
      </c>
      <c r="N1941" s="3">
        <v>779.86</v>
      </c>
      <c r="O1941" s="1" t="s">
        <v>2201</v>
      </c>
      <c r="P1941" s="1" t="s">
        <v>2071</v>
      </c>
      <c r="Q1941" s="1" t="str">
        <f>TEXT((Data[[#This Row],[Order_Date]]), "mmm")</f>
        <v>Oct</v>
      </c>
    </row>
    <row r="1942" spans="4:17" x14ac:dyDescent="0.3">
      <c r="D1942" s="1" t="s">
        <v>2004</v>
      </c>
      <c r="E1942" s="2">
        <v>45519</v>
      </c>
      <c r="F1942" s="2">
        <v>45525</v>
      </c>
      <c r="G1942" s="1" t="s">
        <v>11</v>
      </c>
      <c r="H1942" s="1" t="s">
        <v>23</v>
      </c>
      <c r="I1942" s="1" t="s">
        <v>61</v>
      </c>
      <c r="J1942" s="1" t="s">
        <v>98</v>
      </c>
      <c r="K1942" s="3">
        <v>3887.26</v>
      </c>
      <c r="L1942" s="1">
        <v>14</v>
      </c>
      <c r="M1942" s="1" t="s">
        <v>29</v>
      </c>
      <c r="N1942" s="3">
        <v>1189.3800000000001</v>
      </c>
      <c r="O1942" s="1" t="s">
        <v>2269</v>
      </c>
      <c r="P1942" s="1" t="s">
        <v>2071</v>
      </c>
      <c r="Q1942" s="1" t="str">
        <f>TEXT((Data[[#This Row],[Order_Date]]), "mmm")</f>
        <v>Aug</v>
      </c>
    </row>
    <row r="1943" spans="4:17" x14ac:dyDescent="0.3">
      <c r="D1943" s="1" t="s">
        <v>2005</v>
      </c>
      <c r="E1943" s="2">
        <v>45569</v>
      </c>
      <c r="F1943" s="2">
        <v>45573</v>
      </c>
      <c r="G1943" s="1" t="s">
        <v>36</v>
      </c>
      <c r="H1943" s="1" t="s">
        <v>12</v>
      </c>
      <c r="I1943" s="1" t="s">
        <v>42</v>
      </c>
      <c r="J1943" s="1" t="s">
        <v>72</v>
      </c>
      <c r="K1943" s="3">
        <v>3004.09</v>
      </c>
      <c r="L1943" s="1">
        <v>1</v>
      </c>
      <c r="M1943" s="1" t="s">
        <v>15</v>
      </c>
      <c r="N1943" s="3">
        <v>890.93</v>
      </c>
      <c r="O1943" s="1" t="s">
        <v>2276</v>
      </c>
      <c r="P1943" s="1" t="s">
        <v>2078</v>
      </c>
      <c r="Q1943" s="1" t="str">
        <f>TEXT((Data[[#This Row],[Order_Date]]), "mmm")</f>
        <v>Oct</v>
      </c>
    </row>
    <row r="1944" spans="4:17" x14ac:dyDescent="0.3">
      <c r="D1944" s="1" t="s">
        <v>2006</v>
      </c>
      <c r="E1944" s="2">
        <v>45492</v>
      </c>
      <c r="F1944" s="2">
        <v>45498</v>
      </c>
      <c r="G1944" s="1" t="s">
        <v>36</v>
      </c>
      <c r="H1944" s="1" t="s">
        <v>12</v>
      </c>
      <c r="I1944" s="1" t="s">
        <v>42</v>
      </c>
      <c r="J1944" s="1" t="s">
        <v>43</v>
      </c>
      <c r="K1944" s="3">
        <v>3113.95</v>
      </c>
      <c r="L1944" s="1">
        <v>20</v>
      </c>
      <c r="M1944" s="1" t="s">
        <v>34</v>
      </c>
      <c r="N1944" s="3">
        <v>-692.62</v>
      </c>
      <c r="O1944" s="1" t="s">
        <v>2145</v>
      </c>
      <c r="P1944" s="1" t="s">
        <v>2076</v>
      </c>
      <c r="Q1944" s="1" t="str">
        <f>TEXT((Data[[#This Row],[Order_Date]]), "mmm")</f>
        <v>Jul</v>
      </c>
    </row>
    <row r="1945" spans="4:17" x14ac:dyDescent="0.3">
      <c r="D1945" s="1" t="s">
        <v>2007</v>
      </c>
      <c r="E1945" s="2">
        <v>45457</v>
      </c>
      <c r="F1945" s="2">
        <v>45464</v>
      </c>
      <c r="G1945" s="1" t="s">
        <v>22</v>
      </c>
      <c r="H1945" s="1" t="s">
        <v>23</v>
      </c>
      <c r="I1945" s="1" t="s">
        <v>78</v>
      </c>
      <c r="J1945" s="1" t="s">
        <v>79</v>
      </c>
      <c r="K1945" s="3">
        <v>1473.06</v>
      </c>
      <c r="L1945" s="1">
        <v>20</v>
      </c>
      <c r="M1945" s="1" t="s">
        <v>34</v>
      </c>
      <c r="N1945" s="3">
        <v>370.25</v>
      </c>
      <c r="O1945" s="1" t="s">
        <v>2206</v>
      </c>
      <c r="P1945" s="1" t="s">
        <v>2071</v>
      </c>
      <c r="Q1945" s="1" t="str">
        <f>TEXT((Data[[#This Row],[Order_Date]]), "mmm")</f>
        <v>Jun</v>
      </c>
    </row>
    <row r="1946" spans="4:17" x14ac:dyDescent="0.3">
      <c r="D1946" s="1" t="s">
        <v>2008</v>
      </c>
      <c r="E1946" s="2">
        <v>45296</v>
      </c>
      <c r="F1946" s="2">
        <v>45303</v>
      </c>
      <c r="G1946" s="1" t="s">
        <v>36</v>
      </c>
      <c r="H1946" s="1" t="s">
        <v>17</v>
      </c>
      <c r="I1946" s="1" t="s">
        <v>32</v>
      </c>
      <c r="J1946" s="1" t="s">
        <v>56</v>
      </c>
      <c r="K1946" s="3">
        <v>1918.94</v>
      </c>
      <c r="L1946" s="1">
        <v>16</v>
      </c>
      <c r="M1946" s="1" t="s">
        <v>44</v>
      </c>
      <c r="N1946" s="3">
        <v>536.25</v>
      </c>
      <c r="O1946" s="1" t="s">
        <v>2225</v>
      </c>
      <c r="P1946" s="1" t="s">
        <v>2078</v>
      </c>
      <c r="Q1946" s="1" t="str">
        <f>TEXT((Data[[#This Row],[Order_Date]]), "mmm")</f>
        <v>Jan</v>
      </c>
    </row>
    <row r="1947" spans="4:17" x14ac:dyDescent="0.3">
      <c r="D1947" s="1" t="s">
        <v>2009</v>
      </c>
      <c r="E1947" s="2">
        <v>45594</v>
      </c>
      <c r="F1947" s="2">
        <v>45598</v>
      </c>
      <c r="G1947" s="1" t="s">
        <v>11</v>
      </c>
      <c r="H1947" s="1" t="s">
        <v>23</v>
      </c>
      <c r="I1947" s="1" t="s">
        <v>65</v>
      </c>
      <c r="J1947" s="1" t="s">
        <v>114</v>
      </c>
      <c r="K1947" s="3">
        <v>330.98</v>
      </c>
      <c r="L1947" s="1">
        <v>1</v>
      </c>
      <c r="M1947" s="1" t="s">
        <v>29</v>
      </c>
      <c r="N1947" s="3">
        <v>94.18</v>
      </c>
      <c r="O1947" s="1" t="s">
        <v>2299</v>
      </c>
      <c r="P1947" s="1" t="s">
        <v>2076</v>
      </c>
      <c r="Q1947" s="1" t="str">
        <f>TEXT((Data[[#This Row],[Order_Date]]), "mmm")</f>
        <v>Oct</v>
      </c>
    </row>
    <row r="1948" spans="4:17" x14ac:dyDescent="0.3">
      <c r="D1948" s="1" t="s">
        <v>2010</v>
      </c>
      <c r="E1948" s="2">
        <v>45643</v>
      </c>
      <c r="F1948" s="2">
        <v>45650</v>
      </c>
      <c r="G1948" s="1" t="s">
        <v>36</v>
      </c>
      <c r="H1948" s="1" t="s">
        <v>12</v>
      </c>
      <c r="I1948" s="1" t="s">
        <v>13</v>
      </c>
      <c r="J1948" s="1" t="s">
        <v>129</v>
      </c>
      <c r="K1948" s="3">
        <v>1771.11</v>
      </c>
      <c r="L1948" s="1">
        <v>3</v>
      </c>
      <c r="M1948" s="1" t="s">
        <v>29</v>
      </c>
      <c r="N1948" s="3">
        <v>191.39</v>
      </c>
      <c r="O1948" s="1" t="s">
        <v>2128</v>
      </c>
      <c r="P1948" s="1" t="s">
        <v>2071</v>
      </c>
      <c r="Q1948" s="1" t="str">
        <f>TEXT((Data[[#This Row],[Order_Date]]), "mmm")</f>
        <v>Dec</v>
      </c>
    </row>
    <row r="1949" spans="4:17" x14ac:dyDescent="0.3">
      <c r="D1949" s="1" t="s">
        <v>2011</v>
      </c>
      <c r="E1949" s="2">
        <v>45550</v>
      </c>
      <c r="F1949" s="2">
        <v>45554</v>
      </c>
      <c r="G1949" s="1" t="s">
        <v>11</v>
      </c>
      <c r="H1949" s="1" t="s">
        <v>23</v>
      </c>
      <c r="I1949" s="1" t="s">
        <v>65</v>
      </c>
      <c r="J1949" s="1" t="s">
        <v>66</v>
      </c>
      <c r="K1949" s="3">
        <v>1333.66</v>
      </c>
      <c r="L1949" s="1">
        <v>15</v>
      </c>
      <c r="M1949" s="1" t="s">
        <v>29</v>
      </c>
      <c r="N1949" s="3">
        <v>444.27</v>
      </c>
      <c r="O1949" s="1" t="s">
        <v>2070</v>
      </c>
      <c r="P1949" s="1" t="s">
        <v>2078</v>
      </c>
      <c r="Q1949" s="1" t="str">
        <f>TEXT((Data[[#This Row],[Order_Date]]), "mmm")</f>
        <v>Sep</v>
      </c>
    </row>
    <row r="1950" spans="4:17" x14ac:dyDescent="0.3">
      <c r="D1950" s="1" t="s">
        <v>2012</v>
      </c>
      <c r="E1950" s="2">
        <v>45496</v>
      </c>
      <c r="F1950" s="2">
        <v>45497</v>
      </c>
      <c r="G1950" s="1" t="s">
        <v>31</v>
      </c>
      <c r="H1950" s="1" t="s">
        <v>23</v>
      </c>
      <c r="I1950" s="1" t="s">
        <v>61</v>
      </c>
      <c r="J1950" s="1" t="s">
        <v>98</v>
      </c>
      <c r="K1950" s="3">
        <v>1337.56</v>
      </c>
      <c r="L1950" s="1">
        <v>1</v>
      </c>
      <c r="M1950" s="1" t="s">
        <v>29</v>
      </c>
      <c r="N1950" s="3">
        <v>133.76</v>
      </c>
      <c r="O1950" s="1" t="s">
        <v>2302</v>
      </c>
      <c r="P1950" s="1" t="s">
        <v>2076</v>
      </c>
      <c r="Q1950" s="1" t="str">
        <f>TEXT((Data[[#This Row],[Order_Date]]), "mmm")</f>
        <v>Jul</v>
      </c>
    </row>
    <row r="1951" spans="4:17" x14ac:dyDescent="0.3">
      <c r="D1951" s="1" t="s">
        <v>2013</v>
      </c>
      <c r="E1951" s="2">
        <v>45493</v>
      </c>
      <c r="F1951" s="2">
        <v>45493</v>
      </c>
      <c r="G1951" s="1" t="s">
        <v>36</v>
      </c>
      <c r="H1951" s="1" t="s">
        <v>17</v>
      </c>
      <c r="I1951" s="1" t="s">
        <v>18</v>
      </c>
      <c r="J1951" s="1" t="s">
        <v>19</v>
      </c>
      <c r="K1951" s="3">
        <v>865.1</v>
      </c>
      <c r="L1951" s="1">
        <v>5</v>
      </c>
      <c r="M1951" s="1" t="s">
        <v>49</v>
      </c>
      <c r="N1951" s="3">
        <v>53.4</v>
      </c>
      <c r="O1951" s="1" t="s">
        <v>2147</v>
      </c>
      <c r="P1951" s="1" t="s">
        <v>2078</v>
      </c>
      <c r="Q1951" s="1" t="str">
        <f>TEXT((Data[[#This Row],[Order_Date]]), "mmm")</f>
        <v>Jul</v>
      </c>
    </row>
    <row r="1952" spans="4:17" x14ac:dyDescent="0.3">
      <c r="D1952" s="1" t="s">
        <v>2014</v>
      </c>
      <c r="E1952" s="2">
        <v>45575</v>
      </c>
      <c r="F1952" s="2">
        <v>45575</v>
      </c>
      <c r="G1952" s="1" t="s">
        <v>11</v>
      </c>
      <c r="H1952" s="1" t="s">
        <v>12</v>
      </c>
      <c r="I1952" s="1" t="s">
        <v>58</v>
      </c>
      <c r="J1952" s="1" t="s">
        <v>105</v>
      </c>
      <c r="K1952" s="3">
        <v>2254.9</v>
      </c>
      <c r="L1952" s="1">
        <v>9</v>
      </c>
      <c r="M1952" s="1" t="s">
        <v>34</v>
      </c>
      <c r="N1952" s="3">
        <v>464.57</v>
      </c>
      <c r="O1952" s="1" t="s">
        <v>2256</v>
      </c>
      <c r="P1952" s="1" t="s">
        <v>2076</v>
      </c>
      <c r="Q1952" s="1" t="str">
        <f>TEXT((Data[[#This Row],[Order_Date]]), "mmm")</f>
        <v>Oct</v>
      </c>
    </row>
    <row r="1953" spans="4:17" x14ac:dyDescent="0.3">
      <c r="D1953" s="1" t="s">
        <v>2015</v>
      </c>
      <c r="E1953" s="2">
        <v>45292</v>
      </c>
      <c r="F1953" s="2">
        <v>45295</v>
      </c>
      <c r="G1953" s="1" t="s">
        <v>11</v>
      </c>
      <c r="H1953" s="1" t="s">
        <v>23</v>
      </c>
      <c r="I1953" s="1" t="s">
        <v>65</v>
      </c>
      <c r="J1953" s="1" t="s">
        <v>114</v>
      </c>
      <c r="K1953" s="3">
        <v>2750.34</v>
      </c>
      <c r="L1953" s="1">
        <v>18</v>
      </c>
      <c r="M1953" s="1" t="s">
        <v>29</v>
      </c>
      <c r="N1953" s="3">
        <v>333.03</v>
      </c>
      <c r="O1953" s="1" t="s">
        <v>2083</v>
      </c>
      <c r="P1953" s="1" t="s">
        <v>2071</v>
      </c>
      <c r="Q1953" s="1" t="str">
        <f>TEXT((Data[[#This Row],[Order_Date]]), "mmm")</f>
        <v>Jan</v>
      </c>
    </row>
    <row r="1954" spans="4:17" x14ac:dyDescent="0.3">
      <c r="D1954" s="1" t="s">
        <v>2016</v>
      </c>
      <c r="E1954" s="2">
        <v>45534</v>
      </c>
      <c r="F1954" s="2">
        <v>45538</v>
      </c>
      <c r="G1954" s="1" t="s">
        <v>11</v>
      </c>
      <c r="H1954" s="1" t="s">
        <v>12</v>
      </c>
      <c r="I1954" s="1" t="s">
        <v>13</v>
      </c>
      <c r="J1954" s="1" t="s">
        <v>96</v>
      </c>
      <c r="K1954" s="3">
        <v>3940.93</v>
      </c>
      <c r="L1954" s="1">
        <v>8</v>
      </c>
      <c r="M1954" s="1" t="s">
        <v>20</v>
      </c>
      <c r="N1954" s="3">
        <v>373.65</v>
      </c>
      <c r="O1954" s="1" t="s">
        <v>2166</v>
      </c>
      <c r="P1954" s="1" t="s">
        <v>2078</v>
      </c>
      <c r="Q1954" s="1" t="str">
        <f>TEXT((Data[[#This Row],[Order_Date]]), "mmm")</f>
        <v>Aug</v>
      </c>
    </row>
    <row r="1955" spans="4:17" x14ac:dyDescent="0.3">
      <c r="D1955" s="1" t="s">
        <v>2017</v>
      </c>
      <c r="E1955" s="2">
        <v>45481</v>
      </c>
      <c r="F1955" s="2">
        <v>45481</v>
      </c>
      <c r="G1955" s="1" t="s">
        <v>11</v>
      </c>
      <c r="H1955" s="1" t="s">
        <v>17</v>
      </c>
      <c r="I1955" s="1" t="s">
        <v>18</v>
      </c>
      <c r="J1955" s="1" t="s">
        <v>19</v>
      </c>
      <c r="K1955" s="3">
        <v>2798.71</v>
      </c>
      <c r="L1955" s="1">
        <v>13</v>
      </c>
      <c r="M1955" s="1" t="s">
        <v>15</v>
      </c>
      <c r="N1955" s="3">
        <v>478.55</v>
      </c>
      <c r="O1955" s="1" t="s">
        <v>2140</v>
      </c>
      <c r="P1955" s="1" t="s">
        <v>2071</v>
      </c>
      <c r="Q1955" s="1" t="str">
        <f>TEXT((Data[[#This Row],[Order_Date]]), "mmm")</f>
        <v>Jul</v>
      </c>
    </row>
    <row r="1956" spans="4:17" x14ac:dyDescent="0.3">
      <c r="D1956" s="1" t="s">
        <v>2018</v>
      </c>
      <c r="E1956" s="2">
        <v>45597</v>
      </c>
      <c r="F1956" s="2">
        <v>45602</v>
      </c>
      <c r="G1956" s="1" t="s">
        <v>22</v>
      </c>
      <c r="H1956" s="1" t="s">
        <v>17</v>
      </c>
      <c r="I1956" s="1" t="s">
        <v>27</v>
      </c>
      <c r="J1956" s="1" t="s">
        <v>108</v>
      </c>
      <c r="K1956" s="3">
        <v>1347.94</v>
      </c>
      <c r="L1956" s="1">
        <v>18</v>
      </c>
      <c r="M1956" s="1" t="s">
        <v>34</v>
      </c>
      <c r="N1956" s="3">
        <v>377.66</v>
      </c>
      <c r="O1956" s="1" t="s">
        <v>2215</v>
      </c>
      <c r="P1956" s="1" t="s">
        <v>2076</v>
      </c>
      <c r="Q1956" s="1" t="str">
        <f>TEXT((Data[[#This Row],[Order_Date]]), "mmm")</f>
        <v>Nov</v>
      </c>
    </row>
    <row r="1957" spans="4:17" x14ac:dyDescent="0.3">
      <c r="D1957" s="1" t="s">
        <v>2019</v>
      </c>
      <c r="E1957" s="2">
        <v>45516</v>
      </c>
      <c r="F1957" s="2">
        <v>45520</v>
      </c>
      <c r="G1957" s="1" t="s">
        <v>31</v>
      </c>
      <c r="H1957" s="1" t="s">
        <v>23</v>
      </c>
      <c r="I1957" s="1" t="s">
        <v>61</v>
      </c>
      <c r="J1957" s="1" t="s">
        <v>62</v>
      </c>
      <c r="K1957" s="3">
        <v>3104.39</v>
      </c>
      <c r="L1957" s="1">
        <v>1</v>
      </c>
      <c r="M1957" s="1" t="s">
        <v>15</v>
      </c>
      <c r="N1957" s="3">
        <v>265.41000000000003</v>
      </c>
      <c r="O1957" s="1" t="s">
        <v>2304</v>
      </c>
      <c r="P1957" s="1" t="s">
        <v>2076</v>
      </c>
      <c r="Q1957" s="1" t="str">
        <f>TEXT((Data[[#This Row],[Order_Date]]), "mmm")</f>
        <v>Aug</v>
      </c>
    </row>
    <row r="1958" spans="4:17" x14ac:dyDescent="0.3">
      <c r="D1958" s="1" t="s">
        <v>2020</v>
      </c>
      <c r="E1958" s="2">
        <v>45504</v>
      </c>
      <c r="F1958" s="2">
        <v>45504</v>
      </c>
      <c r="G1958" s="1" t="s">
        <v>11</v>
      </c>
      <c r="H1958" s="1" t="s">
        <v>17</v>
      </c>
      <c r="I1958" s="1" t="s">
        <v>32</v>
      </c>
      <c r="J1958" s="1" t="s">
        <v>56</v>
      </c>
      <c r="K1958" s="3">
        <v>1853.98</v>
      </c>
      <c r="L1958" s="1">
        <v>4</v>
      </c>
      <c r="M1958" s="1" t="s">
        <v>20</v>
      </c>
      <c r="N1958" s="3">
        <v>221.14</v>
      </c>
      <c r="O1958" s="1" t="s">
        <v>2141</v>
      </c>
      <c r="P1958" s="1" t="s">
        <v>2076</v>
      </c>
      <c r="Q1958" s="1" t="str">
        <f>TEXT((Data[[#This Row],[Order_Date]]), "mmm")</f>
        <v>Jul</v>
      </c>
    </row>
    <row r="1959" spans="4:17" x14ac:dyDescent="0.3">
      <c r="D1959" s="1" t="s">
        <v>2021</v>
      </c>
      <c r="E1959" s="2">
        <v>45447</v>
      </c>
      <c r="F1959" s="2">
        <v>45451</v>
      </c>
      <c r="G1959" s="1" t="s">
        <v>22</v>
      </c>
      <c r="H1959" s="1" t="s">
        <v>12</v>
      </c>
      <c r="I1959" s="1" t="s">
        <v>38</v>
      </c>
      <c r="J1959" s="1" t="s">
        <v>85</v>
      </c>
      <c r="K1959" s="3">
        <v>2064.8000000000002</v>
      </c>
      <c r="L1959" s="1">
        <v>11</v>
      </c>
      <c r="M1959" s="1" t="s">
        <v>49</v>
      </c>
      <c r="N1959" s="3">
        <v>449.28</v>
      </c>
      <c r="O1959" s="1" t="s">
        <v>2107</v>
      </c>
      <c r="P1959" s="1" t="s">
        <v>2076</v>
      </c>
      <c r="Q1959" s="1" t="str">
        <f>TEXT((Data[[#This Row],[Order_Date]]), "mmm")</f>
        <v>Jun</v>
      </c>
    </row>
    <row r="1960" spans="4:17" x14ac:dyDescent="0.3">
      <c r="D1960" s="1" t="s">
        <v>2022</v>
      </c>
      <c r="E1960" s="2">
        <v>45483</v>
      </c>
      <c r="F1960" s="2">
        <v>45485</v>
      </c>
      <c r="G1960" s="1" t="s">
        <v>36</v>
      </c>
      <c r="H1960" s="1" t="s">
        <v>17</v>
      </c>
      <c r="I1960" s="1" t="s">
        <v>27</v>
      </c>
      <c r="J1960" s="1" t="s">
        <v>132</v>
      </c>
      <c r="K1960" s="3">
        <v>3202.74</v>
      </c>
      <c r="L1960" s="1">
        <v>5</v>
      </c>
      <c r="M1960" s="1" t="s">
        <v>20</v>
      </c>
      <c r="N1960" s="3">
        <v>471.07</v>
      </c>
      <c r="O1960" s="1" t="s">
        <v>2183</v>
      </c>
      <c r="P1960" s="1" t="s">
        <v>2071</v>
      </c>
      <c r="Q1960" s="1" t="str">
        <f>TEXT((Data[[#This Row],[Order_Date]]), "mmm")</f>
        <v>Jul</v>
      </c>
    </row>
    <row r="1961" spans="4:17" x14ac:dyDescent="0.3">
      <c r="D1961" s="1" t="s">
        <v>2023</v>
      </c>
      <c r="E1961" s="2">
        <v>45597</v>
      </c>
      <c r="F1961" s="2">
        <v>45603</v>
      </c>
      <c r="G1961" s="1" t="s">
        <v>31</v>
      </c>
      <c r="H1961" s="1" t="s">
        <v>17</v>
      </c>
      <c r="I1961" s="1" t="s">
        <v>27</v>
      </c>
      <c r="J1961" s="1" t="s">
        <v>108</v>
      </c>
      <c r="K1961" s="3">
        <v>3130.44</v>
      </c>
      <c r="L1961" s="1">
        <v>6</v>
      </c>
      <c r="M1961" s="1" t="s">
        <v>44</v>
      </c>
      <c r="N1961" s="3">
        <v>-273.8</v>
      </c>
      <c r="O1961" s="1" t="s">
        <v>2204</v>
      </c>
      <c r="P1961" s="1" t="s">
        <v>2076</v>
      </c>
      <c r="Q1961" s="1" t="str">
        <f>TEXT((Data[[#This Row],[Order_Date]]), "mmm")</f>
        <v>Nov</v>
      </c>
    </row>
    <row r="1962" spans="4:17" x14ac:dyDescent="0.3">
      <c r="D1962" s="1" t="s">
        <v>2024</v>
      </c>
      <c r="E1962" s="2">
        <v>45412</v>
      </c>
      <c r="F1962" s="2">
        <v>45415</v>
      </c>
      <c r="G1962" s="1" t="s">
        <v>36</v>
      </c>
      <c r="H1962" s="1" t="s">
        <v>23</v>
      </c>
      <c r="I1962" s="1" t="s">
        <v>61</v>
      </c>
      <c r="J1962" s="1" t="s">
        <v>98</v>
      </c>
      <c r="K1962" s="3">
        <v>2120.89</v>
      </c>
      <c r="L1962" s="1">
        <v>16</v>
      </c>
      <c r="M1962" s="1" t="s">
        <v>49</v>
      </c>
      <c r="N1962" s="3">
        <v>299.2</v>
      </c>
      <c r="O1962" s="1" t="s">
        <v>2107</v>
      </c>
      <c r="P1962" s="1" t="s">
        <v>2076</v>
      </c>
      <c r="Q1962" s="1" t="str">
        <f>TEXT((Data[[#This Row],[Order_Date]]), "mmm")</f>
        <v>Apr</v>
      </c>
    </row>
    <row r="1963" spans="4:17" x14ac:dyDescent="0.3">
      <c r="D1963" s="1" t="s">
        <v>2025</v>
      </c>
      <c r="E1963" s="2">
        <v>45458</v>
      </c>
      <c r="F1963" s="2">
        <v>45463</v>
      </c>
      <c r="G1963" s="1" t="s">
        <v>22</v>
      </c>
      <c r="H1963" s="1" t="s">
        <v>12</v>
      </c>
      <c r="I1963" s="1" t="s">
        <v>42</v>
      </c>
      <c r="J1963" s="1" t="s">
        <v>46</v>
      </c>
      <c r="K1963" s="3">
        <v>890.21</v>
      </c>
      <c r="L1963" s="1">
        <v>8</v>
      </c>
      <c r="M1963" s="1" t="s">
        <v>29</v>
      </c>
      <c r="N1963" s="3">
        <v>-104.66</v>
      </c>
      <c r="O1963" s="1" t="s">
        <v>2194</v>
      </c>
      <c r="P1963" s="1" t="s">
        <v>2071</v>
      </c>
      <c r="Q1963" s="1" t="str">
        <f>TEXT((Data[[#This Row],[Order_Date]]), "mmm")</f>
        <v>Jun</v>
      </c>
    </row>
    <row r="1964" spans="4:17" x14ac:dyDescent="0.3">
      <c r="D1964" s="1" t="s">
        <v>2026</v>
      </c>
      <c r="E1964" s="2">
        <v>45333</v>
      </c>
      <c r="F1964" s="2">
        <v>45335</v>
      </c>
      <c r="G1964" s="1" t="s">
        <v>36</v>
      </c>
      <c r="H1964" s="1" t="s">
        <v>23</v>
      </c>
      <c r="I1964" s="1" t="s">
        <v>24</v>
      </c>
      <c r="J1964" s="1" t="s">
        <v>25</v>
      </c>
      <c r="K1964" s="3">
        <v>631.1</v>
      </c>
      <c r="L1964" s="1">
        <v>20</v>
      </c>
      <c r="M1964" s="1" t="s">
        <v>20</v>
      </c>
      <c r="N1964" s="3">
        <v>32.18</v>
      </c>
      <c r="O1964" s="1" t="s">
        <v>2101</v>
      </c>
      <c r="P1964" s="1" t="s">
        <v>2071</v>
      </c>
      <c r="Q1964" s="1" t="str">
        <f>TEXT((Data[[#This Row],[Order_Date]]), "mmm")</f>
        <v>Feb</v>
      </c>
    </row>
    <row r="1965" spans="4:17" x14ac:dyDescent="0.3">
      <c r="D1965" s="1" t="s">
        <v>2027</v>
      </c>
      <c r="E1965" s="2">
        <v>45357</v>
      </c>
      <c r="F1965" s="2">
        <v>45359</v>
      </c>
      <c r="G1965" s="1" t="s">
        <v>11</v>
      </c>
      <c r="H1965" s="1" t="s">
        <v>17</v>
      </c>
      <c r="I1965" s="1" t="s">
        <v>32</v>
      </c>
      <c r="J1965" s="1" t="s">
        <v>33</v>
      </c>
      <c r="K1965" s="3">
        <v>1138.1099999999999</v>
      </c>
      <c r="L1965" s="1">
        <v>5</v>
      </c>
      <c r="M1965" s="1" t="s">
        <v>15</v>
      </c>
      <c r="N1965" s="3">
        <v>388.06</v>
      </c>
      <c r="O1965" s="1" t="s">
        <v>2238</v>
      </c>
      <c r="P1965" s="1" t="s">
        <v>2076</v>
      </c>
      <c r="Q1965" s="1" t="str">
        <f>TEXT((Data[[#This Row],[Order_Date]]), "mmm")</f>
        <v>Mar</v>
      </c>
    </row>
    <row r="1966" spans="4:17" x14ac:dyDescent="0.3">
      <c r="D1966" s="1" t="s">
        <v>2028</v>
      </c>
      <c r="E1966" s="2">
        <v>45509</v>
      </c>
      <c r="F1966" s="2">
        <v>45513</v>
      </c>
      <c r="G1966" s="1" t="s">
        <v>22</v>
      </c>
      <c r="H1966" s="1" t="s">
        <v>12</v>
      </c>
      <c r="I1966" s="1" t="s">
        <v>13</v>
      </c>
      <c r="J1966" s="1" t="s">
        <v>129</v>
      </c>
      <c r="K1966" s="3">
        <v>2921.37</v>
      </c>
      <c r="L1966" s="1">
        <v>11</v>
      </c>
      <c r="M1966" s="1" t="s">
        <v>29</v>
      </c>
      <c r="N1966" s="3">
        <v>430.66</v>
      </c>
      <c r="O1966" s="1" t="s">
        <v>2135</v>
      </c>
      <c r="P1966" s="1" t="s">
        <v>2071</v>
      </c>
      <c r="Q1966" s="1" t="str">
        <f>TEXT((Data[[#This Row],[Order_Date]]), "mmm")</f>
        <v>Aug</v>
      </c>
    </row>
    <row r="1967" spans="4:17" x14ac:dyDescent="0.3">
      <c r="D1967" s="1" t="s">
        <v>2029</v>
      </c>
      <c r="E1967" s="2">
        <v>45634</v>
      </c>
      <c r="F1967" s="2">
        <v>45638</v>
      </c>
      <c r="G1967" s="1" t="s">
        <v>22</v>
      </c>
      <c r="H1967" s="1" t="s">
        <v>12</v>
      </c>
      <c r="I1967" s="1" t="s">
        <v>13</v>
      </c>
      <c r="J1967" s="1" t="s">
        <v>14</v>
      </c>
      <c r="K1967" s="3">
        <v>2923.01</v>
      </c>
      <c r="L1967" s="1">
        <v>11</v>
      </c>
      <c r="M1967" s="1" t="s">
        <v>20</v>
      </c>
      <c r="N1967" s="3">
        <v>502.24</v>
      </c>
      <c r="O1967" s="1" t="s">
        <v>2195</v>
      </c>
      <c r="P1967" s="1" t="s">
        <v>2071</v>
      </c>
      <c r="Q1967" s="1" t="str">
        <f>TEXT((Data[[#This Row],[Order_Date]]), "mmm")</f>
        <v>Dec</v>
      </c>
    </row>
    <row r="1968" spans="4:17" x14ac:dyDescent="0.3">
      <c r="D1968" s="1" t="s">
        <v>2030</v>
      </c>
      <c r="E1968" s="2">
        <v>45459</v>
      </c>
      <c r="F1968" s="2">
        <v>45466</v>
      </c>
      <c r="G1968" s="1" t="s">
        <v>36</v>
      </c>
      <c r="H1968" s="1" t="s">
        <v>12</v>
      </c>
      <c r="I1968" s="1" t="s">
        <v>38</v>
      </c>
      <c r="J1968" s="1" t="s">
        <v>85</v>
      </c>
      <c r="K1968" s="3">
        <v>499.6</v>
      </c>
      <c r="L1968" s="1">
        <v>11</v>
      </c>
      <c r="M1968" s="1" t="s">
        <v>20</v>
      </c>
      <c r="N1968" s="3">
        <v>104.28</v>
      </c>
      <c r="O1968" s="1" t="s">
        <v>2241</v>
      </c>
      <c r="P1968" s="1" t="s">
        <v>2076</v>
      </c>
      <c r="Q1968" s="1" t="str">
        <f>TEXT((Data[[#This Row],[Order_Date]]), "mmm")</f>
        <v>Jun</v>
      </c>
    </row>
    <row r="1969" spans="4:17" x14ac:dyDescent="0.3">
      <c r="D1969" s="1" t="s">
        <v>2031</v>
      </c>
      <c r="E1969" s="2">
        <v>45477</v>
      </c>
      <c r="F1969" s="2">
        <v>45481</v>
      </c>
      <c r="G1969" s="1" t="s">
        <v>11</v>
      </c>
      <c r="H1969" s="1" t="s">
        <v>23</v>
      </c>
      <c r="I1969" s="1" t="s">
        <v>65</v>
      </c>
      <c r="J1969" s="1" t="s">
        <v>114</v>
      </c>
      <c r="K1969" s="3">
        <v>1402.21</v>
      </c>
      <c r="L1969" s="1">
        <v>16</v>
      </c>
      <c r="M1969" s="1" t="s">
        <v>44</v>
      </c>
      <c r="N1969" s="3">
        <v>391.79</v>
      </c>
      <c r="O1969" s="1" t="s">
        <v>2311</v>
      </c>
      <c r="P1969" s="1" t="s">
        <v>2071</v>
      </c>
      <c r="Q1969" s="1" t="str">
        <f>TEXT((Data[[#This Row],[Order_Date]]), "mmm")</f>
        <v>Jul</v>
      </c>
    </row>
    <row r="1970" spans="4:17" x14ac:dyDescent="0.3">
      <c r="D1970" s="1" t="s">
        <v>2032</v>
      </c>
      <c r="E1970" s="2">
        <v>45474</v>
      </c>
      <c r="F1970" s="2">
        <v>45476</v>
      </c>
      <c r="G1970" s="1" t="s">
        <v>36</v>
      </c>
      <c r="H1970" s="1" t="s">
        <v>23</v>
      </c>
      <c r="I1970" s="1" t="s">
        <v>24</v>
      </c>
      <c r="J1970" s="1" t="s">
        <v>25</v>
      </c>
      <c r="K1970" s="3">
        <v>3374.75</v>
      </c>
      <c r="L1970" s="1">
        <v>15</v>
      </c>
      <c r="M1970" s="1" t="s">
        <v>20</v>
      </c>
      <c r="N1970" s="3">
        <v>529.57000000000005</v>
      </c>
      <c r="O1970" s="1" t="s">
        <v>2175</v>
      </c>
      <c r="P1970" s="1" t="s">
        <v>2078</v>
      </c>
      <c r="Q1970" s="1" t="str">
        <f>TEXT((Data[[#This Row],[Order_Date]]), "mmm")</f>
        <v>Jul</v>
      </c>
    </row>
    <row r="1971" spans="4:17" x14ac:dyDescent="0.3">
      <c r="D1971" s="1" t="s">
        <v>2033</v>
      </c>
      <c r="E1971" s="2">
        <v>45584</v>
      </c>
      <c r="F1971" s="2">
        <v>45591</v>
      </c>
      <c r="G1971" s="1" t="s">
        <v>22</v>
      </c>
      <c r="H1971" s="1" t="s">
        <v>23</v>
      </c>
      <c r="I1971" s="1" t="s">
        <v>24</v>
      </c>
      <c r="J1971" s="1" t="s">
        <v>150</v>
      </c>
      <c r="K1971" s="3">
        <v>1011.9</v>
      </c>
      <c r="L1971" s="1">
        <v>11</v>
      </c>
      <c r="M1971" s="1" t="s">
        <v>44</v>
      </c>
      <c r="N1971" s="3">
        <v>198.84</v>
      </c>
      <c r="O1971" s="1" t="s">
        <v>2118</v>
      </c>
      <c r="P1971" s="1" t="s">
        <v>2076</v>
      </c>
      <c r="Q1971" s="1" t="str">
        <f>TEXT((Data[[#This Row],[Order_Date]]), "mmm")</f>
        <v>Oct</v>
      </c>
    </row>
    <row r="1972" spans="4:17" x14ac:dyDescent="0.3">
      <c r="D1972" s="1" t="s">
        <v>2034</v>
      </c>
      <c r="E1972" s="2">
        <v>45405</v>
      </c>
      <c r="F1972" s="2">
        <v>45408</v>
      </c>
      <c r="G1972" s="1" t="s">
        <v>11</v>
      </c>
      <c r="H1972" s="1" t="s">
        <v>12</v>
      </c>
      <c r="I1972" s="1" t="s">
        <v>58</v>
      </c>
      <c r="J1972" s="1" t="s">
        <v>105</v>
      </c>
      <c r="K1972" s="3">
        <v>561.79999999999995</v>
      </c>
      <c r="L1972" s="1">
        <v>3</v>
      </c>
      <c r="M1972" s="1" t="s">
        <v>15</v>
      </c>
      <c r="N1972" s="3">
        <v>61.97</v>
      </c>
      <c r="O1972" s="1" t="s">
        <v>2103</v>
      </c>
      <c r="P1972" s="1" t="s">
        <v>2071</v>
      </c>
      <c r="Q1972" s="1" t="str">
        <f>TEXT((Data[[#This Row],[Order_Date]]), "mmm")</f>
        <v>Apr</v>
      </c>
    </row>
    <row r="1973" spans="4:17" x14ac:dyDescent="0.3">
      <c r="D1973" s="1" t="s">
        <v>2035</v>
      </c>
      <c r="E1973" s="2">
        <v>45558</v>
      </c>
      <c r="F1973" s="2">
        <v>45560</v>
      </c>
      <c r="G1973" s="1" t="s">
        <v>31</v>
      </c>
      <c r="H1973" s="1" t="s">
        <v>17</v>
      </c>
      <c r="I1973" s="1" t="s">
        <v>32</v>
      </c>
      <c r="J1973" s="1" t="s">
        <v>33</v>
      </c>
      <c r="K1973" s="3">
        <v>2147.6</v>
      </c>
      <c r="L1973" s="1">
        <v>6</v>
      </c>
      <c r="M1973" s="1" t="s">
        <v>29</v>
      </c>
      <c r="N1973" s="3">
        <v>151.4</v>
      </c>
      <c r="O1973" s="1" t="s">
        <v>2293</v>
      </c>
      <c r="P1973" s="1" t="s">
        <v>2071</v>
      </c>
      <c r="Q1973" s="1" t="str">
        <f>TEXT((Data[[#This Row],[Order_Date]]), "mmm")</f>
        <v>Sep</v>
      </c>
    </row>
    <row r="1974" spans="4:17" x14ac:dyDescent="0.3">
      <c r="D1974" s="1" t="s">
        <v>2036</v>
      </c>
      <c r="E1974" s="2">
        <v>45537</v>
      </c>
      <c r="F1974" s="2">
        <v>45544</v>
      </c>
      <c r="G1974" s="1" t="s">
        <v>22</v>
      </c>
      <c r="H1974" s="1" t="s">
        <v>17</v>
      </c>
      <c r="I1974" s="1" t="s">
        <v>27</v>
      </c>
      <c r="J1974" s="1" t="s">
        <v>108</v>
      </c>
      <c r="K1974" s="3">
        <v>939.83</v>
      </c>
      <c r="L1974" s="1">
        <v>3</v>
      </c>
      <c r="M1974" s="1" t="s">
        <v>34</v>
      </c>
      <c r="N1974" s="3">
        <v>98.18</v>
      </c>
      <c r="O1974" s="1" t="s">
        <v>2231</v>
      </c>
      <c r="P1974" s="1" t="s">
        <v>2076</v>
      </c>
      <c r="Q1974" s="1" t="str">
        <f>TEXT((Data[[#This Row],[Order_Date]]), "mmm")</f>
        <v>Sep</v>
      </c>
    </row>
    <row r="1975" spans="4:17" x14ac:dyDescent="0.3">
      <c r="D1975" s="1" t="s">
        <v>2037</v>
      </c>
      <c r="E1975" s="2">
        <v>45448</v>
      </c>
      <c r="F1975" s="2">
        <v>45454</v>
      </c>
      <c r="G1975" s="1" t="s">
        <v>36</v>
      </c>
      <c r="H1975" s="1" t="s">
        <v>12</v>
      </c>
      <c r="I1975" s="1" t="s">
        <v>58</v>
      </c>
      <c r="J1975" s="1" t="s">
        <v>105</v>
      </c>
      <c r="K1975" s="3">
        <v>2983.52</v>
      </c>
      <c r="L1975" s="1">
        <v>16</v>
      </c>
      <c r="M1975" s="1" t="s">
        <v>29</v>
      </c>
      <c r="N1975" s="3">
        <v>193.93</v>
      </c>
      <c r="O1975" s="1" t="s">
        <v>2251</v>
      </c>
      <c r="P1975" s="1" t="s">
        <v>2071</v>
      </c>
      <c r="Q1975" s="1" t="str">
        <f>TEXT((Data[[#This Row],[Order_Date]]), "mmm")</f>
        <v>Jun</v>
      </c>
    </row>
    <row r="1976" spans="4:17" x14ac:dyDescent="0.3">
      <c r="D1976" s="1" t="s">
        <v>2038</v>
      </c>
      <c r="E1976" s="2">
        <v>45346</v>
      </c>
      <c r="F1976" s="2">
        <v>45351</v>
      </c>
      <c r="G1976" s="1" t="s">
        <v>31</v>
      </c>
      <c r="H1976" s="1" t="s">
        <v>12</v>
      </c>
      <c r="I1976" s="1" t="s">
        <v>42</v>
      </c>
      <c r="J1976" s="1" t="s">
        <v>72</v>
      </c>
      <c r="K1976" s="3">
        <v>1347.02</v>
      </c>
      <c r="L1976" s="1">
        <v>13</v>
      </c>
      <c r="M1976" s="1" t="s">
        <v>49</v>
      </c>
      <c r="N1976" s="3">
        <v>102.76</v>
      </c>
      <c r="O1976" s="1" t="s">
        <v>2110</v>
      </c>
      <c r="P1976" s="1" t="s">
        <v>2076</v>
      </c>
      <c r="Q1976" s="1" t="str">
        <f>TEXT((Data[[#This Row],[Order_Date]]), "mmm")</f>
        <v>Feb</v>
      </c>
    </row>
    <row r="1977" spans="4:17" x14ac:dyDescent="0.3">
      <c r="D1977" s="1" t="s">
        <v>2039</v>
      </c>
      <c r="E1977" s="2">
        <v>45485</v>
      </c>
      <c r="F1977" s="2">
        <v>45487</v>
      </c>
      <c r="G1977" s="1" t="s">
        <v>31</v>
      </c>
      <c r="H1977" s="1" t="s">
        <v>12</v>
      </c>
      <c r="I1977" s="1" t="s">
        <v>38</v>
      </c>
      <c r="J1977" s="1" t="s">
        <v>85</v>
      </c>
      <c r="K1977" s="3">
        <v>1091.81</v>
      </c>
      <c r="L1977" s="1">
        <v>13</v>
      </c>
      <c r="M1977" s="1" t="s">
        <v>44</v>
      </c>
      <c r="N1977" s="3">
        <v>247.07</v>
      </c>
      <c r="O1977" s="1" t="s">
        <v>2093</v>
      </c>
      <c r="P1977" s="1" t="s">
        <v>2078</v>
      </c>
      <c r="Q1977" s="1" t="str">
        <f>TEXT((Data[[#This Row],[Order_Date]]), "mmm")</f>
        <v>Jul</v>
      </c>
    </row>
    <row r="1978" spans="4:17" x14ac:dyDescent="0.3">
      <c r="D1978" s="1" t="s">
        <v>2040</v>
      </c>
      <c r="E1978" s="2">
        <v>45484</v>
      </c>
      <c r="F1978" s="2">
        <v>45490</v>
      </c>
      <c r="G1978" s="1" t="s">
        <v>36</v>
      </c>
      <c r="H1978" s="1" t="s">
        <v>23</v>
      </c>
      <c r="I1978" s="1" t="s">
        <v>61</v>
      </c>
      <c r="J1978" s="1" t="s">
        <v>62</v>
      </c>
      <c r="K1978" s="3">
        <v>2453.2800000000002</v>
      </c>
      <c r="L1978" s="1">
        <v>19</v>
      </c>
      <c r="M1978" s="1" t="s">
        <v>20</v>
      </c>
      <c r="N1978" s="3">
        <v>-630.12</v>
      </c>
      <c r="O1978" s="1" t="s">
        <v>2174</v>
      </c>
      <c r="P1978" s="1" t="s">
        <v>2076</v>
      </c>
      <c r="Q1978" s="1" t="str">
        <f>TEXT((Data[[#This Row],[Order_Date]]), "mmm")</f>
        <v>Jul</v>
      </c>
    </row>
    <row r="1979" spans="4:17" x14ac:dyDescent="0.3">
      <c r="D1979" s="1" t="s">
        <v>2041</v>
      </c>
      <c r="E1979" s="2">
        <v>45564</v>
      </c>
      <c r="F1979" s="2">
        <v>45569</v>
      </c>
      <c r="G1979" s="1" t="s">
        <v>31</v>
      </c>
      <c r="H1979" s="1" t="s">
        <v>17</v>
      </c>
      <c r="I1979" s="1" t="s">
        <v>32</v>
      </c>
      <c r="J1979" s="1" t="s">
        <v>56</v>
      </c>
      <c r="K1979" s="3">
        <v>2242.34</v>
      </c>
      <c r="L1979" s="1">
        <v>8</v>
      </c>
      <c r="M1979" s="1" t="s">
        <v>15</v>
      </c>
      <c r="N1979" s="3">
        <v>588.98</v>
      </c>
      <c r="O1979" s="1" t="s">
        <v>2110</v>
      </c>
      <c r="P1979" s="1" t="s">
        <v>2076</v>
      </c>
      <c r="Q1979" s="1" t="str">
        <f>TEXT((Data[[#This Row],[Order_Date]]), "mmm")</f>
        <v>Sep</v>
      </c>
    </row>
    <row r="1980" spans="4:17" x14ac:dyDescent="0.3">
      <c r="D1980" s="1" t="s">
        <v>2042</v>
      </c>
      <c r="E1980" s="2">
        <v>45652</v>
      </c>
      <c r="F1980" s="2">
        <v>45653</v>
      </c>
      <c r="G1980" s="1" t="s">
        <v>31</v>
      </c>
      <c r="H1980" s="1" t="s">
        <v>12</v>
      </c>
      <c r="I1980" s="1" t="s">
        <v>13</v>
      </c>
      <c r="J1980" s="1" t="s">
        <v>129</v>
      </c>
      <c r="K1980" s="3">
        <v>888.25</v>
      </c>
      <c r="L1980" s="1">
        <v>10</v>
      </c>
      <c r="M1980" s="4" t="s">
        <v>49</v>
      </c>
      <c r="N1980" s="3">
        <v>118.21</v>
      </c>
      <c r="O1980" s="1" t="s">
        <v>2229</v>
      </c>
      <c r="P1980" s="1" t="s">
        <v>2076</v>
      </c>
      <c r="Q1980" s="1" t="str">
        <f>TEXT((Data[[#This Row],[Order_Date]]), "mmm")</f>
        <v>Dec</v>
      </c>
    </row>
    <row r="1981" spans="4:17" x14ac:dyDescent="0.3">
      <c r="D1981" s="1" t="s">
        <v>2043</v>
      </c>
      <c r="E1981" s="2">
        <v>45556</v>
      </c>
      <c r="F1981" s="2">
        <v>45560</v>
      </c>
      <c r="G1981" s="1" t="s">
        <v>31</v>
      </c>
      <c r="H1981" s="1" t="s">
        <v>12</v>
      </c>
      <c r="I1981" s="1" t="s">
        <v>13</v>
      </c>
      <c r="J1981" s="1" t="s">
        <v>96</v>
      </c>
      <c r="K1981" s="3">
        <v>890.11</v>
      </c>
      <c r="L1981" s="1">
        <v>12</v>
      </c>
      <c r="M1981" s="4" t="s">
        <v>49</v>
      </c>
      <c r="N1981" s="3">
        <v>132.25</v>
      </c>
      <c r="O1981" s="1" t="s">
        <v>2259</v>
      </c>
      <c r="P1981" s="1" t="s">
        <v>2076</v>
      </c>
      <c r="Q1981" s="1" t="str">
        <f>TEXT((Data[[#This Row],[Order_Date]]), "mmm")</f>
        <v>Sep</v>
      </c>
    </row>
    <row r="1982" spans="4:17" x14ac:dyDescent="0.3">
      <c r="D1982" s="1" t="s">
        <v>2044</v>
      </c>
      <c r="E1982" s="2">
        <v>45470</v>
      </c>
      <c r="F1982" s="2">
        <v>45472</v>
      </c>
      <c r="G1982" s="1" t="s">
        <v>11</v>
      </c>
      <c r="H1982" s="1" t="s">
        <v>12</v>
      </c>
      <c r="I1982" s="1" t="s">
        <v>38</v>
      </c>
      <c r="J1982" s="1" t="s">
        <v>81</v>
      </c>
      <c r="K1982" s="3">
        <v>787.97</v>
      </c>
      <c r="L1982" s="1">
        <v>15</v>
      </c>
      <c r="M1982" s="4" t="s">
        <v>15</v>
      </c>
      <c r="N1982" s="3">
        <v>177.41</v>
      </c>
      <c r="O1982" s="1" t="s">
        <v>2240</v>
      </c>
      <c r="P1982" s="1" t="s">
        <v>2078</v>
      </c>
      <c r="Q1982" s="1" t="str">
        <f>TEXT((Data[[#This Row],[Order_Date]]), "mmm")</f>
        <v>Jun</v>
      </c>
    </row>
    <row r="1983" spans="4:17" x14ac:dyDescent="0.3">
      <c r="D1983" s="1" t="s">
        <v>2045</v>
      </c>
      <c r="E1983" s="2">
        <v>45603</v>
      </c>
      <c r="F1983" s="2">
        <v>45604</v>
      </c>
      <c r="G1983" s="1" t="s">
        <v>22</v>
      </c>
      <c r="H1983" s="1" t="s">
        <v>23</v>
      </c>
      <c r="I1983" s="1" t="s">
        <v>78</v>
      </c>
      <c r="J1983" s="1" t="s">
        <v>79</v>
      </c>
      <c r="K1983" s="3">
        <v>3620.18</v>
      </c>
      <c r="L1983" s="1">
        <v>15</v>
      </c>
      <c r="M1983" s="4" t="s">
        <v>20</v>
      </c>
      <c r="N1983" s="3">
        <v>1186.95</v>
      </c>
      <c r="O1983" s="1" t="s">
        <v>2072</v>
      </c>
      <c r="P1983" s="1" t="s">
        <v>2078</v>
      </c>
      <c r="Q1983" s="1" t="str">
        <f>TEXT((Data[[#This Row],[Order_Date]]), "mmm")</f>
        <v>Nov</v>
      </c>
    </row>
    <row r="1984" spans="4:17" x14ac:dyDescent="0.3">
      <c r="D1984" s="1" t="s">
        <v>2046</v>
      </c>
      <c r="E1984" s="2">
        <v>45562</v>
      </c>
      <c r="F1984" s="2">
        <v>45566</v>
      </c>
      <c r="G1984" s="1" t="s">
        <v>36</v>
      </c>
      <c r="H1984" s="1" t="s">
        <v>23</v>
      </c>
      <c r="I1984" s="1" t="s">
        <v>61</v>
      </c>
      <c r="J1984" s="1" t="s">
        <v>98</v>
      </c>
      <c r="K1984" s="3">
        <v>3230.52</v>
      </c>
      <c r="L1984" s="1">
        <v>7</v>
      </c>
      <c r="M1984" s="4" t="s">
        <v>49</v>
      </c>
      <c r="N1984" s="3">
        <v>642.55999999999995</v>
      </c>
      <c r="O1984" s="1" t="s">
        <v>2289</v>
      </c>
      <c r="P1984" s="1" t="s">
        <v>2078</v>
      </c>
      <c r="Q1984" s="1" t="str">
        <f>TEXT((Data[[#This Row],[Order_Date]]), "mmm")</f>
        <v>Sep</v>
      </c>
    </row>
    <row r="1985" spans="4:17" x14ac:dyDescent="0.3">
      <c r="D1985" s="1" t="s">
        <v>2047</v>
      </c>
      <c r="E1985" s="2">
        <v>45559</v>
      </c>
      <c r="F1985" s="2">
        <v>45565</v>
      </c>
      <c r="G1985" s="1" t="s">
        <v>11</v>
      </c>
      <c r="H1985" s="1" t="s">
        <v>17</v>
      </c>
      <c r="I1985" s="1" t="s">
        <v>18</v>
      </c>
      <c r="J1985" s="1" t="s">
        <v>90</v>
      </c>
      <c r="K1985" s="3">
        <v>1066.1400000000001</v>
      </c>
      <c r="L1985" s="1">
        <v>1</v>
      </c>
      <c r="M1985" s="4" t="s">
        <v>44</v>
      </c>
      <c r="N1985" s="3">
        <v>222.24</v>
      </c>
      <c r="O1985" s="1" t="s">
        <v>2274</v>
      </c>
      <c r="P1985" s="1" t="s">
        <v>2078</v>
      </c>
      <c r="Q1985" s="1" t="str">
        <f>TEXT((Data[[#This Row],[Order_Date]]), "mmm")</f>
        <v>Sep</v>
      </c>
    </row>
    <row r="1986" spans="4:17" x14ac:dyDescent="0.3">
      <c r="D1986" s="1" t="s">
        <v>2048</v>
      </c>
      <c r="E1986" s="2">
        <v>45514</v>
      </c>
      <c r="F1986" s="2">
        <v>45515</v>
      </c>
      <c r="G1986" s="1" t="s">
        <v>11</v>
      </c>
      <c r="H1986" s="1" t="s">
        <v>12</v>
      </c>
      <c r="I1986" s="1" t="s">
        <v>58</v>
      </c>
      <c r="J1986" s="1" t="s">
        <v>59</v>
      </c>
      <c r="K1986" s="3">
        <v>3947.77</v>
      </c>
      <c r="L1986" s="1">
        <v>16</v>
      </c>
      <c r="M1986" s="4" t="s">
        <v>29</v>
      </c>
      <c r="N1986" s="3">
        <v>291.88</v>
      </c>
      <c r="O1986" s="1" t="s">
        <v>2156</v>
      </c>
      <c r="P1986" s="1" t="s">
        <v>2078</v>
      </c>
      <c r="Q1986" s="1" t="str">
        <f>TEXT((Data[[#This Row],[Order_Date]]), "mmm")</f>
        <v>Aug</v>
      </c>
    </row>
    <row r="1987" spans="4:17" x14ac:dyDescent="0.3">
      <c r="D1987" s="1" t="s">
        <v>2049</v>
      </c>
      <c r="E1987" s="2">
        <v>45464</v>
      </c>
      <c r="F1987" s="2">
        <v>45464</v>
      </c>
      <c r="G1987" s="1" t="s">
        <v>11</v>
      </c>
      <c r="H1987" s="1" t="s">
        <v>12</v>
      </c>
      <c r="I1987" s="1" t="s">
        <v>58</v>
      </c>
      <c r="J1987" s="1" t="s">
        <v>120</v>
      </c>
      <c r="K1987" s="3">
        <v>1919.86</v>
      </c>
      <c r="L1987" s="1">
        <v>19</v>
      </c>
      <c r="M1987" s="4" t="s">
        <v>20</v>
      </c>
      <c r="N1987" s="3">
        <v>-309.33</v>
      </c>
      <c r="O1987" s="1" t="s">
        <v>2288</v>
      </c>
      <c r="P1987" s="1" t="s">
        <v>2076</v>
      </c>
      <c r="Q1987" s="1" t="str">
        <f>TEXT((Data[[#This Row],[Order_Date]]), "mmm")</f>
        <v>Jun</v>
      </c>
    </row>
    <row r="1988" spans="4:17" x14ac:dyDescent="0.3">
      <c r="D1988" s="1" t="s">
        <v>2050</v>
      </c>
      <c r="E1988" s="2">
        <v>45509</v>
      </c>
      <c r="F1988" s="2">
        <v>45515</v>
      </c>
      <c r="G1988" s="1" t="s">
        <v>22</v>
      </c>
      <c r="H1988" s="1" t="s">
        <v>17</v>
      </c>
      <c r="I1988" s="1" t="s">
        <v>27</v>
      </c>
      <c r="J1988" s="1" t="s">
        <v>28</v>
      </c>
      <c r="K1988" s="3">
        <v>2605.02</v>
      </c>
      <c r="L1988" s="1">
        <v>11</v>
      </c>
      <c r="M1988" s="4" t="s">
        <v>15</v>
      </c>
      <c r="N1988" s="3">
        <v>524.59</v>
      </c>
      <c r="O1988" s="1" t="s">
        <v>2207</v>
      </c>
      <c r="P1988" s="1" t="s">
        <v>2078</v>
      </c>
      <c r="Q1988" s="1" t="str">
        <f>TEXT((Data[[#This Row],[Order_Date]]), "mmm")</f>
        <v>Aug</v>
      </c>
    </row>
    <row r="1989" spans="4:17" x14ac:dyDescent="0.3">
      <c r="D1989" s="1" t="s">
        <v>2051</v>
      </c>
      <c r="E1989" s="2">
        <v>45529</v>
      </c>
      <c r="F1989" s="2">
        <v>45529</v>
      </c>
      <c r="G1989" s="1" t="s">
        <v>36</v>
      </c>
      <c r="H1989" s="1" t="s">
        <v>17</v>
      </c>
      <c r="I1989" s="1" t="s">
        <v>18</v>
      </c>
      <c r="J1989" s="1" t="s">
        <v>90</v>
      </c>
      <c r="K1989" s="3">
        <v>1729.61</v>
      </c>
      <c r="L1989" s="1">
        <v>4</v>
      </c>
      <c r="M1989" s="4" t="s">
        <v>20</v>
      </c>
      <c r="N1989" s="3">
        <v>385.19</v>
      </c>
      <c r="O1989" s="1" t="s">
        <v>2183</v>
      </c>
      <c r="P1989" s="1" t="s">
        <v>2078</v>
      </c>
      <c r="Q1989" s="1" t="str">
        <f>TEXT((Data[[#This Row],[Order_Date]]), "mmm")</f>
        <v>Aug</v>
      </c>
    </row>
    <row r="1990" spans="4:17" x14ac:dyDescent="0.3">
      <c r="D1990" s="1" t="s">
        <v>2052</v>
      </c>
      <c r="E1990" s="2">
        <v>45332</v>
      </c>
      <c r="F1990" s="2">
        <v>45332</v>
      </c>
      <c r="G1990" s="1" t="s">
        <v>22</v>
      </c>
      <c r="H1990" s="1" t="s">
        <v>12</v>
      </c>
      <c r="I1990" s="1" t="s">
        <v>58</v>
      </c>
      <c r="J1990" s="1" t="s">
        <v>59</v>
      </c>
      <c r="K1990" s="3">
        <v>3942.85</v>
      </c>
      <c r="L1990" s="1">
        <v>10</v>
      </c>
      <c r="M1990" s="4" t="s">
        <v>44</v>
      </c>
      <c r="N1990" s="3">
        <v>961.64</v>
      </c>
      <c r="O1990" s="1" t="s">
        <v>2105</v>
      </c>
      <c r="P1990" s="1" t="s">
        <v>2078</v>
      </c>
      <c r="Q1990" s="1" t="str">
        <f>TEXT((Data[[#This Row],[Order_Date]]), "mmm")</f>
        <v>Feb</v>
      </c>
    </row>
    <row r="1991" spans="4:17" x14ac:dyDescent="0.3">
      <c r="D1991" s="1" t="s">
        <v>2053</v>
      </c>
      <c r="E1991" s="2">
        <v>45354</v>
      </c>
      <c r="F1991" s="2">
        <v>45357</v>
      </c>
      <c r="G1991" s="1" t="s">
        <v>31</v>
      </c>
      <c r="H1991" s="1" t="s">
        <v>17</v>
      </c>
      <c r="I1991" s="1" t="s">
        <v>32</v>
      </c>
      <c r="J1991" s="1" t="s">
        <v>56</v>
      </c>
      <c r="K1991" s="3">
        <v>2837.82</v>
      </c>
      <c r="L1991" s="1">
        <v>11</v>
      </c>
      <c r="M1991" s="4" t="s">
        <v>29</v>
      </c>
      <c r="N1991" s="3">
        <v>820.93</v>
      </c>
      <c r="O1991" s="1" t="s">
        <v>2108</v>
      </c>
      <c r="P1991" s="1" t="s">
        <v>2071</v>
      </c>
      <c r="Q1991" s="1" t="str">
        <f>TEXT((Data[[#This Row],[Order_Date]]), "mmm")</f>
        <v>Mar</v>
      </c>
    </row>
    <row r="1992" spans="4:17" x14ac:dyDescent="0.3">
      <c r="D1992" s="1" t="s">
        <v>2054</v>
      </c>
      <c r="E1992" s="2">
        <v>45354</v>
      </c>
      <c r="F1992" s="2">
        <v>45354</v>
      </c>
      <c r="G1992" s="1" t="s">
        <v>36</v>
      </c>
      <c r="H1992" s="1" t="s">
        <v>23</v>
      </c>
      <c r="I1992" s="1" t="s">
        <v>61</v>
      </c>
      <c r="J1992" s="1" t="s">
        <v>76</v>
      </c>
      <c r="K1992" s="3">
        <v>1372.51</v>
      </c>
      <c r="L1992" s="1">
        <v>15</v>
      </c>
      <c r="M1992" s="4" t="s">
        <v>44</v>
      </c>
      <c r="N1992" s="3">
        <v>233.52</v>
      </c>
      <c r="O1992" s="1" t="s">
        <v>2261</v>
      </c>
      <c r="P1992" s="1" t="s">
        <v>2076</v>
      </c>
      <c r="Q1992" s="1" t="str">
        <f>TEXT((Data[[#This Row],[Order_Date]]), "mmm")</f>
        <v>Mar</v>
      </c>
    </row>
    <row r="1993" spans="4:17" x14ac:dyDescent="0.3">
      <c r="D1993" s="1" t="s">
        <v>2055</v>
      </c>
      <c r="E1993" s="2">
        <v>45648</v>
      </c>
      <c r="F1993" s="2">
        <v>45655</v>
      </c>
      <c r="G1993" s="1" t="s">
        <v>22</v>
      </c>
      <c r="H1993" s="1" t="s">
        <v>23</v>
      </c>
      <c r="I1993" s="1" t="s">
        <v>65</v>
      </c>
      <c r="J1993" s="1" t="s">
        <v>66</v>
      </c>
      <c r="K1993" s="3">
        <v>3681.3</v>
      </c>
      <c r="L1993" s="1">
        <v>3</v>
      </c>
      <c r="M1993" s="4" t="s">
        <v>44</v>
      </c>
      <c r="N1993" s="3">
        <v>946.32</v>
      </c>
      <c r="O1993" s="1" t="s">
        <v>2143</v>
      </c>
      <c r="P1993" s="1" t="s">
        <v>2071</v>
      </c>
      <c r="Q1993" s="1" t="str">
        <f>TEXT((Data[[#This Row],[Order_Date]]), "mmm")</f>
        <v>Dec</v>
      </c>
    </row>
    <row r="1994" spans="4:17" x14ac:dyDescent="0.3">
      <c r="D1994" s="1" t="s">
        <v>2056</v>
      </c>
      <c r="E1994" s="2">
        <v>45598</v>
      </c>
      <c r="F1994" s="2">
        <v>45604</v>
      </c>
      <c r="G1994" s="1" t="s">
        <v>22</v>
      </c>
      <c r="H1994" s="1" t="s">
        <v>17</v>
      </c>
      <c r="I1994" s="1" t="s">
        <v>27</v>
      </c>
      <c r="J1994" s="1" t="s">
        <v>132</v>
      </c>
      <c r="K1994" s="3">
        <v>3244.3</v>
      </c>
      <c r="L1994" s="1">
        <v>2</v>
      </c>
      <c r="M1994" s="4" t="s">
        <v>15</v>
      </c>
      <c r="N1994" s="3">
        <v>169.14</v>
      </c>
      <c r="O1994" s="1" t="s">
        <v>2164</v>
      </c>
      <c r="P1994" s="1" t="s">
        <v>2076</v>
      </c>
      <c r="Q1994" s="1" t="str">
        <f>TEXT((Data[[#This Row],[Order_Date]]), "mmm")</f>
        <v>Nov</v>
      </c>
    </row>
    <row r="1995" spans="4:17" x14ac:dyDescent="0.3">
      <c r="D1995" s="1" t="s">
        <v>2057</v>
      </c>
      <c r="E1995" s="2">
        <v>45456</v>
      </c>
      <c r="F1995" s="2">
        <v>45462</v>
      </c>
      <c r="G1995" s="1" t="s">
        <v>11</v>
      </c>
      <c r="H1995" s="1" t="s">
        <v>23</v>
      </c>
      <c r="I1995" s="1" t="s">
        <v>24</v>
      </c>
      <c r="J1995" s="1" t="s">
        <v>93</v>
      </c>
      <c r="K1995" s="3">
        <v>2746.22</v>
      </c>
      <c r="L1995" s="1">
        <v>3</v>
      </c>
      <c r="M1995" s="4" t="s">
        <v>15</v>
      </c>
      <c r="N1995" s="3">
        <v>412.74</v>
      </c>
      <c r="O1995" s="1" t="s">
        <v>2204</v>
      </c>
      <c r="P1995" s="1" t="s">
        <v>2078</v>
      </c>
      <c r="Q1995" s="1" t="str">
        <f>TEXT((Data[[#This Row],[Order_Date]]), "mmm")</f>
        <v>Jun</v>
      </c>
    </row>
    <row r="1996" spans="4:17" x14ac:dyDescent="0.3">
      <c r="D1996" s="1" t="s">
        <v>2058</v>
      </c>
      <c r="E1996" s="2">
        <v>45484</v>
      </c>
      <c r="F1996" s="2">
        <v>45487</v>
      </c>
      <c r="G1996" s="1" t="s">
        <v>31</v>
      </c>
      <c r="H1996" s="1" t="s">
        <v>12</v>
      </c>
      <c r="I1996" s="1" t="s">
        <v>58</v>
      </c>
      <c r="J1996" s="1" t="s">
        <v>105</v>
      </c>
      <c r="K1996" s="3">
        <v>1550.19</v>
      </c>
      <c r="L1996" s="1">
        <v>4</v>
      </c>
      <c r="M1996" s="4" t="s">
        <v>20</v>
      </c>
      <c r="N1996" s="3">
        <v>254.15</v>
      </c>
      <c r="O1996" s="1" t="s">
        <v>2194</v>
      </c>
      <c r="P1996" s="1" t="s">
        <v>2076</v>
      </c>
      <c r="Q1996" s="1" t="str">
        <f>TEXT((Data[[#This Row],[Order_Date]]), "mmm")</f>
        <v>Jul</v>
      </c>
    </row>
    <row r="1997" spans="4:17" x14ac:dyDescent="0.3">
      <c r="D1997" s="1" t="s">
        <v>2059</v>
      </c>
      <c r="E1997" s="2">
        <v>45639</v>
      </c>
      <c r="F1997" s="2">
        <v>45639</v>
      </c>
      <c r="G1997" s="1" t="s">
        <v>22</v>
      </c>
      <c r="H1997" s="1" t="s">
        <v>12</v>
      </c>
      <c r="I1997" s="1" t="s">
        <v>58</v>
      </c>
      <c r="J1997" s="1" t="s">
        <v>105</v>
      </c>
      <c r="K1997" s="3">
        <v>2073.1</v>
      </c>
      <c r="L1997" s="1">
        <v>15</v>
      </c>
      <c r="M1997" s="4" t="s">
        <v>20</v>
      </c>
      <c r="N1997" s="3">
        <v>635.57000000000005</v>
      </c>
      <c r="O1997" s="1" t="s">
        <v>2149</v>
      </c>
      <c r="P1997" s="1" t="s">
        <v>2071</v>
      </c>
      <c r="Q1997" s="1" t="str">
        <f>TEXT((Data[[#This Row],[Order_Date]]), "mmm")</f>
        <v>Dec</v>
      </c>
    </row>
    <row r="1998" spans="4:17" x14ac:dyDescent="0.3">
      <c r="D1998" s="1" t="s">
        <v>2060</v>
      </c>
      <c r="E1998" s="2">
        <v>45507</v>
      </c>
      <c r="F1998" s="2">
        <v>45513</v>
      </c>
      <c r="G1998" s="1" t="s">
        <v>31</v>
      </c>
      <c r="H1998" s="1" t="s">
        <v>17</v>
      </c>
      <c r="I1998" s="1" t="s">
        <v>27</v>
      </c>
      <c r="J1998" s="1" t="s">
        <v>132</v>
      </c>
      <c r="K1998" s="3">
        <v>1356.19</v>
      </c>
      <c r="L1998" s="1">
        <v>17</v>
      </c>
      <c r="M1998" s="4" t="s">
        <v>20</v>
      </c>
      <c r="N1998" s="3">
        <v>221.48</v>
      </c>
      <c r="O1998" s="1" t="s">
        <v>2225</v>
      </c>
      <c r="P1998" s="1" t="s">
        <v>2076</v>
      </c>
      <c r="Q1998" s="1" t="str">
        <f>TEXT((Data[[#This Row],[Order_Date]]), "mmm")</f>
        <v>Aug</v>
      </c>
    </row>
    <row r="1999" spans="4:17" x14ac:dyDescent="0.3">
      <c r="D1999" s="1" t="s">
        <v>2061</v>
      </c>
      <c r="E1999" s="2">
        <v>45327</v>
      </c>
      <c r="F1999" s="2">
        <v>45333</v>
      </c>
      <c r="G1999" s="1" t="s">
        <v>11</v>
      </c>
      <c r="H1999" s="1" t="s">
        <v>17</v>
      </c>
      <c r="I1999" s="1" t="s">
        <v>18</v>
      </c>
      <c r="J1999" s="1" t="s">
        <v>90</v>
      </c>
      <c r="K1999" s="3">
        <v>3996.91</v>
      </c>
      <c r="L1999" s="1">
        <v>15</v>
      </c>
      <c r="M1999" s="4" t="s">
        <v>34</v>
      </c>
      <c r="N1999" s="3">
        <v>960.78</v>
      </c>
      <c r="O1999" s="1" t="s">
        <v>2140</v>
      </c>
      <c r="P1999" s="1" t="s">
        <v>2071</v>
      </c>
      <c r="Q1999" s="1" t="str">
        <f>TEXT((Data[[#This Row],[Order_Date]]), "mmm")</f>
        <v>Feb</v>
      </c>
    </row>
    <row r="2000" spans="4:17" x14ac:dyDescent="0.3">
      <c r="D2000" s="1" t="s">
        <v>2062</v>
      </c>
      <c r="E2000" s="2">
        <v>45566</v>
      </c>
      <c r="F2000" s="2">
        <v>45570</v>
      </c>
      <c r="G2000" s="1" t="s">
        <v>31</v>
      </c>
      <c r="H2000" s="1" t="s">
        <v>23</v>
      </c>
      <c r="I2000" s="1" t="s">
        <v>61</v>
      </c>
      <c r="J2000" s="1" t="s">
        <v>98</v>
      </c>
      <c r="K2000" s="3">
        <v>3862.5</v>
      </c>
      <c r="L2000" s="1">
        <v>2</v>
      </c>
      <c r="M2000" s="4" t="s">
        <v>44</v>
      </c>
      <c r="N2000" s="3">
        <v>968.65</v>
      </c>
      <c r="O2000" s="1" t="s">
        <v>2271</v>
      </c>
      <c r="P2000" s="1" t="s">
        <v>2071</v>
      </c>
      <c r="Q2000" s="1" t="str">
        <f>TEXT((Data[[#This Row],[Order_Date]]), "mmm")</f>
        <v>Oct</v>
      </c>
    </row>
    <row r="2001" spans="4:17" x14ac:dyDescent="0.3">
      <c r="D2001" s="1" t="s">
        <v>2063</v>
      </c>
      <c r="E2001" s="2">
        <v>45361</v>
      </c>
      <c r="F2001" s="2">
        <v>45368</v>
      </c>
      <c r="G2001" s="1" t="s">
        <v>22</v>
      </c>
      <c r="H2001" s="1" t="s">
        <v>17</v>
      </c>
      <c r="I2001" s="1" t="s">
        <v>27</v>
      </c>
      <c r="J2001" s="1" t="s">
        <v>132</v>
      </c>
      <c r="K2001" s="3">
        <v>2074.77</v>
      </c>
      <c r="L2001" s="1">
        <v>7</v>
      </c>
      <c r="M2001" s="4" t="s">
        <v>49</v>
      </c>
      <c r="N2001" s="3">
        <v>187.34</v>
      </c>
      <c r="O2001" s="1" t="s">
        <v>2179</v>
      </c>
      <c r="P2001" s="1" t="s">
        <v>2071</v>
      </c>
      <c r="Q2001" s="1" t="str">
        <f>TEXT((Data[[#This Row],[Order_Date]]), "mmm")</f>
        <v>Mar</v>
      </c>
    </row>
    <row r="2002" spans="4:17" x14ac:dyDescent="0.3">
      <c r="D2002" s="1" t="s">
        <v>2064</v>
      </c>
      <c r="E2002" s="2">
        <v>45344</v>
      </c>
      <c r="F2002" s="2">
        <v>45348</v>
      </c>
      <c r="G2002" s="1" t="s">
        <v>36</v>
      </c>
      <c r="H2002" s="1" t="s">
        <v>12</v>
      </c>
      <c r="I2002" s="1" t="s">
        <v>13</v>
      </c>
      <c r="J2002" s="1" t="s">
        <v>96</v>
      </c>
      <c r="K2002" s="3">
        <v>685.22</v>
      </c>
      <c r="L2002" s="1">
        <v>19</v>
      </c>
      <c r="M2002" s="4" t="s">
        <v>44</v>
      </c>
      <c r="N2002" s="3">
        <v>155.94999999999999</v>
      </c>
      <c r="O2002" s="1" t="s">
        <v>2222</v>
      </c>
      <c r="P2002" s="1" t="s">
        <v>2071</v>
      </c>
      <c r="Q2002" s="1" t="str">
        <f>TEXT((Data[[#This Row],[Order_Date]]), "mmm")</f>
        <v>Feb</v>
      </c>
    </row>
    <row r="2003" spans="4:17" x14ac:dyDescent="0.3">
      <c r="D2003" s="1" t="s">
        <v>2065</v>
      </c>
      <c r="E2003" s="2">
        <v>45303</v>
      </c>
      <c r="F2003" s="2">
        <v>45309</v>
      </c>
      <c r="G2003" s="1" t="s">
        <v>11</v>
      </c>
      <c r="H2003" s="1" t="s">
        <v>23</v>
      </c>
      <c r="I2003" s="1" t="s">
        <v>65</v>
      </c>
      <c r="J2003" s="1" t="s">
        <v>114</v>
      </c>
      <c r="K2003" s="3">
        <v>1225.48</v>
      </c>
      <c r="L2003" s="1">
        <v>20</v>
      </c>
      <c r="M2003" s="4" t="s">
        <v>15</v>
      </c>
      <c r="N2003" s="3">
        <v>416.12</v>
      </c>
      <c r="O2003" s="1" t="s">
        <v>2146</v>
      </c>
      <c r="P2003" s="1" t="s">
        <v>2076</v>
      </c>
      <c r="Q2003" s="1" t="str">
        <f>TEXT((Data[[#This Row],[Order_Date]]), "mmm")</f>
        <v>Jan</v>
      </c>
    </row>
    <row r="2004" spans="4:17" x14ac:dyDescent="0.3">
      <c r="D2004" s="1" t="s">
        <v>2066</v>
      </c>
      <c r="E2004" s="2">
        <v>45583</v>
      </c>
      <c r="F2004" s="2">
        <v>45585</v>
      </c>
      <c r="G2004" s="1" t="s">
        <v>22</v>
      </c>
      <c r="H2004" s="1" t="s">
        <v>12</v>
      </c>
      <c r="I2004" s="1" t="s">
        <v>13</v>
      </c>
      <c r="J2004" s="1" t="s">
        <v>96</v>
      </c>
      <c r="K2004" s="3">
        <v>3119.73</v>
      </c>
      <c r="L2004" s="1">
        <v>11</v>
      </c>
      <c r="M2004" s="4" t="s">
        <v>34</v>
      </c>
      <c r="N2004" s="3">
        <v>260.7</v>
      </c>
      <c r="O2004" s="1" t="s">
        <v>2172</v>
      </c>
      <c r="P2004" s="1" t="s">
        <v>2078</v>
      </c>
      <c r="Q2004" s="1" t="str">
        <f>TEXT((Data[[#This Row],[Order_Date]]), "mmm")</f>
        <v>Oct</v>
      </c>
    </row>
    <row r="2005" spans="4:17" x14ac:dyDescent="0.3">
      <c r="D2005" s="1" t="s">
        <v>2067</v>
      </c>
      <c r="E2005" s="2">
        <v>45460</v>
      </c>
      <c r="F2005" s="2">
        <v>45467</v>
      </c>
      <c r="G2005" s="1" t="s">
        <v>22</v>
      </c>
      <c r="H2005" s="1" t="s">
        <v>23</v>
      </c>
      <c r="I2005" s="1" t="s">
        <v>61</v>
      </c>
      <c r="J2005" s="1" t="s">
        <v>98</v>
      </c>
      <c r="K2005" s="3">
        <v>1247.06</v>
      </c>
      <c r="L2005" s="1">
        <v>7</v>
      </c>
      <c r="M2005" s="4" t="s">
        <v>20</v>
      </c>
      <c r="N2005" s="3">
        <v>302.45999999999998</v>
      </c>
      <c r="O2005" s="1" t="s">
        <v>2205</v>
      </c>
      <c r="P2005" s="1" t="s">
        <v>2078</v>
      </c>
      <c r="Q2005" s="1" t="str">
        <f>TEXT((Data[[#This Row],[Order_Date]]), "mmm")</f>
        <v>Jun</v>
      </c>
    </row>
  </sheetData>
  <mergeCells count="1">
    <mergeCell ref="D2:P3"/>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D003-4A0C-448A-883E-1B794E49F723}">
  <dimension ref="B2:O33"/>
  <sheetViews>
    <sheetView zoomScaleNormal="100" workbookViewId="0">
      <selection activeCell="D2" sqref="D2:O3"/>
    </sheetView>
  </sheetViews>
  <sheetFormatPr defaultRowHeight="14.4" x14ac:dyDescent="0.3"/>
  <cols>
    <col min="1" max="1" width="8.88671875" style="6"/>
    <col min="2" max="2" width="8.88671875" style="102"/>
    <col min="3" max="3" width="8.88671875" style="6"/>
    <col min="4" max="4" width="20.6640625" style="6" bestFit="1" customWidth="1"/>
    <col min="5" max="5" width="12" style="6" bestFit="1" customWidth="1"/>
    <col min="6" max="6" width="8.88671875" style="6"/>
    <col min="7" max="7" width="14.44140625" style="6" bestFit="1" customWidth="1"/>
    <col min="8" max="8" width="12" style="6" bestFit="1" customWidth="1"/>
    <col min="9" max="9" width="15.109375" style="6" bestFit="1" customWidth="1"/>
    <col min="10" max="10" width="8.88671875" style="6"/>
    <col min="11" max="11" width="13.5546875" style="6" bestFit="1" customWidth="1"/>
    <col min="12" max="12" width="12" style="6" bestFit="1" customWidth="1"/>
    <col min="13" max="13" width="8.88671875" style="6"/>
    <col min="14" max="14" width="16.44140625" style="6" bestFit="1" customWidth="1"/>
    <col min="15" max="15" width="15" style="6" bestFit="1" customWidth="1"/>
    <col min="16" max="16" width="15.33203125" style="6" bestFit="1" customWidth="1"/>
    <col min="17" max="16384" width="8.88671875" style="6"/>
  </cols>
  <sheetData>
    <row r="2" spans="4:15" ht="14.4" customHeight="1" x14ac:dyDescent="0.3">
      <c r="D2" s="54" t="s">
        <v>2314</v>
      </c>
      <c r="E2" s="54"/>
      <c r="F2" s="54"/>
      <c r="G2" s="54"/>
      <c r="H2" s="54"/>
      <c r="I2" s="54"/>
      <c r="J2" s="54"/>
      <c r="K2" s="54"/>
      <c r="L2" s="54"/>
      <c r="M2" s="54"/>
      <c r="N2" s="54"/>
      <c r="O2" s="54"/>
    </row>
    <row r="3" spans="4:15" ht="14.4" customHeight="1" x14ac:dyDescent="0.3">
      <c r="D3" s="54"/>
      <c r="E3" s="54"/>
      <c r="F3" s="54"/>
      <c r="G3" s="54"/>
      <c r="H3" s="54"/>
      <c r="I3" s="54"/>
      <c r="J3" s="54"/>
      <c r="K3" s="54"/>
      <c r="L3" s="54"/>
      <c r="M3" s="54"/>
      <c r="N3" s="54"/>
      <c r="O3" s="54"/>
    </row>
    <row r="6" spans="4:15" ht="15.6" x14ac:dyDescent="0.3">
      <c r="D6" s="46" t="s">
        <v>2355</v>
      </c>
      <c r="E6" s="46"/>
      <c r="G6" s="46" t="s">
        <v>2341</v>
      </c>
      <c r="H6" s="46"/>
      <c r="I6" s="46"/>
      <c r="K6" s="46" t="s">
        <v>2344</v>
      </c>
      <c r="L6" s="46"/>
      <c r="N6" s="46" t="s">
        <v>2356</v>
      </c>
      <c r="O6" s="46"/>
    </row>
    <row r="7" spans="4:15" ht="15.6" x14ac:dyDescent="0.3">
      <c r="D7" s="11" t="s">
        <v>2</v>
      </c>
      <c r="E7" s="11" t="s">
        <v>2329</v>
      </c>
      <c r="G7" s="11" t="s">
        <v>2</v>
      </c>
      <c r="H7" s="11" t="s">
        <v>2330</v>
      </c>
      <c r="I7" s="11" t="s">
        <v>2331</v>
      </c>
      <c r="K7" s="11" t="s">
        <v>2332</v>
      </c>
      <c r="L7" s="11" t="s">
        <v>2330</v>
      </c>
      <c r="N7" s="11" t="s">
        <v>2333</v>
      </c>
      <c r="O7" s="11" t="s">
        <v>2329</v>
      </c>
    </row>
    <row r="8" spans="4:15" x14ac:dyDescent="0.3">
      <c r="D8" s="9" t="s">
        <v>36</v>
      </c>
      <c r="E8" s="98">
        <v>5033</v>
      </c>
      <c r="G8" s="9" t="s">
        <v>36</v>
      </c>
      <c r="H8" s="10">
        <v>1008573.3699999995</v>
      </c>
      <c r="I8" s="10">
        <v>148852.01</v>
      </c>
      <c r="K8" s="9" t="s">
        <v>2317</v>
      </c>
      <c r="L8" s="10">
        <v>386230.21000000025</v>
      </c>
      <c r="N8" s="9" t="s">
        <v>56</v>
      </c>
      <c r="O8" s="98">
        <v>1283</v>
      </c>
    </row>
    <row r="9" spans="4:15" x14ac:dyDescent="0.3">
      <c r="D9" s="9" t="s">
        <v>11</v>
      </c>
      <c r="E9" s="98">
        <v>5168</v>
      </c>
      <c r="G9" s="9" t="s">
        <v>11</v>
      </c>
      <c r="H9" s="10">
        <v>1021131.4000000003</v>
      </c>
      <c r="I9" s="10">
        <v>156136.71999999971</v>
      </c>
      <c r="K9" s="9" t="s">
        <v>2318</v>
      </c>
      <c r="L9" s="10">
        <v>314886.31999999989</v>
      </c>
      <c r="N9" s="9" t="s">
        <v>33</v>
      </c>
      <c r="O9" s="98">
        <v>999</v>
      </c>
    </row>
    <row r="10" spans="4:15" x14ac:dyDescent="0.3">
      <c r="D10" s="9" t="s">
        <v>22</v>
      </c>
      <c r="E10" s="98">
        <v>5432</v>
      </c>
      <c r="G10" s="9" t="s">
        <v>22</v>
      </c>
      <c r="H10" s="10">
        <v>1145797.4200000009</v>
      </c>
      <c r="I10" s="10">
        <v>160139.57000000012</v>
      </c>
      <c r="K10" s="9" t="s">
        <v>2319</v>
      </c>
      <c r="L10" s="10">
        <v>354245.53000000014</v>
      </c>
      <c r="N10" s="9" t="s">
        <v>118</v>
      </c>
      <c r="O10" s="98">
        <v>935</v>
      </c>
    </row>
    <row r="11" spans="4:15" x14ac:dyDescent="0.3">
      <c r="D11" s="9" t="s">
        <v>31</v>
      </c>
      <c r="E11" s="98">
        <v>5114</v>
      </c>
      <c r="G11" s="9" t="s">
        <v>31</v>
      </c>
      <c r="H11" s="10">
        <v>1030177.7599999998</v>
      </c>
      <c r="I11" s="10">
        <v>146731.09999999998</v>
      </c>
      <c r="K11" s="9" t="s">
        <v>2320</v>
      </c>
      <c r="L11" s="10">
        <v>324977.45999999985</v>
      </c>
      <c r="N11" s="9" t="s">
        <v>54</v>
      </c>
      <c r="O11" s="98">
        <v>903</v>
      </c>
    </row>
    <row r="12" spans="4:15" x14ac:dyDescent="0.3">
      <c r="K12" s="9" t="s">
        <v>2321</v>
      </c>
      <c r="L12" s="10">
        <v>312568.41000000003</v>
      </c>
      <c r="N12" s="9" t="s">
        <v>19</v>
      </c>
      <c r="O12" s="98">
        <v>862</v>
      </c>
    </row>
    <row r="13" spans="4:15" x14ac:dyDescent="0.3">
      <c r="K13" s="9" t="s">
        <v>2322</v>
      </c>
      <c r="L13" s="10">
        <v>350676.08</v>
      </c>
      <c r="N13" s="9" t="s">
        <v>79</v>
      </c>
      <c r="O13" s="98">
        <v>817</v>
      </c>
    </row>
    <row r="14" spans="4:15" ht="15.6" x14ac:dyDescent="0.3">
      <c r="D14" s="46" t="s">
        <v>2342</v>
      </c>
      <c r="E14" s="46"/>
      <c r="G14" s="100" t="s">
        <v>2343</v>
      </c>
      <c r="H14" s="101"/>
      <c r="I14"/>
      <c r="K14" s="9" t="s">
        <v>2323</v>
      </c>
      <c r="L14" s="10">
        <v>394713.94999999984</v>
      </c>
      <c r="N14" s="9" t="s">
        <v>114</v>
      </c>
      <c r="O14" s="98">
        <v>736</v>
      </c>
    </row>
    <row r="15" spans="4:15" ht="15.6" x14ac:dyDescent="0.3">
      <c r="D15" s="11" t="s">
        <v>2334</v>
      </c>
      <c r="E15" s="11" t="s">
        <v>2330</v>
      </c>
      <c r="G15" s="11" t="s">
        <v>2335</v>
      </c>
      <c r="H15" s="99" t="s">
        <v>2331</v>
      </c>
      <c r="I15"/>
      <c r="K15" s="9" t="s">
        <v>2324</v>
      </c>
      <c r="L15" s="10">
        <v>369977.31000000017</v>
      </c>
      <c r="N15" s="9" t="s">
        <v>105</v>
      </c>
      <c r="O15" s="98">
        <v>705</v>
      </c>
    </row>
    <row r="16" spans="4:15" x14ac:dyDescent="0.3">
      <c r="D16" s="9" t="s">
        <v>12</v>
      </c>
      <c r="E16" s="10">
        <v>1449769.1900000009</v>
      </c>
      <c r="G16" s="9" t="s">
        <v>2078</v>
      </c>
      <c r="H16" s="10">
        <v>206803.39999999985</v>
      </c>
      <c r="I16"/>
      <c r="K16" s="9" t="s">
        <v>2325</v>
      </c>
      <c r="L16" s="10">
        <v>317486.59999999986</v>
      </c>
      <c r="N16" s="9" t="s">
        <v>98</v>
      </c>
      <c r="O16" s="98">
        <v>658</v>
      </c>
    </row>
    <row r="17" spans="4:15" x14ac:dyDescent="0.3">
      <c r="D17" s="9" t="s">
        <v>23</v>
      </c>
      <c r="E17" s="10">
        <v>1331982.9599999993</v>
      </c>
      <c r="G17" s="9" t="s">
        <v>2076</v>
      </c>
      <c r="H17" s="10">
        <v>192307.26000000004</v>
      </c>
      <c r="I17"/>
      <c r="K17" s="9" t="s">
        <v>2326</v>
      </c>
      <c r="L17" s="10">
        <v>357677.77000000014</v>
      </c>
      <c r="N17" s="9" t="s">
        <v>81</v>
      </c>
      <c r="O17" s="98">
        <v>634</v>
      </c>
    </row>
    <row r="18" spans="4:15" x14ac:dyDescent="0.3">
      <c r="D18" s="9" t="s">
        <v>17</v>
      </c>
      <c r="E18" s="10">
        <v>1423927.8000000012</v>
      </c>
      <c r="G18" s="9" t="s">
        <v>2071</v>
      </c>
      <c r="H18" s="10">
        <v>212748.74000000017</v>
      </c>
      <c r="I18"/>
      <c r="K18" s="9" t="s">
        <v>2327</v>
      </c>
      <c r="L18" s="10">
        <v>350833.83000000019</v>
      </c>
    </row>
    <row r="19" spans="4:15" x14ac:dyDescent="0.3">
      <c r="K19" s="9" t="s">
        <v>2328</v>
      </c>
      <c r="L19" s="10">
        <v>371406.47999999986</v>
      </c>
    </row>
    <row r="20" spans="4:15" ht="15.6" x14ac:dyDescent="0.3">
      <c r="N20" s="46" t="s">
        <v>2345</v>
      </c>
      <c r="O20" s="46"/>
    </row>
    <row r="21" spans="4:15" ht="15.6" x14ac:dyDescent="0.3">
      <c r="D21" s="46" t="s">
        <v>2348</v>
      </c>
      <c r="E21" s="46"/>
      <c r="G21" s="46" t="s">
        <v>2347</v>
      </c>
      <c r="H21" s="46"/>
      <c r="I21" s="46"/>
      <c r="N21" s="11" t="s">
        <v>2340</v>
      </c>
      <c r="O21" s="11" t="s">
        <v>2330</v>
      </c>
    </row>
    <row r="22" spans="4:15" ht="15.6" x14ac:dyDescent="0.3">
      <c r="D22" s="11" t="s">
        <v>2336</v>
      </c>
      <c r="E22" s="11" t="s">
        <v>2331</v>
      </c>
      <c r="G22" s="11" t="s">
        <v>2337</v>
      </c>
      <c r="H22" s="11" t="s">
        <v>2338</v>
      </c>
      <c r="I22" s="11" t="s">
        <v>2339</v>
      </c>
      <c r="K22" s="46" t="s">
        <v>2346</v>
      </c>
      <c r="L22" s="46"/>
      <c r="N22" s="7" t="s">
        <v>2078</v>
      </c>
      <c r="O22" s="8">
        <v>1364679.82</v>
      </c>
    </row>
    <row r="23" spans="4:15" ht="15.6" x14ac:dyDescent="0.3">
      <c r="D23" s="9" t="s">
        <v>2108</v>
      </c>
      <c r="E23" s="10">
        <v>7175.47</v>
      </c>
      <c r="G23" s="9" t="s">
        <v>32</v>
      </c>
      <c r="H23" s="10">
        <v>2173.7507860262012</v>
      </c>
      <c r="I23" s="10">
        <v>294.56707423580781</v>
      </c>
      <c r="K23" s="11" t="s">
        <v>8</v>
      </c>
      <c r="L23" s="11" t="s">
        <v>2331</v>
      </c>
      <c r="N23" s="9" t="s">
        <v>12</v>
      </c>
      <c r="O23" s="10">
        <v>489372.5399999998</v>
      </c>
    </row>
    <row r="24" spans="4:15" x14ac:dyDescent="0.3">
      <c r="D24" s="9" t="s">
        <v>2262</v>
      </c>
      <c r="E24" s="10">
        <v>7128.46</v>
      </c>
      <c r="G24" s="9" t="s">
        <v>65</v>
      </c>
      <c r="H24" s="10">
        <v>1918.0207909604524</v>
      </c>
      <c r="I24" s="10">
        <v>261.36372881355925</v>
      </c>
      <c r="K24" s="9" t="s">
        <v>20</v>
      </c>
      <c r="L24" s="10">
        <v>92679.509999999922</v>
      </c>
      <c r="N24" s="9" t="s">
        <v>23</v>
      </c>
      <c r="O24" s="10">
        <v>441594.1300000003</v>
      </c>
    </row>
    <row r="25" spans="4:15" x14ac:dyDescent="0.3">
      <c r="D25" s="9" t="s">
        <v>2114</v>
      </c>
      <c r="E25" s="10">
        <v>6889.7999999999993</v>
      </c>
      <c r="G25" s="9" t="s">
        <v>38</v>
      </c>
      <c r="H25" s="10">
        <v>2335.3152380952388</v>
      </c>
      <c r="I25" s="10">
        <v>338.80172619047636</v>
      </c>
      <c r="K25" s="9" t="s">
        <v>34</v>
      </c>
      <c r="L25" s="10">
        <v>104873.31999999993</v>
      </c>
      <c r="N25" s="9" t="s">
        <v>17</v>
      </c>
      <c r="O25" s="10">
        <v>433713.14999999991</v>
      </c>
    </row>
    <row r="26" spans="4:15" x14ac:dyDescent="0.3">
      <c r="D26" s="9" t="s">
        <v>2167</v>
      </c>
      <c r="E26" s="10">
        <v>6337.2400000000007</v>
      </c>
      <c r="G26" s="9" t="s">
        <v>13</v>
      </c>
      <c r="H26" s="10">
        <v>1976.2941379310337</v>
      </c>
      <c r="I26" s="10">
        <v>291.81925287356324</v>
      </c>
      <c r="K26" s="9" t="s">
        <v>49</v>
      </c>
      <c r="L26" s="10">
        <v>109222.93999999993</v>
      </c>
      <c r="N26" s="7" t="s">
        <v>2076</v>
      </c>
      <c r="O26" s="8">
        <v>1389261.4700000007</v>
      </c>
    </row>
    <row r="27" spans="4:15" x14ac:dyDescent="0.3">
      <c r="D27" s="9" t="s">
        <v>2138</v>
      </c>
      <c r="E27" s="10">
        <v>6188.5599999999995</v>
      </c>
      <c r="G27" s="9" t="s">
        <v>78</v>
      </c>
      <c r="H27" s="10">
        <v>2054.2628313253003</v>
      </c>
      <c r="I27" s="10">
        <v>318.34162650602417</v>
      </c>
      <c r="K27" s="9" t="s">
        <v>29</v>
      </c>
      <c r="L27" s="10">
        <v>91272.619999999966</v>
      </c>
      <c r="N27" s="9" t="s">
        <v>12</v>
      </c>
      <c r="O27" s="10">
        <v>465201.13000000006</v>
      </c>
    </row>
    <row r="28" spans="4:15" x14ac:dyDescent="0.3">
      <c r="D28" s="9" t="s">
        <v>2092</v>
      </c>
      <c r="E28" s="10">
        <v>5817.829999999999</v>
      </c>
      <c r="G28" s="9" t="s">
        <v>61</v>
      </c>
      <c r="H28" s="10">
        <v>2143.721823899371</v>
      </c>
      <c r="I28" s="10">
        <v>391.79528301886785</v>
      </c>
      <c r="K28" s="9" t="s">
        <v>15</v>
      </c>
      <c r="L28" s="10">
        <v>105245.49000000005</v>
      </c>
      <c r="N28" s="9" t="s">
        <v>23</v>
      </c>
      <c r="O28" s="10">
        <v>455389.9500000003</v>
      </c>
    </row>
    <row r="29" spans="4:15" x14ac:dyDescent="0.3">
      <c r="D29" s="9" t="s">
        <v>2147</v>
      </c>
      <c r="E29" s="10">
        <v>5805.1399999999994</v>
      </c>
      <c r="G29" s="9" t="s">
        <v>27</v>
      </c>
      <c r="H29" s="10">
        <v>2039.8004035874442</v>
      </c>
      <c r="I29" s="10">
        <v>262.00959641255599</v>
      </c>
      <c r="K29" s="9" t="s">
        <v>44</v>
      </c>
      <c r="L29" s="10">
        <v>108565.52000000005</v>
      </c>
      <c r="N29" s="9" t="s">
        <v>17</v>
      </c>
      <c r="O29" s="10">
        <v>468670.39000000031</v>
      </c>
    </row>
    <row r="30" spans="4:15" x14ac:dyDescent="0.3">
      <c r="D30" s="9" t="s">
        <v>2168</v>
      </c>
      <c r="E30" s="10">
        <v>5724.06</v>
      </c>
      <c r="G30" s="9" t="s">
        <v>24</v>
      </c>
      <c r="H30" s="10">
        <v>2043.6439473684215</v>
      </c>
      <c r="I30" s="10">
        <v>246.40506578947378</v>
      </c>
      <c r="N30" s="7" t="s">
        <v>2071</v>
      </c>
      <c r="O30" s="8">
        <v>1451738.6600000004</v>
      </c>
    </row>
    <row r="31" spans="4:15" x14ac:dyDescent="0.3">
      <c r="D31" s="9" t="s">
        <v>2186</v>
      </c>
      <c r="E31" s="10">
        <v>5341.76</v>
      </c>
      <c r="G31" s="9" t="s">
        <v>18</v>
      </c>
      <c r="H31" s="10">
        <v>2094.5039111111114</v>
      </c>
      <c r="I31" s="10">
        <v>306.26315555555567</v>
      </c>
      <c r="N31" s="9" t="s">
        <v>12</v>
      </c>
      <c r="O31" s="10">
        <v>495195.52</v>
      </c>
    </row>
    <row r="32" spans="4:15" x14ac:dyDescent="0.3">
      <c r="D32" s="9" t="s">
        <v>2195</v>
      </c>
      <c r="E32" s="10">
        <v>5161.7599999999993</v>
      </c>
      <c r="G32" s="9" t="s">
        <v>58</v>
      </c>
      <c r="H32" s="10">
        <v>2187.7318823529399</v>
      </c>
      <c r="I32" s="10">
        <v>335.23617647058848</v>
      </c>
      <c r="N32" s="9" t="s">
        <v>23</v>
      </c>
      <c r="O32" s="10">
        <v>434998.88000000012</v>
      </c>
    </row>
    <row r="33" spans="7:15" x14ac:dyDescent="0.3">
      <c r="G33" s="9" t="s">
        <v>42</v>
      </c>
      <c r="H33" s="10">
        <v>2176.0931847133756</v>
      </c>
      <c r="I33" s="10">
        <v>340.9279617834394</v>
      </c>
      <c r="N33" s="9" t="s">
        <v>17</v>
      </c>
      <c r="O33" s="10">
        <v>521544.26000000018</v>
      </c>
    </row>
  </sheetData>
  <mergeCells count="11">
    <mergeCell ref="D2:O3"/>
    <mergeCell ref="D6:E6"/>
    <mergeCell ref="G6:I6"/>
    <mergeCell ref="D14:E14"/>
    <mergeCell ref="K6:L6"/>
    <mergeCell ref="N6:O6"/>
    <mergeCell ref="G14:H14"/>
    <mergeCell ref="N20:O20"/>
    <mergeCell ref="K22:L22"/>
    <mergeCell ref="D21:E21"/>
    <mergeCell ref="G21:I21"/>
  </mergeCells>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8DF6E-25F9-4842-AF76-6190617F3549}">
  <dimension ref="B2:P45"/>
  <sheetViews>
    <sheetView workbookViewId="0">
      <selection activeCell="D2" sqref="D2:P3"/>
    </sheetView>
  </sheetViews>
  <sheetFormatPr defaultRowHeight="14.4" x14ac:dyDescent="0.3"/>
  <cols>
    <col min="2" max="2" width="8.88671875" style="102"/>
    <col min="4" max="4" width="18.33203125" bestFit="1" customWidth="1"/>
    <col min="5" max="5" width="15.88671875" customWidth="1"/>
    <col min="6" max="6" width="17" customWidth="1"/>
    <col min="7" max="7" width="25.88671875" customWidth="1"/>
    <col min="8" max="8" width="18.88671875" customWidth="1"/>
    <col min="9" max="9" width="15" customWidth="1"/>
    <col min="10" max="10" width="11" customWidth="1"/>
    <col min="11" max="11" width="22.21875" bestFit="1" customWidth="1"/>
    <col min="12" max="12" width="13.44140625" bestFit="1" customWidth="1"/>
    <col min="13" max="13" width="14.44140625" bestFit="1" customWidth="1"/>
    <col min="14" max="14" width="13.5546875" bestFit="1" customWidth="1"/>
    <col min="15" max="15" width="13.21875" bestFit="1" customWidth="1"/>
    <col min="16" max="16" width="16.21875" customWidth="1"/>
  </cols>
  <sheetData>
    <row r="2" spans="4:16" x14ac:dyDescent="0.3">
      <c r="D2" s="47" t="s">
        <v>2431</v>
      </c>
      <c r="E2" s="48"/>
      <c r="F2" s="48"/>
      <c r="G2" s="48"/>
      <c r="H2" s="48"/>
      <c r="I2" s="48"/>
      <c r="J2" s="48"/>
      <c r="K2" s="48"/>
      <c r="L2" s="48"/>
      <c r="M2" s="48"/>
      <c r="N2" s="48"/>
      <c r="O2" s="48"/>
      <c r="P2" s="81"/>
    </row>
    <row r="3" spans="4:16" x14ac:dyDescent="0.3">
      <c r="D3" s="49"/>
      <c r="E3" s="50"/>
      <c r="F3" s="50"/>
      <c r="G3" s="50"/>
      <c r="H3" s="50"/>
      <c r="I3" s="50"/>
      <c r="J3" s="50"/>
      <c r="K3" s="50"/>
      <c r="L3" s="50"/>
      <c r="M3" s="50"/>
      <c r="N3" s="50"/>
      <c r="O3" s="50"/>
      <c r="P3" s="82"/>
    </row>
    <row r="6" spans="4:16" ht="15.6" x14ac:dyDescent="0.3">
      <c r="D6" s="88" t="s">
        <v>2354</v>
      </c>
      <c r="E6" s="88"/>
      <c r="G6" s="86" t="s">
        <v>2374</v>
      </c>
      <c r="H6" s="87"/>
      <c r="K6" s="83" t="s">
        <v>2357</v>
      </c>
      <c r="L6" s="84"/>
      <c r="M6" s="84"/>
      <c r="N6" s="84"/>
      <c r="O6" s="84"/>
      <c r="P6" s="85"/>
    </row>
    <row r="7" spans="4:16" x14ac:dyDescent="0.3">
      <c r="D7" s="14" t="s">
        <v>2349</v>
      </c>
      <c r="E7" s="20">
        <f>MAX(Data[Profit])</f>
        <v>1365.01</v>
      </c>
      <c r="G7" s="31" t="s">
        <v>2375</v>
      </c>
      <c r="H7" s="32" t="str">
        <f>INDEX(D17:D20,MATCH(MAX(E17:E20),E17:E20,0))</f>
        <v>South</v>
      </c>
      <c r="K7" s="18" t="s">
        <v>2358</v>
      </c>
      <c r="L7" s="18" t="s">
        <v>3</v>
      </c>
      <c r="M7" s="18" t="s">
        <v>2362</v>
      </c>
      <c r="N7" s="18" t="s">
        <v>2359</v>
      </c>
      <c r="O7" s="18" t="s">
        <v>2360</v>
      </c>
      <c r="P7" s="18" t="s">
        <v>2361</v>
      </c>
    </row>
    <row r="8" spans="4:16" x14ac:dyDescent="0.3">
      <c r="D8" s="14" t="s">
        <v>2350</v>
      </c>
      <c r="E8" s="20">
        <f>MIN(Data[Profit])</f>
        <v>-1299.07</v>
      </c>
      <c r="G8" s="31" t="s">
        <v>2376</v>
      </c>
      <c r="H8" s="32" t="str">
        <f>INDEX(D17:D20,MATCH(MIN(E17:E20),E17:E20,0))</f>
        <v>West</v>
      </c>
      <c r="K8" s="27" t="str" cm="1">
        <f t="array" ref="K8:K41">_xlfn._xlws.SORT(_xlfn.UNIQUE(Data[Product_Name]))</f>
        <v>Ameriwood L-Desk</v>
      </c>
      <c r="L8" s="28" t="str">
        <f>_xlfn.XLOOKUP(K8,Data[Product_Name],Data[Category],"Not Found")</f>
        <v>Furniture</v>
      </c>
      <c r="M8" s="19">
        <f>SUMIF(Data[Product_Name],K8,Data[Quantity])</f>
        <v>367</v>
      </c>
      <c r="N8" s="20">
        <f>SUMIF(Data[Product_Name],K8,Data[Profit])</f>
        <v>14207.22</v>
      </c>
      <c r="O8" s="21">
        <f t="shared" ref="O8:O41" si="0">N8/SUM($N$8:$N$41)</f>
        <v>2.3219746235818222E-2</v>
      </c>
      <c r="P8" s="19">
        <f t="shared" ref="P8:P41" si="1">RANK(M8,$M$8:$M$41,0)</f>
        <v>33</v>
      </c>
    </row>
    <row r="9" spans="4:16" x14ac:dyDescent="0.3">
      <c r="D9" s="14" t="s">
        <v>2339</v>
      </c>
      <c r="E9" s="20">
        <f>AVERAGE(Data[Profit])</f>
        <v>305.9297000000002</v>
      </c>
      <c r="G9" s="31" t="s">
        <v>2377</v>
      </c>
      <c r="H9" s="32" t="str">
        <f>INDEX(K8:K41,MATCH(MAX(N8:N41),N8:N41,0))</f>
        <v>HP Docking Station</v>
      </c>
      <c r="K9" s="27" t="str">
        <v>Anker Hub</v>
      </c>
      <c r="L9" s="28" t="str">
        <f>_xlfn.XLOOKUP(K9,Data[Product_Name],Data[Category],"Not Found")</f>
        <v>Technology</v>
      </c>
      <c r="M9" s="19">
        <f>SUMIF(Data[Product_Name],K9,Data[Quantity])</f>
        <v>999</v>
      </c>
      <c r="N9" s="20">
        <f>SUMIF(Data[Product_Name],K9,Data[Profit])</f>
        <v>32276.580000000005</v>
      </c>
      <c r="O9" s="21">
        <f t="shared" si="0"/>
        <v>5.2751628887290118E-2</v>
      </c>
      <c r="P9" s="19">
        <f t="shared" si="1"/>
        <v>2</v>
      </c>
    </row>
    <row r="10" spans="4:16" x14ac:dyDescent="0.3">
      <c r="D10" s="14" t="s">
        <v>2351</v>
      </c>
      <c r="E10" s="12">
        <f>COUNTIF(Data[Profit],"&gt;0")</f>
        <v>1718</v>
      </c>
      <c r="G10" s="31" t="s">
        <v>2378</v>
      </c>
      <c r="H10" s="32" t="str">
        <f>INDEX(K8:K41,MATCH(MAX(M8:M41),M8:M41,0))</f>
        <v>HP Docking Station</v>
      </c>
      <c r="K10" s="27" t="str">
        <v>Apple MacBook Pro</v>
      </c>
      <c r="L10" s="28" t="str">
        <f>_xlfn.XLOOKUP(K10,Data[Product_Name],Data[Category],"Not Found")</f>
        <v>Technology</v>
      </c>
      <c r="M10" s="19">
        <f>SUMIF(Data[Product_Name],K10,Data[Quantity])</f>
        <v>617</v>
      </c>
      <c r="N10" s="20">
        <f>SUMIF(Data[Product_Name],K10,Data[Profit])</f>
        <v>18010.070000000003</v>
      </c>
      <c r="O10" s="21">
        <f t="shared" si="0"/>
        <v>2.9434981304528457E-2</v>
      </c>
      <c r="P10" s="19">
        <f t="shared" si="1"/>
        <v>12</v>
      </c>
    </row>
    <row r="11" spans="4:16" x14ac:dyDescent="0.3">
      <c r="D11" s="14" t="s">
        <v>2352</v>
      </c>
      <c r="E11" s="12">
        <f>COUNTIF(Data[Profit],"&lt;0")</f>
        <v>282</v>
      </c>
      <c r="G11" s="31" t="s">
        <v>2379</v>
      </c>
      <c r="H11" s="32" t="str">
        <f>INDEX(D31:D33,MATCH(MAX(H31:H33),H31:H33,0))</f>
        <v>Furniture</v>
      </c>
      <c r="K11" s="27" t="str">
        <v>Avery 5160</v>
      </c>
      <c r="L11" s="28" t="str">
        <f>_xlfn.XLOOKUP(K11,Data[Product_Name],Data[Category],"Not Found")</f>
        <v>Office Supplies</v>
      </c>
      <c r="M11" s="19">
        <f>SUMIF(Data[Product_Name],K11,Data[Quantity])</f>
        <v>658</v>
      </c>
      <c r="N11" s="20">
        <f>SUMIF(Data[Product_Name],K11,Data[Profit])</f>
        <v>26393.06</v>
      </c>
      <c r="O11" s="21">
        <f t="shared" si="0"/>
        <v>4.313582499508873E-2</v>
      </c>
      <c r="P11" s="19">
        <f t="shared" si="1"/>
        <v>9</v>
      </c>
    </row>
    <row r="12" spans="4:16" x14ac:dyDescent="0.3">
      <c r="D12" s="14" t="s">
        <v>2353</v>
      </c>
      <c r="E12" s="13">
        <f>SUM(Data[Profit])/SUM(Data[Sales])</f>
        <v>0.14548406138227446</v>
      </c>
      <c r="G12" s="26"/>
      <c r="H12" s="26"/>
      <c r="K12" s="27" t="str">
        <v>Avery Heavy Duty</v>
      </c>
      <c r="L12" s="28" t="str">
        <f>_xlfn.XLOOKUP(K12,Data[Product_Name],Data[Category],"Not Found")</f>
        <v>Office Supplies</v>
      </c>
      <c r="M12" s="19">
        <f>SUMIF(Data[Product_Name],K12,Data[Quantity])</f>
        <v>736</v>
      </c>
      <c r="N12" s="20">
        <f>SUMIF(Data[Product_Name],K12,Data[Profit])</f>
        <v>21181.040000000005</v>
      </c>
      <c r="O12" s="21">
        <f t="shared" si="0"/>
        <v>3.4617495457289697E-2</v>
      </c>
      <c r="P12" s="19">
        <f t="shared" si="1"/>
        <v>7</v>
      </c>
    </row>
    <row r="13" spans="4:16" x14ac:dyDescent="0.3">
      <c r="K13" s="27" t="str">
        <v>Better Homes 4-Shelf</v>
      </c>
      <c r="L13" s="28" t="str">
        <f>_xlfn.XLOOKUP(K13,Data[Product_Name],Data[Category],"Not Found")</f>
        <v>Furniture</v>
      </c>
      <c r="M13" s="19">
        <f>SUMIF(Data[Product_Name],K13,Data[Quantity])</f>
        <v>627</v>
      </c>
      <c r="N13" s="20">
        <f>SUMIF(Data[Product_Name],K13,Data[Profit])</f>
        <v>14069.650000000001</v>
      </c>
      <c r="O13" s="21">
        <f t="shared" si="0"/>
        <v>2.2994906999876111E-2</v>
      </c>
      <c r="P13" s="19">
        <f t="shared" si="1"/>
        <v>11</v>
      </c>
    </row>
    <row r="14" spans="4:16" x14ac:dyDescent="0.3">
      <c r="K14" s="27" t="str">
        <v>Boise X-9</v>
      </c>
      <c r="L14" s="28" t="str">
        <f>_xlfn.XLOOKUP(K14,Data[Product_Name],Data[Category],"Not Found")</f>
        <v>Office Supplies</v>
      </c>
      <c r="M14" s="19">
        <f>SUMIF(Data[Product_Name],K14,Data[Quantity])</f>
        <v>536</v>
      </c>
      <c r="N14" s="20">
        <f>SUMIF(Data[Product_Name],K14,Data[Profit])</f>
        <v>14498.17</v>
      </c>
      <c r="O14" s="21">
        <f t="shared" si="0"/>
        <v>2.369526397731243E-2</v>
      </c>
      <c r="P14" s="19">
        <f t="shared" si="1"/>
        <v>20</v>
      </c>
    </row>
    <row r="15" spans="4:16" x14ac:dyDescent="0.3">
      <c r="D15" s="77" t="s">
        <v>2363</v>
      </c>
      <c r="E15" s="78"/>
      <c r="F15" s="78"/>
      <c r="G15" s="78"/>
      <c r="H15" s="78"/>
      <c r="I15" s="78"/>
      <c r="K15" s="27" t="str">
        <v>Brother P-Touch</v>
      </c>
      <c r="L15" s="28" t="str">
        <f>_xlfn.XLOOKUP(K15,Data[Product_Name],Data[Category],"Not Found")</f>
        <v>Office Supplies</v>
      </c>
      <c r="M15" s="19">
        <f>SUMIF(Data[Product_Name],K15,Data[Quantity])</f>
        <v>556</v>
      </c>
      <c r="N15" s="20">
        <f>SUMIF(Data[Product_Name],K15,Data[Profit])</f>
        <v>18913.239999999994</v>
      </c>
      <c r="O15" s="21">
        <f t="shared" si="0"/>
        <v>3.0911088397105595E-2</v>
      </c>
      <c r="P15" s="19">
        <f t="shared" si="1"/>
        <v>17</v>
      </c>
    </row>
    <row r="16" spans="4:16" x14ac:dyDescent="0.3">
      <c r="D16" s="18" t="s">
        <v>2</v>
      </c>
      <c r="E16" s="18" t="s">
        <v>2359</v>
      </c>
      <c r="F16" s="18" t="s">
        <v>2367</v>
      </c>
      <c r="G16" s="18" t="s">
        <v>2364</v>
      </c>
      <c r="H16" s="18" t="s">
        <v>2365</v>
      </c>
      <c r="I16" s="18" t="s">
        <v>2366</v>
      </c>
      <c r="K16" s="27" t="str">
        <v>Bush Furniture</v>
      </c>
      <c r="L16" s="28" t="str">
        <f>_xlfn.XLOOKUP(K16,Data[Product_Name],Data[Category],"Not Found")</f>
        <v>Furniture</v>
      </c>
      <c r="M16" s="19">
        <f>SUMIF(Data[Product_Name],K16,Data[Quantity])</f>
        <v>384</v>
      </c>
      <c r="N16" s="20">
        <f>SUMIF(Data[Product_Name],K16,Data[Profit])</f>
        <v>12102.290000000003</v>
      </c>
      <c r="O16" s="21">
        <f t="shared" si="0"/>
        <v>1.9779527780401839E-2</v>
      </c>
      <c r="P16" s="19">
        <f t="shared" si="1"/>
        <v>32</v>
      </c>
    </row>
    <row r="17" spans="4:16" x14ac:dyDescent="0.3">
      <c r="D17" s="22" t="str" cm="1">
        <f t="array" ref="D17:D20">_xlfn._xlws.SORT(_xlfn.UNIQUE(Data[Region]))</f>
        <v>East</v>
      </c>
      <c r="E17" s="20">
        <f>SUMIF(Data[Region],D17,Data[Profit])</f>
        <v>148852.01</v>
      </c>
      <c r="F17" s="23">
        <f>COUNTIF(Data[Region],D17)</f>
        <v>482</v>
      </c>
      <c r="G17" s="20">
        <f>E17/F17</f>
        <v>308.82159751037346</v>
      </c>
      <c r="H17" s="21">
        <f>E17/SUM(E17:E21)</f>
        <v>0.24327812892962017</v>
      </c>
      <c r="I17" s="24">
        <f>RANK(E17,E17:E21,0)</f>
        <v>3</v>
      </c>
      <c r="K17" s="27" t="str">
        <v>Dell XPS 15</v>
      </c>
      <c r="L17" s="28" t="str">
        <f>_xlfn.XLOOKUP(K17,Data[Product_Name],Data[Category],"Not Found")</f>
        <v>Technology</v>
      </c>
      <c r="M17" s="19">
        <f>SUMIF(Data[Product_Name],K17,Data[Quantity])</f>
        <v>547</v>
      </c>
      <c r="N17" s="20">
        <f>SUMIF(Data[Product_Name],K17,Data[Profit])</f>
        <v>11101.119999999999</v>
      </c>
      <c r="O17" s="21">
        <f t="shared" si="0"/>
        <v>1.8143253172215702E-2</v>
      </c>
      <c r="P17" s="19">
        <f t="shared" si="1"/>
        <v>19</v>
      </c>
    </row>
    <row r="18" spans="4:16" x14ac:dyDescent="0.3">
      <c r="D18" s="22" t="str">
        <v>North</v>
      </c>
      <c r="E18" s="20">
        <f>SUMIF(Data[Region],D18,Data[Profit])</f>
        <v>156136.71999999971</v>
      </c>
      <c r="F18" s="23">
        <f>COUNTIF(Data[Region],D18)</f>
        <v>495</v>
      </c>
      <c r="G18" s="20">
        <f t="shared" ref="G18:G20" si="2">E18/F18</f>
        <v>315.42771717171661</v>
      </c>
      <c r="H18" s="21">
        <f>E18/SUM(E17:E21)</f>
        <v>0.25518398507892454</v>
      </c>
      <c r="I18" s="24">
        <f>RANK(E18,E17:E21,0)</f>
        <v>2</v>
      </c>
      <c r="K18" s="29" t="str">
        <v>Five Star Flex</v>
      </c>
      <c r="L18" s="28" t="str">
        <f>_xlfn.XLOOKUP(K18,Data[Product_Name],Data[Category],"Not Found")</f>
        <v>Office Supplies</v>
      </c>
      <c r="M18" s="19">
        <f>SUMIF(Data[Product_Name],K18,Data[Quantity])</f>
        <v>436</v>
      </c>
      <c r="N18" s="20">
        <f>SUMIF(Data[Product_Name],K18,Data[Profit])</f>
        <v>9310.8000000000029</v>
      </c>
      <c r="O18" s="21">
        <f t="shared" si="0"/>
        <v>1.5217221472776264E-2</v>
      </c>
      <c r="P18" s="19">
        <f t="shared" si="1"/>
        <v>29</v>
      </c>
    </row>
    <row r="19" spans="4:16" x14ac:dyDescent="0.3">
      <c r="D19" s="22" t="str">
        <v>South</v>
      </c>
      <c r="E19" s="20">
        <f>SUMIF(Data[Region],D19,Data[Profit])</f>
        <v>160139.57000000012</v>
      </c>
      <c r="F19" s="23">
        <f>COUNTIF(Data[Region],D19)</f>
        <v>526</v>
      </c>
      <c r="G19" s="20">
        <f t="shared" si="2"/>
        <v>304.44785171102683</v>
      </c>
      <c r="H19" s="21">
        <f>E19/SUM(E17:E21)</f>
        <v>0.26172609262847013</v>
      </c>
      <c r="I19" s="24">
        <f>RANK(E19,E17:E21,0)</f>
        <v>1</v>
      </c>
      <c r="K19" s="29" t="str">
        <v>Hammermill 20lb</v>
      </c>
      <c r="L19" s="28" t="str">
        <f>_xlfn.XLOOKUP(K19,Data[Product_Name],Data[Category],"Not Found")</f>
        <v>Office Supplies</v>
      </c>
      <c r="M19" s="19">
        <f>SUMIF(Data[Product_Name],K19,Data[Quantity])</f>
        <v>510</v>
      </c>
      <c r="N19" s="20">
        <f>SUMIF(Data[Product_Name],K19,Data[Profit])</f>
        <v>9038.3600000000024</v>
      </c>
      <c r="O19" s="21">
        <f t="shared" si="0"/>
        <v>1.4771955779383302E-2</v>
      </c>
      <c r="P19" s="19">
        <f t="shared" si="1"/>
        <v>24</v>
      </c>
    </row>
    <row r="20" spans="4:16" x14ac:dyDescent="0.3">
      <c r="D20" s="22" t="str">
        <v>West</v>
      </c>
      <c r="E20" s="20">
        <f>SUMIF(Data[Region],D20,Data[Profit])</f>
        <v>146731.09999999998</v>
      </c>
      <c r="F20" s="23">
        <f>COUNTIF(Data[Region],D20)</f>
        <v>497</v>
      </c>
      <c r="G20" s="20">
        <f t="shared" si="2"/>
        <v>295.23360160965791</v>
      </c>
      <c r="H20" s="21">
        <f>E20/SUM(E17:E21)</f>
        <v>0.23981179336298503</v>
      </c>
      <c r="I20" s="24">
        <f>RANK(E20,E17:E21,0)</f>
        <v>4</v>
      </c>
      <c r="K20" s="29" t="str">
        <v>HERMA A4</v>
      </c>
      <c r="L20" s="28" t="str">
        <f>_xlfn.XLOOKUP(K20,Data[Product_Name],Data[Category],"Not Found")</f>
        <v>Office Supplies</v>
      </c>
      <c r="M20" s="19">
        <f>SUMIF(Data[Product_Name],K20,Data[Quantity])</f>
        <v>427</v>
      </c>
      <c r="N20" s="20">
        <f>SUMIF(Data[Product_Name],K20,Data[Profit])</f>
        <v>16989.150000000001</v>
      </c>
      <c r="O20" s="21">
        <f t="shared" si="0"/>
        <v>2.7766428038859904E-2</v>
      </c>
      <c r="P20" s="19">
        <f t="shared" si="1"/>
        <v>30</v>
      </c>
    </row>
    <row r="21" spans="4:16" x14ac:dyDescent="0.3">
      <c r="K21" s="29" t="str">
        <v>Herman Miller Aeron</v>
      </c>
      <c r="L21" s="28" t="str">
        <f>_xlfn.XLOOKUP(K21,Data[Product_Name],Data[Category],"Not Found")</f>
        <v>Furniture</v>
      </c>
      <c r="M21" s="19">
        <f>SUMIF(Data[Product_Name],K21,Data[Quantity])</f>
        <v>495</v>
      </c>
      <c r="N21" s="20">
        <f>SUMIF(Data[Product_Name],K21,Data[Profit])</f>
        <v>11215.970000000001</v>
      </c>
      <c r="O21" s="21">
        <f t="shared" si="0"/>
        <v>1.8330959694335004E-2</v>
      </c>
      <c r="P21" s="19">
        <f t="shared" si="1"/>
        <v>26</v>
      </c>
    </row>
    <row r="22" spans="4:16" x14ac:dyDescent="0.3">
      <c r="K22" s="29" t="str">
        <v>HON Ignition</v>
      </c>
      <c r="L22" s="28" t="str">
        <f>_xlfn.XLOOKUP(K22,Data[Product_Name],Data[Category],"Not Found")</f>
        <v>Furniture</v>
      </c>
      <c r="M22" s="19">
        <f>SUMIF(Data[Product_Name],K22,Data[Quantity])</f>
        <v>477</v>
      </c>
      <c r="N22" s="20">
        <f>SUMIF(Data[Product_Name],K22,Data[Profit])</f>
        <v>15812.719999999998</v>
      </c>
      <c r="O22" s="21">
        <f t="shared" si="0"/>
        <v>2.5843715075718365E-2</v>
      </c>
      <c r="P22" s="19">
        <f t="shared" si="1"/>
        <v>27</v>
      </c>
    </row>
    <row r="23" spans="4:16" x14ac:dyDescent="0.3">
      <c r="D23" s="77" t="s">
        <v>2368</v>
      </c>
      <c r="E23" s="78"/>
      <c r="F23" s="78"/>
      <c r="G23" s="78"/>
      <c r="H23" s="78"/>
      <c r="K23" s="29" t="str">
        <v>HP Docking Station</v>
      </c>
      <c r="L23" s="28" t="str">
        <f>_xlfn.XLOOKUP(K23,Data[Product_Name],Data[Category],"Not Found")</f>
        <v>Technology</v>
      </c>
      <c r="M23" s="19">
        <f>SUMIF(Data[Product_Name],K23,Data[Quantity])</f>
        <v>1283</v>
      </c>
      <c r="N23" s="30">
        <f>SUMIF(Data[Product_Name],K23,Data[Profit])</f>
        <v>35179.280000000021</v>
      </c>
      <c r="O23" s="21">
        <f t="shared" si="0"/>
        <v>5.7495692637883823E-2</v>
      </c>
      <c r="P23" s="19">
        <f t="shared" si="1"/>
        <v>1</v>
      </c>
    </row>
    <row r="24" spans="4:16" x14ac:dyDescent="0.3">
      <c r="D24" s="18" t="s">
        <v>2069</v>
      </c>
      <c r="E24" s="18" t="s">
        <v>2369</v>
      </c>
      <c r="F24" s="18" t="s">
        <v>2359</v>
      </c>
      <c r="G24" s="18" t="s">
        <v>2370</v>
      </c>
      <c r="H24" s="18" t="s">
        <v>2365</v>
      </c>
      <c r="K24" s="29" t="str">
        <v>HP Office 8.5x11</v>
      </c>
      <c r="L24" s="28" t="str">
        <f>_xlfn.XLOOKUP(K24,Data[Product_Name],Data[Category],"Not Found")</f>
        <v>Office Supplies</v>
      </c>
      <c r="M24" s="19">
        <f>SUMIF(Data[Product_Name],K24,Data[Quantity])</f>
        <v>528</v>
      </c>
      <c r="N24" s="20">
        <f>SUMIF(Data[Product_Name],K24,Data[Profit])</f>
        <v>13917.04</v>
      </c>
      <c r="O24" s="21">
        <f t="shared" si="0"/>
        <v>2.2745486953375232E-2</v>
      </c>
      <c r="P24" s="19">
        <f t="shared" si="1"/>
        <v>23</v>
      </c>
    </row>
    <row r="25" spans="4:16" x14ac:dyDescent="0.3">
      <c r="D25" s="22" t="str" cm="1">
        <f t="array" ref="D25:D27">_xlfn._xlws.SORT(_xlfn.UNIQUE(Data[Segment]))</f>
        <v>Consumer</v>
      </c>
      <c r="E25" s="19">
        <f>COUNTIF(Data[Segment],D25)</f>
        <v>639</v>
      </c>
      <c r="F25" s="20">
        <f>SUMIF(Data[Segment],D25,Data[Profit])</f>
        <v>206803.39999999985</v>
      </c>
      <c r="G25" s="20">
        <f>F25/E25</f>
        <v>323.63599374021885</v>
      </c>
      <c r="H25" s="21">
        <f>F25/SUM($F$25:$F$27)</f>
        <v>0.33799170201520123</v>
      </c>
      <c r="K25" s="29" t="str">
        <v>HP Spectre</v>
      </c>
      <c r="L25" s="28" t="str">
        <f>_xlfn.XLOOKUP(K25,Data[Product_Name],Data[Category],"Not Found")</f>
        <v>Technology</v>
      </c>
      <c r="M25" s="19">
        <f>SUMIF(Data[Product_Name],K25,Data[Quantity])</f>
        <v>577</v>
      </c>
      <c r="N25" s="20">
        <f>SUMIF(Data[Product_Name],K25,Data[Profit])</f>
        <v>14462.879999999997</v>
      </c>
      <c r="O25" s="21">
        <f t="shared" si="0"/>
        <v>2.363758732806915E-2</v>
      </c>
      <c r="P25" s="19">
        <f t="shared" si="1"/>
        <v>16</v>
      </c>
    </row>
    <row r="26" spans="4:16" x14ac:dyDescent="0.3">
      <c r="D26" s="22" t="str">
        <v>Corporate</v>
      </c>
      <c r="E26" s="19">
        <f>COUNTIF(Data[Segment],D26)</f>
        <v>675</v>
      </c>
      <c r="F26" s="20">
        <f>SUMIF(Data[Segment],D26,Data[Profit])</f>
        <v>192307.26000000004</v>
      </c>
      <c r="G26" s="20">
        <f t="shared" ref="G26:G27" si="3">F26/E26</f>
        <v>284.8996444444445</v>
      </c>
      <c r="H26" s="21">
        <f t="shared" ref="H26:H27" si="4">F26/SUM($F$25:$F$27)</f>
        <v>0.31429975579356956</v>
      </c>
      <c r="K26" s="29" t="str">
        <v>IKEA Markus</v>
      </c>
      <c r="L26" s="28" t="str">
        <f>_xlfn.XLOOKUP(K26,Data[Product_Name],Data[Category],"Not Found")</f>
        <v>Furniture</v>
      </c>
      <c r="M26" s="19">
        <f>SUMIF(Data[Product_Name],K26,Data[Quantity])</f>
        <v>613</v>
      </c>
      <c r="N26" s="20">
        <f>SUMIF(Data[Product_Name],K26,Data[Profit])</f>
        <v>11991.600000000002</v>
      </c>
      <c r="O26" s="21">
        <f t="shared" si="0"/>
        <v>1.9598620205883901E-2</v>
      </c>
      <c r="P26" s="19">
        <f t="shared" si="1"/>
        <v>14</v>
      </c>
    </row>
    <row r="27" spans="4:16" x14ac:dyDescent="0.3">
      <c r="D27" s="22" t="str">
        <v>Home Office</v>
      </c>
      <c r="E27" s="19">
        <f>COUNTIF(Data[Segment],D27)</f>
        <v>686</v>
      </c>
      <c r="F27" s="20">
        <f>SUMIF(Data[Segment],D27,Data[Profit])</f>
        <v>212748.74000000017</v>
      </c>
      <c r="G27" s="20">
        <f t="shared" si="3"/>
        <v>310.12935860058332</v>
      </c>
      <c r="H27" s="21">
        <f t="shared" si="4"/>
        <v>0.3477085421912291</v>
      </c>
      <c r="K27" s="29" t="str">
        <v>iPhone 15 Pro</v>
      </c>
      <c r="L27" s="28" t="str">
        <f>_xlfn.XLOOKUP(K27,Data[Product_Name],Data[Category],"Not Found")</f>
        <v>Technology</v>
      </c>
      <c r="M27" s="19">
        <f>SUMIF(Data[Product_Name],K27,Data[Quantity])</f>
        <v>862</v>
      </c>
      <c r="N27" s="20">
        <f>SUMIF(Data[Product_Name],K27,Data[Profit])</f>
        <v>21869.120000000003</v>
      </c>
      <c r="O27" s="21">
        <f t="shared" si="0"/>
        <v>3.5742067540353223E-2</v>
      </c>
      <c r="P27" s="19">
        <f t="shared" si="1"/>
        <v>5</v>
      </c>
    </row>
    <row r="28" spans="4:16" x14ac:dyDescent="0.3">
      <c r="K28" s="29" t="str">
        <v>Iris 4-Stack</v>
      </c>
      <c r="L28" s="28" t="str">
        <f>_xlfn.XLOOKUP(K28,Data[Product_Name],Data[Category],"Not Found")</f>
        <v>Furniture</v>
      </c>
      <c r="M28" s="19">
        <f>SUMIF(Data[Product_Name],K28,Data[Quantity])</f>
        <v>615</v>
      </c>
      <c r="N28" s="20">
        <f>SUMIF(Data[Product_Name],K28,Data[Profit])</f>
        <v>17910.029999999992</v>
      </c>
      <c r="O28" s="21">
        <f t="shared" si="0"/>
        <v>2.9271479689614948E-2</v>
      </c>
      <c r="P28" s="19">
        <f t="shared" si="1"/>
        <v>13</v>
      </c>
    </row>
    <row r="29" spans="4:16" x14ac:dyDescent="0.3">
      <c r="K29" s="29" t="str">
        <v>Lenovo ThinkPad</v>
      </c>
      <c r="L29" s="28" t="str">
        <f>_xlfn.XLOOKUP(K29,Data[Product_Name],Data[Category],"Not Found")</f>
        <v>Technology</v>
      </c>
      <c r="M29" s="19">
        <f>SUMIF(Data[Product_Name],K29,Data[Quantity])</f>
        <v>552</v>
      </c>
      <c r="N29" s="20">
        <f>SUMIF(Data[Product_Name],K29,Data[Profit])</f>
        <v>14854.07</v>
      </c>
      <c r="O29" s="21">
        <f t="shared" si="0"/>
        <v>2.4276933556957689E-2</v>
      </c>
      <c r="P29" s="19">
        <f t="shared" si="1"/>
        <v>18</v>
      </c>
    </row>
    <row r="30" spans="4:16" x14ac:dyDescent="0.3">
      <c r="D30" s="79" t="s">
        <v>2371</v>
      </c>
      <c r="E30" s="80"/>
      <c r="F30" s="80"/>
      <c r="G30" s="80"/>
      <c r="H30" s="80"/>
      <c r="K30" s="29" t="str">
        <v>mDesign Organizer</v>
      </c>
      <c r="L30" s="28" t="str">
        <f>_xlfn.XLOOKUP(K30,Data[Product_Name],Data[Category],"Not Found")</f>
        <v>Furniture</v>
      </c>
      <c r="M30" s="19">
        <f>SUMIF(Data[Product_Name],K30,Data[Quantity])</f>
        <v>705</v>
      </c>
      <c r="N30" s="20">
        <f>SUMIF(Data[Product_Name],K30,Data[Profit])</f>
        <v>27848.3</v>
      </c>
      <c r="O30" s="21">
        <f t="shared" si="0"/>
        <v>4.5514214540137807E-2</v>
      </c>
      <c r="P30" s="19">
        <f t="shared" si="1"/>
        <v>8</v>
      </c>
    </row>
    <row r="31" spans="4:16" x14ac:dyDescent="0.3">
      <c r="D31" s="18" t="s">
        <v>3</v>
      </c>
      <c r="E31" s="18" t="s">
        <v>2362</v>
      </c>
      <c r="F31" s="18" t="s">
        <v>2359</v>
      </c>
      <c r="G31" s="18" t="s">
        <v>2372</v>
      </c>
      <c r="H31" s="18" t="s">
        <v>2373</v>
      </c>
      <c r="K31" s="29" t="str">
        <v>Mead 50-Count</v>
      </c>
      <c r="L31" s="28" t="str">
        <f>_xlfn.XLOOKUP(K31,Data[Product_Name],Data[Category],"Not Found")</f>
        <v>Office Supplies</v>
      </c>
      <c r="M31" s="19">
        <f>SUMIF(Data[Product_Name],K31,Data[Quantity])</f>
        <v>935</v>
      </c>
      <c r="N31" s="20">
        <f>SUMIF(Data[Product_Name],K31,Data[Profit])</f>
        <v>26727.139999999996</v>
      </c>
      <c r="O31" s="21">
        <f t="shared" si="0"/>
        <v>4.3681832787074923E-2</v>
      </c>
      <c r="P31" s="19">
        <f t="shared" si="1"/>
        <v>3</v>
      </c>
    </row>
    <row r="32" spans="4:16" x14ac:dyDescent="0.3">
      <c r="D32" s="15" t="str" cm="1">
        <f t="array" ref="D32:D34">_xlfn._xlws.SORT(_xlfn.UNIQUE(Data[Category]))</f>
        <v>Furniture</v>
      </c>
      <c r="E32" s="16">
        <f>SUMIF(Data[Category],D32,Data[Quantity])</f>
        <v>7157</v>
      </c>
      <c r="F32" s="25">
        <f>SUMIF(Data[Category],D32,Data[Profit])</f>
        <v>218211.08000000002</v>
      </c>
      <c r="G32" s="17">
        <f>F32/SUM($F$32:$F$34)</f>
        <v>0.35663598532604063</v>
      </c>
      <c r="H32" s="25">
        <f>AVERAGEIF(Data[Category],D32,Data[Sales])</f>
        <v>2167.0690433482823</v>
      </c>
      <c r="K32" s="29" t="str">
        <v>Office Depot #10</v>
      </c>
      <c r="L32" s="28" t="str">
        <f>_xlfn.XLOOKUP(K32,Data[Product_Name],Data[Category],"Not Found")</f>
        <v>Office Supplies</v>
      </c>
      <c r="M32" s="19">
        <f>SUMIF(Data[Product_Name],K32,Data[Quantity])</f>
        <v>817</v>
      </c>
      <c r="N32" s="20">
        <f>SUMIF(Data[Product_Name],K32,Data[Profit])</f>
        <v>26117.569999999996</v>
      </c>
      <c r="O32" s="21">
        <f t="shared" si="0"/>
        <v>4.2685574496363038E-2</v>
      </c>
      <c r="P32" s="19">
        <f t="shared" si="1"/>
        <v>6</v>
      </c>
    </row>
    <row r="33" spans="4:16" x14ac:dyDescent="0.3">
      <c r="D33" s="15" t="str">
        <v>Office Supplies</v>
      </c>
      <c r="E33" s="16">
        <f>SUMIF(Data[Category],D33,Data[Quantity])</f>
        <v>6669</v>
      </c>
      <c r="F33" s="25">
        <f>SUMIF(Data[Category],D33,Data[Profit])</f>
        <v>198855.11</v>
      </c>
      <c r="G33" s="17">
        <f>F33/SUM(F32:F34)</f>
        <v>0.32500131566173535</v>
      </c>
      <c r="H33" s="25">
        <f>AVERAGEIF(Data[Category],D33,Data[Sales])</f>
        <v>2036.6711926605494</v>
      </c>
      <c r="K33" s="29" t="str">
        <v>OnePlus 12</v>
      </c>
      <c r="L33" s="28" t="str">
        <f>_xlfn.XLOOKUP(K33,Data[Product_Name],Data[Category],"Not Found")</f>
        <v>Technology</v>
      </c>
      <c r="M33" s="19">
        <f>SUMIF(Data[Product_Name],K33,Data[Quantity])</f>
        <v>903</v>
      </c>
      <c r="N33" s="20">
        <f>SUMIF(Data[Product_Name],K33,Data[Profit])</f>
        <v>23923.47</v>
      </c>
      <c r="O33" s="21">
        <f t="shared" si="0"/>
        <v>3.9099619945366523E-2</v>
      </c>
      <c r="P33" s="19">
        <f t="shared" si="1"/>
        <v>4</v>
      </c>
    </row>
    <row r="34" spans="4:16" x14ac:dyDescent="0.3">
      <c r="D34" s="15" t="str">
        <v>Technology</v>
      </c>
      <c r="E34" s="16">
        <f>SUMIF(Data[Category],D34,Data[Quantity])</f>
        <v>6921</v>
      </c>
      <c r="F34" s="25">
        <f>SUMIF(Data[Category],D34,Data[Profit])</f>
        <v>194793.21000000002</v>
      </c>
      <c r="G34" s="17">
        <f>F34/SUM(F32:F34)</f>
        <v>0.31836269901222408</v>
      </c>
      <c r="H34" s="25">
        <f>AVERAGEIF(Data[Category],D34,Data[Sales])</f>
        <v>2103.2906942392929</v>
      </c>
      <c r="K34" s="29" t="str">
        <v>Pixel 8</v>
      </c>
      <c r="L34" s="28" t="str">
        <f>_xlfn.XLOOKUP(K34,Data[Product_Name],Data[Category],"Not Found")</f>
        <v>Technology</v>
      </c>
      <c r="M34" s="19">
        <f>SUMIF(Data[Product_Name],K34,Data[Quantity])</f>
        <v>581</v>
      </c>
      <c r="N34" s="20">
        <f>SUMIF(Data[Product_Name],K34,Data[Profit])</f>
        <v>23116.62000000001</v>
      </c>
      <c r="O34" s="21">
        <f t="shared" si="0"/>
        <v>3.7780934639559359E-2</v>
      </c>
      <c r="P34" s="19">
        <f t="shared" si="1"/>
        <v>15</v>
      </c>
    </row>
    <row r="35" spans="4:16" x14ac:dyDescent="0.3">
      <c r="K35" s="29" t="str">
        <v>Prepac 6-Shelf</v>
      </c>
      <c r="L35" s="28" t="str">
        <f>_xlfn.XLOOKUP(K35,Data[Product_Name],Data[Category],"Not Found")</f>
        <v>Furniture</v>
      </c>
      <c r="M35" s="19">
        <f>SUMIF(Data[Product_Name],K35,Data[Quantity])</f>
        <v>634</v>
      </c>
      <c r="N35" s="20">
        <f>SUMIF(Data[Product_Name],K35,Data[Profit])</f>
        <v>24877.240000000005</v>
      </c>
      <c r="O35" s="21">
        <f t="shared" si="0"/>
        <v>4.065842577559485E-2</v>
      </c>
      <c r="P35" s="19">
        <f t="shared" si="1"/>
        <v>10</v>
      </c>
    </row>
    <row r="36" spans="4:16" x14ac:dyDescent="0.3">
      <c r="K36" s="29" t="str">
        <v>Realspace Magellan</v>
      </c>
      <c r="L36" s="28" t="str">
        <f>_xlfn.XLOOKUP(K36,Data[Product_Name],Data[Category],"Not Found")</f>
        <v>Furniture</v>
      </c>
      <c r="M36" s="19">
        <f>SUMIF(Data[Product_Name],K36,Data[Quantity])</f>
        <v>439</v>
      </c>
      <c r="N36" s="20">
        <f>SUMIF(Data[Product_Name],K36,Data[Profit])</f>
        <v>12180.620000000003</v>
      </c>
      <c r="O36" s="21">
        <f t="shared" si="0"/>
        <v>1.9907547387520728E-2</v>
      </c>
      <c r="P36" s="19">
        <f t="shared" si="1"/>
        <v>28</v>
      </c>
    </row>
    <row r="37" spans="4:16" ht="15.6" x14ac:dyDescent="0.3">
      <c r="D37" s="55" t="s">
        <v>2381</v>
      </c>
      <c r="E37" s="56"/>
      <c r="F37" s="56"/>
      <c r="G37" s="56"/>
      <c r="H37" s="56"/>
      <c r="I37" s="57"/>
      <c r="K37" s="29" t="str">
        <v>Rubbermaid ActionPacker</v>
      </c>
      <c r="L37" s="28" t="str">
        <f>_xlfn.XLOOKUP(K37,Data[Product_Name],Data[Category],"Not Found")</f>
        <v>Furniture</v>
      </c>
      <c r="M37" s="19">
        <f>SUMIF(Data[Product_Name],K37,Data[Quantity])</f>
        <v>506</v>
      </c>
      <c r="N37" s="20">
        <f>SUMIF(Data[Product_Name],K37,Data[Profit])</f>
        <v>11231.819999999996</v>
      </c>
      <c r="O37" s="21">
        <f t="shared" si="0"/>
        <v>1.835686433844114E-2</v>
      </c>
      <c r="P37" s="19">
        <f t="shared" si="1"/>
        <v>25</v>
      </c>
    </row>
    <row r="38" spans="4:16" x14ac:dyDescent="0.3">
      <c r="D38" s="58" t="s">
        <v>2382</v>
      </c>
      <c r="E38" s="59"/>
      <c r="F38" s="60"/>
      <c r="G38" s="61">
        <f ca="1">TODAY()</f>
        <v>46178</v>
      </c>
      <c r="H38" s="62"/>
      <c r="I38" s="63"/>
      <c r="K38" s="29" t="str">
        <v>Sauder Studio</v>
      </c>
      <c r="L38" s="28" t="str">
        <f>_xlfn.XLOOKUP(K38,Data[Product_Name],Data[Category],"Not Found")</f>
        <v>Furniture</v>
      </c>
      <c r="M38" s="19">
        <f>SUMIF(Data[Product_Name],K38,Data[Quantity])</f>
        <v>393</v>
      </c>
      <c r="N38" s="20">
        <f>SUMIF(Data[Product_Name],K38,Data[Profit])</f>
        <v>15035.560000000003</v>
      </c>
      <c r="O38" s="21">
        <f t="shared" si="0"/>
        <v>2.4573553989691094E-2</v>
      </c>
      <c r="P38" s="19">
        <f t="shared" si="1"/>
        <v>31</v>
      </c>
    </row>
    <row r="39" spans="4:16" x14ac:dyDescent="0.3">
      <c r="D39" s="74" t="s">
        <v>2383</v>
      </c>
      <c r="E39" s="75"/>
      <c r="F39" s="76"/>
      <c r="G39" s="64">
        <f ca="1">NOW()</f>
        <v>46178.835964351849</v>
      </c>
      <c r="H39" s="64"/>
      <c r="I39" s="64"/>
      <c r="K39" s="29" t="str">
        <v>Staples 2</v>
      </c>
      <c r="L39" s="28" t="str">
        <f>_xlfn.XLOOKUP(K39,Data[Product_Name],Data[Category],"Not Found")</f>
        <v>Office Supplies</v>
      </c>
      <c r="M39" s="19">
        <f>SUMIF(Data[Product_Name],K39,Data[Quantity])</f>
        <v>530</v>
      </c>
      <c r="N39" s="20">
        <f>SUMIF(Data[Product_Name],K39,Data[Profit])</f>
        <v>15769.540000000003</v>
      </c>
      <c r="O39" s="21">
        <f t="shared" si="0"/>
        <v>2.5773143307106172E-2</v>
      </c>
      <c r="P39" s="19">
        <f t="shared" si="1"/>
        <v>22</v>
      </c>
    </row>
    <row r="40" spans="4:16" x14ac:dyDescent="0.3">
      <c r="D40" s="58" t="s">
        <v>2384</v>
      </c>
      <c r="E40" s="59"/>
      <c r="F40" s="60"/>
      <c r="G40" s="61">
        <f>MIN(Data[Order_Date])</f>
        <v>45292</v>
      </c>
      <c r="H40" s="62"/>
      <c r="I40" s="63"/>
      <c r="K40" s="29" t="str">
        <v>Steelcase Leap</v>
      </c>
      <c r="L40" s="28" t="str">
        <f>_xlfn.XLOOKUP(K40,Data[Product_Name],Data[Category],"Not Found")</f>
        <v>Furniture</v>
      </c>
      <c r="M40" s="19">
        <f>SUMIF(Data[Product_Name],K40,Data[Quantity])</f>
        <v>367</v>
      </c>
      <c r="N40" s="20">
        <f>SUMIF(Data[Product_Name],K40,Data[Profit])</f>
        <v>11756.26</v>
      </c>
      <c r="O40" s="21">
        <f t="shared" si="0"/>
        <v>1.9213989357685764E-2</v>
      </c>
      <c r="P40" s="19">
        <f t="shared" si="1"/>
        <v>33</v>
      </c>
    </row>
    <row r="41" spans="4:16" x14ac:dyDescent="0.3">
      <c r="D41" s="58" t="s">
        <v>2384</v>
      </c>
      <c r="E41" s="59"/>
      <c r="F41" s="60"/>
      <c r="G41" s="65">
        <f>MAX(Data[Order_Date])</f>
        <v>45657</v>
      </c>
      <c r="H41" s="66"/>
      <c r="I41" s="67"/>
      <c r="K41" s="29" t="str">
        <v>Threshold 5-Shelf</v>
      </c>
      <c r="L41" s="28" t="str">
        <f>_xlfn.XLOOKUP(K41,Data[Product_Name],Data[Category],"Not Found")</f>
        <v>Furniture</v>
      </c>
      <c r="M41" s="19">
        <f>SUMIF(Data[Product_Name],K41,Data[Quantity])</f>
        <v>535</v>
      </c>
      <c r="N41" s="20">
        <f>SUMIF(Data[Product_Name],K41,Data[Profit])</f>
        <v>17971.800000000007</v>
      </c>
      <c r="O41" s="21">
        <f t="shared" si="0"/>
        <v>2.9372434255320753E-2</v>
      </c>
      <c r="P41" s="19">
        <f t="shared" si="1"/>
        <v>21</v>
      </c>
    </row>
    <row r="42" spans="4:16" x14ac:dyDescent="0.3">
      <c r="D42" s="58" t="s">
        <v>2385</v>
      </c>
      <c r="E42" s="59"/>
      <c r="F42" s="60"/>
      <c r="G42" s="68">
        <f>MAX(Data[Order_Date])-MIN(Data[Order_Date])</f>
        <v>365</v>
      </c>
      <c r="H42" s="69"/>
      <c r="I42" s="70"/>
    </row>
    <row r="43" spans="4:16" x14ac:dyDescent="0.3">
      <c r="D43" s="58" t="s">
        <v>2386</v>
      </c>
      <c r="E43" s="59"/>
      <c r="F43" s="60"/>
      <c r="G43" s="71">
        <f>DATEDIF(MIN(Data[Order_Date]),MAX(Data[Order_Date]),"M")</f>
        <v>11</v>
      </c>
      <c r="H43" s="72"/>
      <c r="I43" s="73"/>
    </row>
    <row r="44" spans="4:16" x14ac:dyDescent="0.3">
      <c r="D44" s="58" t="s">
        <v>2387</v>
      </c>
      <c r="E44" s="59"/>
      <c r="F44" s="60"/>
      <c r="G44" s="61">
        <f ca="1">EOMONTH(TODAY(),0)</f>
        <v>46203</v>
      </c>
      <c r="H44" s="62"/>
      <c r="I44" s="63"/>
    </row>
    <row r="45" spans="4:16" x14ac:dyDescent="0.3">
      <c r="D45" s="58" t="s">
        <v>2388</v>
      </c>
      <c r="E45" s="59"/>
      <c r="F45" s="60"/>
      <c r="G45" s="65">
        <f ca="1">EOMONTH(TODAY(),1)</f>
        <v>46234</v>
      </c>
      <c r="H45" s="66"/>
      <c r="I45" s="67"/>
    </row>
  </sheetData>
  <mergeCells count="24">
    <mergeCell ref="D44:F44"/>
    <mergeCell ref="D15:I15"/>
    <mergeCell ref="D23:H23"/>
    <mergeCell ref="D30:H30"/>
    <mergeCell ref="D2:P3"/>
    <mergeCell ref="K6:P6"/>
    <mergeCell ref="G6:H6"/>
    <mergeCell ref="D6:E6"/>
    <mergeCell ref="D37:I37"/>
    <mergeCell ref="D45:F45"/>
    <mergeCell ref="G38:I38"/>
    <mergeCell ref="G39:I39"/>
    <mergeCell ref="G40:I40"/>
    <mergeCell ref="G41:I41"/>
    <mergeCell ref="G42:I42"/>
    <mergeCell ref="G43:I43"/>
    <mergeCell ref="G44:I44"/>
    <mergeCell ref="G45:I45"/>
    <mergeCell ref="D38:F38"/>
    <mergeCell ref="D39:F39"/>
    <mergeCell ref="D40:F40"/>
    <mergeCell ref="D41:F41"/>
    <mergeCell ref="D43:F43"/>
    <mergeCell ref="D42:F42"/>
  </mergeCells>
  <conditionalFormatting sqref="E17:E20">
    <cfRule type="colorScale" priority="10">
      <colorScale>
        <cfvo type="min"/>
        <cfvo type="max"/>
        <color theme="2" tint="-0.499984740745262"/>
        <color theme="2" tint="-9.9978637043366805E-2"/>
      </colorScale>
    </cfRule>
    <cfRule type="colorScale" priority="12">
      <colorScale>
        <cfvo type="min"/>
        <cfvo type="max"/>
        <color theme="7" tint="-0.249977111117893"/>
        <color theme="7" tint="0.79998168889431442"/>
      </colorScale>
    </cfRule>
    <cfRule type="colorScale" priority="16">
      <colorScale>
        <cfvo type="min"/>
        <cfvo type="max"/>
        <color theme="4" tint="0.79998168889431442"/>
        <color theme="4" tint="0.39997558519241921"/>
      </colorScale>
    </cfRule>
    <cfRule type="colorScale" priority="17">
      <colorScale>
        <cfvo type="min"/>
        <cfvo type="max"/>
        <color theme="4" tint="0.79998168889431442"/>
        <color theme="4"/>
      </colorScale>
    </cfRule>
    <cfRule type="colorScale" priority="18">
      <colorScale>
        <cfvo type="min"/>
        <cfvo type="max"/>
        <color rgb="FFFFE4E4"/>
        <color rgb="FF70AD47"/>
      </colorScale>
    </cfRule>
  </conditionalFormatting>
  <conditionalFormatting sqref="F17:F20">
    <cfRule type="dataBar" priority="9">
      <dataBar>
        <cfvo type="min"/>
        <cfvo type="max"/>
        <color theme="2" tint="-0.499984740745262"/>
      </dataBar>
      <extLst>
        <ext xmlns:x14="http://schemas.microsoft.com/office/spreadsheetml/2009/9/main" uri="{B025F937-C7B1-47D3-B67F-A62EFF666E3E}">
          <x14:id>{6FA58466-4059-465D-A42F-243C38814BB4}</x14:id>
        </ext>
      </extLst>
    </cfRule>
    <cfRule type="dataBar" priority="11">
      <dataBar>
        <cfvo type="min"/>
        <cfvo type="max"/>
        <color theme="7" tint="-0.249977111117893"/>
      </dataBar>
      <extLst>
        <ext xmlns:x14="http://schemas.microsoft.com/office/spreadsheetml/2009/9/main" uri="{B025F937-C7B1-47D3-B67F-A62EFF666E3E}">
          <x14:id>{229AD1CE-88FF-40E5-8468-A18823E1B0DE}</x14:id>
        </ext>
      </extLst>
    </cfRule>
    <cfRule type="dataBar" priority="13">
      <dataBar>
        <cfvo type="min"/>
        <cfvo type="max"/>
        <color theme="8" tint="0.59999389629810485"/>
      </dataBar>
      <extLst>
        <ext xmlns:x14="http://schemas.microsoft.com/office/spreadsheetml/2009/9/main" uri="{B025F937-C7B1-47D3-B67F-A62EFF666E3E}">
          <x14:id>{891990F8-4457-4BBF-A615-B81E4C903B40}</x14:id>
        </ext>
      </extLst>
    </cfRule>
    <cfRule type="dataBar" priority="14">
      <dataBar>
        <cfvo type="min"/>
        <cfvo type="max"/>
        <color rgb="FF638EC6"/>
      </dataBar>
      <extLst>
        <ext xmlns:x14="http://schemas.microsoft.com/office/spreadsheetml/2009/9/main" uri="{B025F937-C7B1-47D3-B67F-A62EFF666E3E}">
          <x14:id>{36291E6F-C288-4B4B-814F-36DB6AC75A8E}</x14:id>
        </ext>
      </extLst>
    </cfRule>
    <cfRule type="dataBar" priority="15">
      <dataBar>
        <cfvo type="min"/>
        <cfvo type="max"/>
        <color theme="8" tint="0.59999389629810485"/>
      </dataBar>
      <extLst>
        <ext xmlns:x14="http://schemas.microsoft.com/office/spreadsheetml/2009/9/main" uri="{B025F937-C7B1-47D3-B67F-A62EFF666E3E}">
          <x14:id>{9801B89E-B014-4AA2-927E-805CD4863101}</x14:id>
        </ext>
      </extLst>
    </cfRule>
  </conditionalFormatting>
  <conditionalFormatting sqref="F25:F27">
    <cfRule type="colorScale" priority="8">
      <colorScale>
        <cfvo type="min"/>
        <cfvo type="max"/>
        <color theme="2" tint="-0.499984740745262"/>
        <color theme="2" tint="-9.9978637043366805E-2"/>
      </colorScale>
    </cfRule>
  </conditionalFormatting>
  <conditionalFormatting sqref="F32:F34">
    <cfRule type="dataBar" priority="7">
      <dataBar>
        <cfvo type="min"/>
        <cfvo type="max"/>
        <color theme="2" tint="-0.499984740745262"/>
      </dataBar>
      <extLst>
        <ext xmlns:x14="http://schemas.microsoft.com/office/spreadsheetml/2009/9/main" uri="{B025F937-C7B1-47D3-B67F-A62EFF666E3E}">
          <x14:id>{B6193E47-5C47-4D27-B1F8-2C70FA167B92}</x14:id>
        </ext>
      </extLst>
    </cfRule>
  </conditionalFormatting>
  <conditionalFormatting sqref="M8:M41">
    <cfRule type="dataBar" priority="2">
      <dataBar>
        <cfvo type="min"/>
        <cfvo type="max"/>
        <color theme="2" tint="-0.499984740745262"/>
      </dataBar>
      <extLst>
        <ext xmlns:x14="http://schemas.microsoft.com/office/spreadsheetml/2009/9/main" uri="{B025F937-C7B1-47D3-B67F-A62EFF666E3E}">
          <x14:id>{32F726F4-8EAE-40BB-B0FC-BF776F07EC6C}</x14:id>
        </ext>
      </extLst>
    </cfRule>
  </conditionalFormatting>
  <conditionalFormatting sqref="N8:N41">
    <cfRule type="colorScale" priority="1">
      <colorScale>
        <cfvo type="min"/>
        <cfvo type="max"/>
        <color theme="6" tint="0.79998168889431442"/>
        <color theme="2" tint="-0.499984740745262"/>
      </colorScale>
    </cfRule>
    <cfRule type="colorScale" priority="3">
      <colorScale>
        <cfvo type="min"/>
        <cfvo type="max"/>
        <color theme="6" tint="-0.249977111117893"/>
        <color theme="0" tint="-4.9989318521683403E-2"/>
      </colorScale>
    </cfRule>
    <cfRule type="colorScale" priority="4">
      <colorScale>
        <cfvo type="min"/>
        <cfvo type="max"/>
        <color theme="6" tint="0.39997558519241921"/>
        <color theme="6" tint="0.79998168889431442"/>
      </colorScale>
    </cfRule>
    <cfRule type="colorScale" priority="5">
      <colorScale>
        <cfvo type="min"/>
        <cfvo type="max"/>
        <color theme="6" tint="-0.249977111117893"/>
        <color theme="2" tint="-9.9978637043366805E-2"/>
      </colorScale>
    </cfRule>
    <cfRule type="colorScale" priority="6">
      <colorScale>
        <cfvo type="min"/>
        <cfvo type="max"/>
        <color theme="6" tint="-0.499984740745262"/>
        <color theme="6" tint="0.79998168889431442"/>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FA58466-4059-465D-A42F-243C38814BB4}">
            <x14:dataBar minLength="0" maxLength="100">
              <x14:cfvo type="autoMin"/>
              <x14:cfvo type="autoMax"/>
              <x14:negativeFillColor rgb="FFFF0000"/>
              <x14:axisColor rgb="FF000000"/>
            </x14:dataBar>
          </x14:cfRule>
          <x14:cfRule type="dataBar" id="{229AD1CE-88FF-40E5-8468-A18823E1B0DE}">
            <x14:dataBar minLength="0" maxLength="100">
              <x14:cfvo type="autoMin"/>
              <x14:cfvo type="autoMax"/>
              <x14:negativeFillColor rgb="FFFF0000"/>
              <x14:axisColor rgb="FF000000"/>
            </x14:dataBar>
          </x14:cfRule>
          <x14:cfRule type="dataBar" id="{891990F8-4457-4BBF-A615-B81E4C903B40}">
            <x14:dataBar minLength="0" maxLength="100">
              <x14:cfvo type="autoMin"/>
              <x14:cfvo type="autoMax"/>
              <x14:negativeFillColor rgb="FFFF0000"/>
              <x14:axisColor rgb="FF000000"/>
            </x14:dataBar>
          </x14:cfRule>
          <x14:cfRule type="dataBar" id="{36291E6F-C288-4B4B-814F-36DB6AC75A8E}">
            <x14:dataBar minLength="0" maxLength="100">
              <x14:cfvo type="autoMin"/>
              <x14:cfvo type="autoMax"/>
              <x14:negativeFillColor rgb="FFFF0000"/>
              <x14:axisColor rgb="FF000000"/>
            </x14:dataBar>
          </x14:cfRule>
          <x14:cfRule type="dataBar" id="{9801B89E-B014-4AA2-927E-805CD4863101}">
            <x14:dataBar minLength="0" maxLength="100" gradient="0">
              <x14:cfvo type="autoMin"/>
              <x14:cfvo type="autoMax"/>
              <x14:negativeFillColor rgb="FFFF0000"/>
              <x14:axisColor rgb="FF000000"/>
            </x14:dataBar>
          </x14:cfRule>
          <xm:sqref>F17:F20</xm:sqref>
        </x14:conditionalFormatting>
        <x14:conditionalFormatting xmlns:xm="http://schemas.microsoft.com/office/excel/2006/main">
          <x14:cfRule type="dataBar" id="{B6193E47-5C47-4D27-B1F8-2C70FA167B92}">
            <x14:dataBar minLength="0" maxLength="100">
              <x14:cfvo type="autoMin"/>
              <x14:cfvo type="autoMax"/>
              <x14:negativeFillColor rgb="FFFF0000"/>
              <x14:axisColor rgb="FF000000"/>
            </x14:dataBar>
          </x14:cfRule>
          <xm:sqref>F32:F34</xm:sqref>
        </x14:conditionalFormatting>
        <x14:conditionalFormatting xmlns:xm="http://schemas.microsoft.com/office/excel/2006/main">
          <x14:cfRule type="dataBar" id="{32F726F4-8EAE-40BB-B0FC-BF776F07EC6C}">
            <x14:dataBar minLength="0" maxLength="100">
              <x14:cfvo type="autoMin"/>
              <x14:cfvo type="autoMax"/>
              <x14:negativeFillColor rgb="FFFF0000"/>
              <x14:axisColor rgb="FF000000"/>
            </x14:dataBar>
          </x14:cfRule>
          <xm:sqref>M8:M41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F6BC2-1E82-4683-8F23-59C2559FFB96}">
  <dimension ref="B2:L21"/>
  <sheetViews>
    <sheetView workbookViewId="0">
      <selection activeCell="D2" sqref="D2:L3"/>
    </sheetView>
  </sheetViews>
  <sheetFormatPr defaultRowHeight="14.4" x14ac:dyDescent="0.3"/>
  <cols>
    <col min="2" max="2" width="8.88671875" style="102"/>
    <col min="4" max="4" width="17.44140625" bestFit="1" customWidth="1"/>
    <col min="5" max="5" width="12.6640625" bestFit="1" customWidth="1"/>
    <col min="6" max="6" width="13.44140625" bestFit="1" customWidth="1"/>
    <col min="7" max="7" width="12.6640625" bestFit="1" customWidth="1"/>
    <col min="8" max="8" width="12" bestFit="1" customWidth="1"/>
    <col min="9" max="9" width="12.6640625" bestFit="1" customWidth="1"/>
    <col min="10" max="10" width="12" bestFit="1" customWidth="1"/>
    <col min="11" max="11" width="12.6640625" bestFit="1" customWidth="1"/>
    <col min="12" max="12" width="12.109375" bestFit="1" customWidth="1"/>
  </cols>
  <sheetData>
    <row r="2" spans="4:12" ht="14.4" customHeight="1" x14ac:dyDescent="0.3">
      <c r="D2" s="47" t="s">
        <v>2430</v>
      </c>
      <c r="E2" s="48"/>
      <c r="F2" s="48"/>
      <c r="G2" s="48"/>
      <c r="H2" s="48"/>
      <c r="I2" s="48"/>
      <c r="J2" s="48"/>
      <c r="K2" s="48"/>
      <c r="L2" s="48"/>
    </row>
    <row r="3" spans="4:12" ht="14.4" customHeight="1" x14ac:dyDescent="0.3">
      <c r="D3" s="49"/>
      <c r="E3" s="50"/>
      <c r="F3" s="50"/>
      <c r="G3" s="50"/>
      <c r="H3" s="50"/>
      <c r="I3" s="50"/>
      <c r="J3" s="50"/>
      <c r="K3" s="50"/>
      <c r="L3" s="50"/>
    </row>
    <row r="4" spans="4:12" x14ac:dyDescent="0.3">
      <c r="D4" s="26"/>
      <c r="E4" s="26"/>
      <c r="F4" s="26"/>
      <c r="G4" s="26"/>
      <c r="H4" s="26"/>
      <c r="I4" s="26"/>
      <c r="J4" s="26"/>
      <c r="K4" s="26"/>
      <c r="L4" s="26"/>
    </row>
    <row r="5" spans="4:12" x14ac:dyDescent="0.3">
      <c r="D5" s="89" t="s">
        <v>2407</v>
      </c>
      <c r="E5" s="89"/>
      <c r="F5" s="26"/>
      <c r="G5" s="26"/>
      <c r="H5" s="26"/>
      <c r="I5" s="26"/>
      <c r="J5" s="26"/>
      <c r="K5" s="26"/>
      <c r="L5" s="26"/>
    </row>
    <row r="6" spans="4:12" x14ac:dyDescent="0.3">
      <c r="D6" s="33" t="s">
        <v>2408</v>
      </c>
      <c r="E6" s="32">
        <v>0.39039296295160492</v>
      </c>
      <c r="F6" s="26"/>
      <c r="G6" s="26"/>
      <c r="H6" s="26"/>
      <c r="I6" s="26"/>
      <c r="J6" s="26"/>
      <c r="K6" s="26"/>
      <c r="L6" s="26"/>
    </row>
    <row r="7" spans="4:12" x14ac:dyDescent="0.3">
      <c r="D7" s="33" t="s">
        <v>2409</v>
      </c>
      <c r="E7" s="32">
        <v>0.15240666552213317</v>
      </c>
      <c r="F7" s="26"/>
      <c r="G7" s="26"/>
      <c r="H7" s="26"/>
      <c r="I7" s="26"/>
      <c r="J7" s="26"/>
      <c r="K7" s="26"/>
      <c r="L7" s="26"/>
    </row>
    <row r="8" spans="4:12" x14ac:dyDescent="0.3">
      <c r="D8" s="33" t="s">
        <v>2410</v>
      </c>
      <c r="E8" s="32">
        <v>0.15198223220491841</v>
      </c>
      <c r="F8" s="26"/>
      <c r="G8" s="26"/>
      <c r="H8" s="26"/>
      <c r="I8" s="26"/>
      <c r="J8" s="26"/>
      <c r="K8" s="26"/>
      <c r="L8" s="26"/>
    </row>
    <row r="9" spans="4:12" x14ac:dyDescent="0.3">
      <c r="D9" s="33" t="s">
        <v>2411</v>
      </c>
      <c r="E9" s="32">
        <v>387.09365972192796</v>
      </c>
      <c r="F9" s="26"/>
      <c r="G9" s="26"/>
      <c r="H9" s="26"/>
      <c r="I9" s="26"/>
      <c r="J9" s="26"/>
      <c r="K9" s="26"/>
      <c r="L9" s="26"/>
    </row>
    <row r="10" spans="4:12" x14ac:dyDescent="0.3">
      <c r="D10" s="33" t="s">
        <v>2412</v>
      </c>
      <c r="E10" s="32">
        <v>1999</v>
      </c>
      <c r="F10" s="26"/>
      <c r="G10" s="26"/>
      <c r="H10" s="26"/>
      <c r="I10" s="26"/>
      <c r="J10" s="26"/>
      <c r="K10" s="26"/>
      <c r="L10" s="26"/>
    </row>
    <row r="11" spans="4:12" x14ac:dyDescent="0.3">
      <c r="D11" s="26"/>
      <c r="E11" s="26"/>
      <c r="F11" s="26"/>
      <c r="G11" s="26"/>
      <c r="H11" s="26"/>
      <c r="I11" s="26"/>
      <c r="J11" s="26"/>
      <c r="K11" s="26"/>
      <c r="L11" s="26"/>
    </row>
    <row r="12" spans="4:12" x14ac:dyDescent="0.3">
      <c r="D12" s="90" t="s">
        <v>2413</v>
      </c>
      <c r="E12" s="90"/>
      <c r="F12" s="90"/>
      <c r="G12" s="90"/>
      <c r="H12" s="90"/>
      <c r="I12" s="90"/>
      <c r="J12" s="26"/>
      <c r="K12" s="26"/>
      <c r="L12" s="26"/>
    </row>
    <row r="13" spans="4:12" x14ac:dyDescent="0.3">
      <c r="D13" s="35"/>
      <c r="E13" s="34" t="s">
        <v>2418</v>
      </c>
      <c r="F13" s="34" t="s">
        <v>2419</v>
      </c>
      <c r="G13" s="34" t="s">
        <v>2420</v>
      </c>
      <c r="H13" s="34" t="s">
        <v>2421</v>
      </c>
      <c r="I13" s="34" t="s">
        <v>2422</v>
      </c>
      <c r="J13" s="26"/>
      <c r="K13" s="26"/>
      <c r="L13" s="26"/>
    </row>
    <row r="14" spans="4:12" x14ac:dyDescent="0.3">
      <c r="D14" s="33" t="s">
        <v>2414</v>
      </c>
      <c r="E14" s="32">
        <v>1</v>
      </c>
      <c r="F14" s="32">
        <v>53805492.308180332</v>
      </c>
      <c r="G14" s="32">
        <v>53805492.308180332</v>
      </c>
      <c r="H14" s="32">
        <v>359.08270944012196</v>
      </c>
      <c r="I14" s="32">
        <v>9.0000754903338822E-74</v>
      </c>
      <c r="J14" s="26"/>
      <c r="K14" s="26"/>
      <c r="L14" s="26"/>
    </row>
    <row r="15" spans="4:12" x14ac:dyDescent="0.3">
      <c r="D15" s="33" t="s">
        <v>2415</v>
      </c>
      <c r="E15" s="32">
        <v>1997</v>
      </c>
      <c r="F15" s="32">
        <v>299233478.28964078</v>
      </c>
      <c r="G15" s="32">
        <v>149841.50139691576</v>
      </c>
      <c r="H15" s="32"/>
      <c r="I15" s="32"/>
      <c r="J15" s="26"/>
      <c r="K15" s="26"/>
      <c r="L15" s="26"/>
    </row>
    <row r="16" spans="4:12" x14ac:dyDescent="0.3">
      <c r="D16" s="33" t="s">
        <v>2416</v>
      </c>
      <c r="E16" s="32">
        <v>1998</v>
      </c>
      <c r="F16" s="32">
        <v>353038970.59782112</v>
      </c>
      <c r="G16" s="32"/>
      <c r="H16" s="32"/>
      <c r="I16" s="32"/>
      <c r="J16" s="26"/>
      <c r="K16" s="26"/>
      <c r="L16" s="26"/>
    </row>
    <row r="17" spans="4:12" x14ac:dyDescent="0.3">
      <c r="D17" s="26"/>
      <c r="E17" s="26"/>
      <c r="F17" s="26"/>
      <c r="G17" s="26"/>
      <c r="H17" s="26"/>
      <c r="I17" s="26"/>
      <c r="J17" s="26"/>
      <c r="K17" s="26"/>
      <c r="L17" s="26"/>
    </row>
    <row r="18" spans="4:12" x14ac:dyDescent="0.3">
      <c r="D18" s="35"/>
      <c r="E18" s="34" t="s">
        <v>2423</v>
      </c>
      <c r="F18" s="34" t="s">
        <v>2411</v>
      </c>
      <c r="G18" s="34" t="s">
        <v>2424</v>
      </c>
      <c r="H18" s="34" t="s">
        <v>2425</v>
      </c>
      <c r="I18" s="34" t="s">
        <v>2426</v>
      </c>
      <c r="J18" s="34" t="s">
        <v>2427</v>
      </c>
      <c r="K18" s="34" t="s">
        <v>2428</v>
      </c>
      <c r="L18" s="34" t="s">
        <v>2429</v>
      </c>
    </row>
    <row r="19" spans="4:12" x14ac:dyDescent="0.3">
      <c r="D19" s="33" t="s">
        <v>2417</v>
      </c>
      <c r="E19" s="32">
        <v>-9.7194064878166273</v>
      </c>
      <c r="F19" s="32">
        <v>18.773283298012416</v>
      </c>
      <c r="G19" s="32">
        <v>-0.51772544703704815</v>
      </c>
      <c r="H19" s="32">
        <v>0.60470718605590612</v>
      </c>
      <c r="I19" s="32">
        <v>-46.536680027836155</v>
      </c>
      <c r="J19" s="32">
        <v>27.097867052202901</v>
      </c>
      <c r="K19" s="32">
        <v>-46.536680027836155</v>
      </c>
      <c r="L19" s="32">
        <v>27.097867052202901</v>
      </c>
    </row>
    <row r="20" spans="4:12" x14ac:dyDescent="0.3">
      <c r="D20" s="33">
        <v>1087.04</v>
      </c>
      <c r="E20" s="32">
        <v>0.15007222270399218</v>
      </c>
      <c r="F20" s="32">
        <v>7.9195967389454319E-3</v>
      </c>
      <c r="G20" s="32">
        <v>18.949477814444336</v>
      </c>
      <c r="H20" s="32">
        <v>9.0000754903495301E-74</v>
      </c>
      <c r="I20" s="32">
        <v>0.13454068488848012</v>
      </c>
      <c r="J20" s="32">
        <v>0.16560376051950423</v>
      </c>
      <c r="K20" s="32">
        <v>0.13454068488848012</v>
      </c>
      <c r="L20" s="32">
        <v>0.16560376051950423</v>
      </c>
    </row>
    <row r="21" spans="4:12" x14ac:dyDescent="0.3">
      <c r="D21" s="26"/>
      <c r="E21" s="26"/>
      <c r="F21" s="26"/>
      <c r="G21" s="26"/>
      <c r="H21" s="26"/>
      <c r="I21" s="26"/>
      <c r="J21" s="26"/>
      <c r="K21" s="26"/>
      <c r="L21" s="26"/>
    </row>
  </sheetData>
  <mergeCells count="3">
    <mergeCell ref="D5:E5"/>
    <mergeCell ref="D12:I12"/>
    <mergeCell ref="D2:L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4ED0F-D795-48A4-B38D-A44E1B3EF16E}">
  <dimension ref="B2:M87"/>
  <sheetViews>
    <sheetView workbookViewId="0">
      <selection activeCell="D2" sqref="D2:M3"/>
    </sheetView>
  </sheetViews>
  <sheetFormatPr defaultColWidth="8.77734375" defaultRowHeight="14.4" x14ac:dyDescent="0.3"/>
  <cols>
    <col min="2" max="2" width="8.77734375" style="102"/>
  </cols>
  <sheetData>
    <row r="2" spans="4:13" ht="17.399999999999999" customHeight="1" x14ac:dyDescent="0.3">
      <c r="D2" s="47" t="s">
        <v>2380</v>
      </c>
      <c r="E2" s="48"/>
      <c r="F2" s="48"/>
      <c r="G2" s="48"/>
      <c r="H2" s="48"/>
      <c r="I2" s="48"/>
      <c r="J2" s="48"/>
      <c r="K2" s="48"/>
      <c r="L2" s="48"/>
      <c r="M2" s="48"/>
    </row>
    <row r="3" spans="4:13" ht="14.4" customHeight="1" x14ac:dyDescent="0.3">
      <c r="D3" s="49"/>
      <c r="E3" s="50"/>
      <c r="F3" s="50"/>
      <c r="G3" s="50"/>
      <c r="H3" s="50"/>
      <c r="I3" s="50"/>
      <c r="J3" s="50"/>
      <c r="K3" s="50"/>
      <c r="L3" s="50"/>
      <c r="M3" s="50"/>
    </row>
    <row r="6" spans="4:13" ht="15.6" x14ac:dyDescent="0.3">
      <c r="D6" s="46" t="s">
        <v>2389</v>
      </c>
      <c r="E6" s="46"/>
      <c r="F6" s="46"/>
      <c r="G6" s="46"/>
      <c r="H6" s="46"/>
      <c r="I6" s="46"/>
      <c r="J6" s="46"/>
      <c r="K6" s="46"/>
      <c r="L6" s="46"/>
      <c r="M6" s="46"/>
    </row>
    <row r="7" spans="4:13" ht="14.4" customHeight="1" x14ac:dyDescent="0.3">
      <c r="D7" s="36" t="s">
        <v>2403</v>
      </c>
      <c r="E7" s="37"/>
      <c r="F7" s="37"/>
      <c r="G7" s="37"/>
      <c r="H7" s="37"/>
      <c r="I7" s="37"/>
      <c r="J7" s="37"/>
      <c r="K7" s="37"/>
      <c r="L7" s="37"/>
      <c r="M7" s="38"/>
    </row>
    <row r="8" spans="4:13" x14ac:dyDescent="0.3">
      <c r="D8" s="39"/>
      <c r="E8" s="40"/>
      <c r="F8" s="40"/>
      <c r="G8" s="40"/>
      <c r="H8" s="40"/>
      <c r="I8" s="40"/>
      <c r="J8" s="40"/>
      <c r="K8" s="40"/>
      <c r="L8" s="40"/>
      <c r="M8" s="41"/>
    </row>
    <row r="9" spans="4:13" x14ac:dyDescent="0.3">
      <c r="D9" s="39"/>
      <c r="E9" s="40"/>
      <c r="F9" s="40"/>
      <c r="G9" s="40"/>
      <c r="H9" s="40"/>
      <c r="I9" s="40"/>
      <c r="J9" s="40"/>
      <c r="K9" s="40"/>
      <c r="L9" s="40"/>
      <c r="M9" s="41"/>
    </row>
    <row r="10" spans="4:13" x14ac:dyDescent="0.3">
      <c r="D10" s="39"/>
      <c r="E10" s="40"/>
      <c r="F10" s="40"/>
      <c r="G10" s="40"/>
      <c r="H10" s="40"/>
      <c r="I10" s="40"/>
      <c r="J10" s="40"/>
      <c r="K10" s="40"/>
      <c r="L10" s="40"/>
      <c r="M10" s="41"/>
    </row>
    <row r="11" spans="4:13" x14ac:dyDescent="0.3">
      <c r="D11" s="39"/>
      <c r="E11" s="40"/>
      <c r="F11" s="40"/>
      <c r="G11" s="40"/>
      <c r="H11" s="40"/>
      <c r="I11" s="40"/>
      <c r="J11" s="40"/>
      <c r="K11" s="40"/>
      <c r="L11" s="40"/>
      <c r="M11" s="41"/>
    </row>
    <row r="12" spans="4:13" x14ac:dyDescent="0.3">
      <c r="D12" s="42"/>
      <c r="E12" s="43"/>
      <c r="F12" s="43"/>
      <c r="G12" s="43"/>
      <c r="H12" s="43"/>
      <c r="I12" s="43"/>
      <c r="J12" s="43"/>
      <c r="K12" s="43"/>
      <c r="L12" s="43"/>
      <c r="M12" s="44"/>
    </row>
    <row r="15" spans="4:13" ht="15.6" x14ac:dyDescent="0.3">
      <c r="D15" s="46" t="s">
        <v>2390</v>
      </c>
      <c r="E15" s="46"/>
      <c r="F15" s="46"/>
      <c r="G15" s="46"/>
      <c r="H15" s="46"/>
      <c r="I15" s="46"/>
      <c r="J15" s="46"/>
      <c r="K15" s="46"/>
      <c r="L15" s="46"/>
      <c r="M15" s="46"/>
    </row>
    <row r="16" spans="4:13" ht="14.4" customHeight="1" x14ac:dyDescent="0.3">
      <c r="D16" s="36" t="s">
        <v>2391</v>
      </c>
      <c r="E16" s="37"/>
      <c r="F16" s="37"/>
      <c r="G16" s="37"/>
      <c r="H16" s="37"/>
      <c r="I16" s="37"/>
      <c r="J16" s="37"/>
      <c r="K16" s="37"/>
      <c r="L16" s="37"/>
      <c r="M16" s="38"/>
    </row>
    <row r="17" spans="4:13" x14ac:dyDescent="0.3">
      <c r="D17" s="39"/>
      <c r="E17" s="40"/>
      <c r="F17" s="40"/>
      <c r="G17" s="40"/>
      <c r="H17" s="40"/>
      <c r="I17" s="40"/>
      <c r="J17" s="40"/>
      <c r="K17" s="40"/>
      <c r="L17" s="40"/>
      <c r="M17" s="41"/>
    </row>
    <row r="18" spans="4:13" x14ac:dyDescent="0.3">
      <c r="D18" s="39"/>
      <c r="E18" s="40"/>
      <c r="F18" s="40"/>
      <c r="G18" s="40"/>
      <c r="H18" s="40"/>
      <c r="I18" s="40"/>
      <c r="J18" s="40"/>
      <c r="K18" s="40"/>
      <c r="L18" s="40"/>
      <c r="M18" s="41"/>
    </row>
    <row r="19" spans="4:13" x14ac:dyDescent="0.3">
      <c r="D19" s="39"/>
      <c r="E19" s="40"/>
      <c r="F19" s="40"/>
      <c r="G19" s="40"/>
      <c r="H19" s="40"/>
      <c r="I19" s="40"/>
      <c r="J19" s="40"/>
      <c r="K19" s="40"/>
      <c r="L19" s="40"/>
      <c r="M19" s="41"/>
    </row>
    <row r="20" spans="4:13" x14ac:dyDescent="0.3">
      <c r="D20" s="39"/>
      <c r="E20" s="40"/>
      <c r="F20" s="40"/>
      <c r="G20" s="40"/>
      <c r="H20" s="40"/>
      <c r="I20" s="40"/>
      <c r="J20" s="40"/>
      <c r="K20" s="40"/>
      <c r="L20" s="40"/>
      <c r="M20" s="41"/>
    </row>
    <row r="21" spans="4:13" x14ac:dyDescent="0.3">
      <c r="D21" s="42"/>
      <c r="E21" s="43"/>
      <c r="F21" s="43"/>
      <c r="G21" s="43"/>
      <c r="H21" s="43"/>
      <c r="I21" s="43"/>
      <c r="J21" s="43"/>
      <c r="K21" s="43"/>
      <c r="L21" s="43"/>
      <c r="M21" s="44"/>
    </row>
    <row r="24" spans="4:13" ht="15.6" x14ac:dyDescent="0.3">
      <c r="D24" s="46" t="s">
        <v>2392</v>
      </c>
      <c r="E24" s="46"/>
      <c r="F24" s="46"/>
      <c r="G24" s="46"/>
      <c r="H24" s="46"/>
      <c r="I24" s="46"/>
      <c r="J24" s="46"/>
      <c r="K24" s="46"/>
      <c r="L24" s="46"/>
      <c r="M24" s="46"/>
    </row>
    <row r="25" spans="4:13" x14ac:dyDescent="0.3">
      <c r="D25" s="45" t="s">
        <v>2393</v>
      </c>
      <c r="E25" s="45"/>
      <c r="F25" s="45"/>
      <c r="G25" s="45"/>
      <c r="H25" s="45"/>
      <c r="I25" s="45"/>
      <c r="J25" s="45"/>
      <c r="K25" s="45"/>
      <c r="L25" s="45"/>
      <c r="M25" s="45"/>
    </row>
    <row r="26" spans="4:13" x14ac:dyDescent="0.3">
      <c r="D26" s="45"/>
      <c r="E26" s="45"/>
      <c r="F26" s="45"/>
      <c r="G26" s="45"/>
      <c r="H26" s="45"/>
      <c r="I26" s="45"/>
      <c r="J26" s="45"/>
      <c r="K26" s="45"/>
      <c r="L26" s="45"/>
      <c r="M26" s="45"/>
    </row>
    <row r="27" spans="4:13" x14ac:dyDescent="0.3">
      <c r="D27" s="45"/>
      <c r="E27" s="45"/>
      <c r="F27" s="45"/>
      <c r="G27" s="45"/>
      <c r="H27" s="45"/>
      <c r="I27" s="45"/>
      <c r="J27" s="45"/>
      <c r="K27" s="45"/>
      <c r="L27" s="45"/>
      <c r="M27" s="45"/>
    </row>
    <row r="28" spans="4:13" x14ac:dyDescent="0.3">
      <c r="D28" s="45"/>
      <c r="E28" s="45"/>
      <c r="F28" s="45"/>
      <c r="G28" s="45"/>
      <c r="H28" s="45"/>
      <c r="I28" s="45"/>
      <c r="J28" s="45"/>
      <c r="K28" s="45"/>
      <c r="L28" s="45"/>
      <c r="M28" s="45"/>
    </row>
    <row r="29" spans="4:13" x14ac:dyDescent="0.3">
      <c r="D29" s="45"/>
      <c r="E29" s="45"/>
      <c r="F29" s="45"/>
      <c r="G29" s="45"/>
      <c r="H29" s="45"/>
      <c r="I29" s="45"/>
      <c r="J29" s="45"/>
      <c r="K29" s="45"/>
      <c r="L29" s="45"/>
      <c r="M29" s="45"/>
    </row>
    <row r="30" spans="4:13" x14ac:dyDescent="0.3">
      <c r="D30" s="45"/>
      <c r="E30" s="45"/>
      <c r="F30" s="45"/>
      <c r="G30" s="45"/>
      <c r="H30" s="45"/>
      <c r="I30" s="45"/>
      <c r="J30" s="45"/>
      <c r="K30" s="45"/>
      <c r="L30" s="45"/>
      <c r="M30" s="45"/>
    </row>
    <row r="33" spans="4:13" ht="15.6" x14ac:dyDescent="0.3">
      <c r="D33" s="46" t="s">
        <v>2394</v>
      </c>
      <c r="E33" s="46"/>
      <c r="F33" s="46"/>
      <c r="G33" s="46"/>
      <c r="H33" s="46"/>
      <c r="I33" s="46"/>
      <c r="J33" s="46"/>
      <c r="K33" s="46"/>
      <c r="L33" s="46"/>
      <c r="M33" s="46"/>
    </row>
    <row r="34" spans="4:13" x14ac:dyDescent="0.3">
      <c r="D34" s="36" t="s">
        <v>2395</v>
      </c>
      <c r="E34" s="37"/>
      <c r="F34" s="37"/>
      <c r="G34" s="37"/>
      <c r="H34" s="37"/>
      <c r="I34" s="37"/>
      <c r="J34" s="37"/>
      <c r="K34" s="37"/>
      <c r="L34" s="37"/>
      <c r="M34" s="38"/>
    </row>
    <row r="35" spans="4:13" x14ac:dyDescent="0.3">
      <c r="D35" s="39"/>
      <c r="E35" s="40"/>
      <c r="F35" s="40"/>
      <c r="G35" s="40"/>
      <c r="H35" s="40"/>
      <c r="I35" s="40"/>
      <c r="J35" s="40"/>
      <c r="K35" s="40"/>
      <c r="L35" s="40"/>
      <c r="M35" s="41"/>
    </row>
    <row r="36" spans="4:13" x14ac:dyDescent="0.3">
      <c r="D36" s="39"/>
      <c r="E36" s="40"/>
      <c r="F36" s="40"/>
      <c r="G36" s="40"/>
      <c r="H36" s="40"/>
      <c r="I36" s="40"/>
      <c r="J36" s="40"/>
      <c r="K36" s="40"/>
      <c r="L36" s="40"/>
      <c r="M36" s="41"/>
    </row>
    <row r="37" spans="4:13" x14ac:dyDescent="0.3">
      <c r="D37" s="39"/>
      <c r="E37" s="40"/>
      <c r="F37" s="40"/>
      <c r="G37" s="40"/>
      <c r="H37" s="40"/>
      <c r="I37" s="40"/>
      <c r="J37" s="40"/>
      <c r="K37" s="40"/>
      <c r="L37" s="40"/>
      <c r="M37" s="41"/>
    </row>
    <row r="38" spans="4:13" x14ac:dyDescent="0.3">
      <c r="D38" s="39"/>
      <c r="E38" s="40"/>
      <c r="F38" s="40"/>
      <c r="G38" s="40"/>
      <c r="H38" s="40"/>
      <c r="I38" s="40"/>
      <c r="J38" s="40"/>
      <c r="K38" s="40"/>
      <c r="L38" s="40"/>
      <c r="M38" s="41"/>
    </row>
    <row r="39" spans="4:13" x14ac:dyDescent="0.3">
      <c r="D39" s="42"/>
      <c r="E39" s="43"/>
      <c r="F39" s="43"/>
      <c r="G39" s="43"/>
      <c r="H39" s="43"/>
      <c r="I39" s="43"/>
      <c r="J39" s="43"/>
      <c r="K39" s="43"/>
      <c r="L39" s="43"/>
      <c r="M39" s="44"/>
    </row>
    <row r="42" spans="4:13" ht="15.6" x14ac:dyDescent="0.3">
      <c r="D42" s="46" t="s">
        <v>2396</v>
      </c>
      <c r="E42" s="46"/>
      <c r="F42" s="46"/>
      <c r="G42" s="46"/>
      <c r="H42" s="46"/>
      <c r="I42" s="46"/>
      <c r="J42" s="46"/>
      <c r="K42" s="46"/>
      <c r="L42" s="46"/>
      <c r="M42" s="46"/>
    </row>
    <row r="43" spans="4:13" x14ac:dyDescent="0.3">
      <c r="D43" s="36" t="s">
        <v>2397</v>
      </c>
      <c r="E43" s="37"/>
      <c r="F43" s="37"/>
      <c r="G43" s="37"/>
      <c r="H43" s="37"/>
      <c r="I43" s="37"/>
      <c r="J43" s="37"/>
      <c r="K43" s="37"/>
      <c r="L43" s="37"/>
      <c r="M43" s="38"/>
    </row>
    <row r="44" spans="4:13" x14ac:dyDescent="0.3">
      <c r="D44" s="39"/>
      <c r="E44" s="40"/>
      <c r="F44" s="40"/>
      <c r="G44" s="40"/>
      <c r="H44" s="40"/>
      <c r="I44" s="40"/>
      <c r="J44" s="40"/>
      <c r="K44" s="40"/>
      <c r="L44" s="40"/>
      <c r="M44" s="41"/>
    </row>
    <row r="45" spans="4:13" x14ac:dyDescent="0.3">
      <c r="D45" s="39"/>
      <c r="E45" s="40"/>
      <c r="F45" s="40"/>
      <c r="G45" s="40"/>
      <c r="H45" s="40"/>
      <c r="I45" s="40"/>
      <c r="J45" s="40"/>
      <c r="K45" s="40"/>
      <c r="L45" s="40"/>
      <c r="M45" s="41"/>
    </row>
    <row r="46" spans="4:13" x14ac:dyDescent="0.3">
      <c r="D46" s="39"/>
      <c r="E46" s="40"/>
      <c r="F46" s="40"/>
      <c r="G46" s="40"/>
      <c r="H46" s="40"/>
      <c r="I46" s="40"/>
      <c r="J46" s="40"/>
      <c r="K46" s="40"/>
      <c r="L46" s="40"/>
      <c r="M46" s="41"/>
    </row>
    <row r="47" spans="4:13" x14ac:dyDescent="0.3">
      <c r="D47" s="39"/>
      <c r="E47" s="40"/>
      <c r="F47" s="40"/>
      <c r="G47" s="40"/>
      <c r="H47" s="40"/>
      <c r="I47" s="40"/>
      <c r="J47" s="40"/>
      <c r="K47" s="40"/>
      <c r="L47" s="40"/>
      <c r="M47" s="41"/>
    </row>
    <row r="48" spans="4:13" x14ac:dyDescent="0.3">
      <c r="D48" s="42"/>
      <c r="E48" s="43"/>
      <c r="F48" s="43"/>
      <c r="G48" s="43"/>
      <c r="H48" s="43"/>
      <c r="I48" s="43"/>
      <c r="J48" s="43"/>
      <c r="K48" s="43"/>
      <c r="L48" s="43"/>
      <c r="M48" s="44"/>
    </row>
    <row r="51" spans="4:13" ht="15.6" x14ac:dyDescent="0.3">
      <c r="D51" s="46" t="s">
        <v>2398</v>
      </c>
      <c r="E51" s="46"/>
      <c r="F51" s="46"/>
      <c r="G51" s="46"/>
      <c r="H51" s="46"/>
      <c r="I51" s="46"/>
      <c r="J51" s="46"/>
      <c r="K51" s="46"/>
      <c r="L51" s="46"/>
      <c r="M51" s="46"/>
    </row>
    <row r="52" spans="4:13" x14ac:dyDescent="0.3">
      <c r="D52" s="36" t="s">
        <v>2404</v>
      </c>
      <c r="E52" s="37"/>
      <c r="F52" s="37"/>
      <c r="G52" s="37"/>
      <c r="H52" s="37"/>
      <c r="I52" s="37"/>
      <c r="J52" s="37"/>
      <c r="K52" s="37"/>
      <c r="L52" s="37"/>
      <c r="M52" s="38"/>
    </row>
    <row r="53" spans="4:13" x14ac:dyDescent="0.3">
      <c r="D53" s="39"/>
      <c r="E53" s="40"/>
      <c r="F53" s="40"/>
      <c r="G53" s="40"/>
      <c r="H53" s="40"/>
      <c r="I53" s="40"/>
      <c r="J53" s="40"/>
      <c r="K53" s="40"/>
      <c r="L53" s="40"/>
      <c r="M53" s="41"/>
    </row>
    <row r="54" spans="4:13" x14ac:dyDescent="0.3">
      <c r="D54" s="39"/>
      <c r="E54" s="40"/>
      <c r="F54" s="40"/>
      <c r="G54" s="40"/>
      <c r="H54" s="40"/>
      <c r="I54" s="40"/>
      <c r="J54" s="40"/>
      <c r="K54" s="40"/>
      <c r="L54" s="40"/>
      <c r="M54" s="41"/>
    </row>
    <row r="55" spans="4:13" x14ac:dyDescent="0.3">
      <c r="D55" s="39"/>
      <c r="E55" s="40"/>
      <c r="F55" s="40"/>
      <c r="G55" s="40"/>
      <c r="H55" s="40"/>
      <c r="I55" s="40"/>
      <c r="J55" s="40"/>
      <c r="K55" s="40"/>
      <c r="L55" s="40"/>
      <c r="M55" s="41"/>
    </row>
    <row r="56" spans="4:13" x14ac:dyDescent="0.3">
      <c r="D56" s="39"/>
      <c r="E56" s="40"/>
      <c r="F56" s="40"/>
      <c r="G56" s="40"/>
      <c r="H56" s="40"/>
      <c r="I56" s="40"/>
      <c r="J56" s="40"/>
      <c r="K56" s="40"/>
      <c r="L56" s="40"/>
      <c r="M56" s="41"/>
    </row>
    <row r="57" spans="4:13" x14ac:dyDescent="0.3">
      <c r="D57" s="42"/>
      <c r="E57" s="43"/>
      <c r="F57" s="43"/>
      <c r="G57" s="43"/>
      <c r="H57" s="43"/>
      <c r="I57" s="43"/>
      <c r="J57" s="43"/>
      <c r="K57" s="43"/>
      <c r="L57" s="43"/>
      <c r="M57" s="44"/>
    </row>
    <row r="60" spans="4:13" ht="15.6" x14ac:dyDescent="0.3">
      <c r="D60" s="46" t="s">
        <v>2399</v>
      </c>
      <c r="E60" s="46"/>
      <c r="F60" s="46"/>
      <c r="G60" s="46"/>
      <c r="H60" s="46"/>
      <c r="I60" s="46"/>
      <c r="J60" s="46"/>
      <c r="K60" s="46"/>
      <c r="L60" s="46"/>
      <c r="M60" s="46"/>
    </row>
    <row r="61" spans="4:13" ht="14.4" customHeight="1" x14ac:dyDescent="0.3">
      <c r="D61" s="45" t="s">
        <v>2405</v>
      </c>
      <c r="E61" s="45"/>
      <c r="F61" s="45"/>
      <c r="G61" s="45"/>
      <c r="H61" s="45"/>
      <c r="I61" s="45"/>
      <c r="J61" s="45"/>
      <c r="K61" s="45"/>
      <c r="L61" s="45"/>
      <c r="M61" s="45"/>
    </row>
    <row r="62" spans="4:13" x14ac:dyDescent="0.3">
      <c r="D62" s="45"/>
      <c r="E62" s="45"/>
      <c r="F62" s="45"/>
      <c r="G62" s="45"/>
      <c r="H62" s="45"/>
      <c r="I62" s="45"/>
      <c r="J62" s="45"/>
      <c r="K62" s="45"/>
      <c r="L62" s="45"/>
      <c r="M62" s="45"/>
    </row>
    <row r="63" spans="4:13" x14ac:dyDescent="0.3">
      <c r="D63" s="45"/>
      <c r="E63" s="45"/>
      <c r="F63" s="45"/>
      <c r="G63" s="45"/>
      <c r="H63" s="45"/>
      <c r="I63" s="45"/>
      <c r="J63" s="45"/>
      <c r="K63" s="45"/>
      <c r="L63" s="45"/>
      <c r="M63" s="45"/>
    </row>
    <row r="64" spans="4:13" x14ac:dyDescent="0.3">
      <c r="D64" s="45"/>
      <c r="E64" s="45"/>
      <c r="F64" s="45"/>
      <c r="G64" s="45"/>
      <c r="H64" s="45"/>
      <c r="I64" s="45"/>
      <c r="J64" s="45"/>
      <c r="K64" s="45"/>
      <c r="L64" s="45"/>
      <c r="M64" s="45"/>
    </row>
    <row r="65" spans="4:13" x14ac:dyDescent="0.3">
      <c r="D65" s="45"/>
      <c r="E65" s="45"/>
      <c r="F65" s="45"/>
      <c r="G65" s="45"/>
      <c r="H65" s="45"/>
      <c r="I65" s="45"/>
      <c r="J65" s="45"/>
      <c r="K65" s="45"/>
      <c r="L65" s="45"/>
      <c r="M65" s="45"/>
    </row>
    <row r="66" spans="4:13" x14ac:dyDescent="0.3">
      <c r="D66" s="45"/>
      <c r="E66" s="45"/>
      <c r="F66" s="45"/>
      <c r="G66" s="45"/>
      <c r="H66" s="45"/>
      <c r="I66" s="45"/>
      <c r="J66" s="45"/>
      <c r="K66" s="45"/>
      <c r="L66" s="45"/>
      <c r="M66" s="45"/>
    </row>
    <row r="67" spans="4:13" x14ac:dyDescent="0.3">
      <c r="D67" s="45"/>
      <c r="E67" s="45"/>
      <c r="F67" s="45"/>
      <c r="G67" s="45"/>
      <c r="H67" s="45"/>
      <c r="I67" s="45"/>
      <c r="J67" s="45"/>
      <c r="K67" s="45"/>
      <c r="L67" s="45"/>
      <c r="M67" s="45"/>
    </row>
    <row r="68" spans="4:13" x14ac:dyDescent="0.3">
      <c r="D68" s="45"/>
      <c r="E68" s="45"/>
      <c r="F68" s="45"/>
      <c r="G68" s="45"/>
      <c r="H68" s="45"/>
      <c r="I68" s="45"/>
      <c r="J68" s="45"/>
      <c r="K68" s="45"/>
      <c r="L68" s="45"/>
      <c r="M68" s="45"/>
    </row>
    <row r="69" spans="4:13" x14ac:dyDescent="0.3">
      <c r="D69" s="45"/>
      <c r="E69" s="45"/>
      <c r="F69" s="45"/>
      <c r="G69" s="45"/>
      <c r="H69" s="45"/>
      <c r="I69" s="45"/>
      <c r="J69" s="45"/>
      <c r="K69" s="45"/>
      <c r="L69" s="45"/>
      <c r="M69" s="45"/>
    </row>
    <row r="72" spans="4:13" ht="15.6" x14ac:dyDescent="0.3">
      <c r="D72" s="46" t="s">
        <v>2400</v>
      </c>
      <c r="E72" s="46"/>
      <c r="F72" s="46"/>
      <c r="G72" s="46"/>
      <c r="H72" s="46"/>
      <c r="I72" s="46"/>
      <c r="J72" s="46"/>
      <c r="K72" s="46"/>
      <c r="L72" s="46"/>
      <c r="M72" s="46"/>
    </row>
    <row r="73" spans="4:13" x14ac:dyDescent="0.3">
      <c r="D73" s="36" t="s">
        <v>2406</v>
      </c>
      <c r="E73" s="37"/>
      <c r="F73" s="37"/>
      <c r="G73" s="37"/>
      <c r="H73" s="37"/>
      <c r="I73" s="37"/>
      <c r="J73" s="37"/>
      <c r="K73" s="37"/>
      <c r="L73" s="37"/>
      <c r="M73" s="38"/>
    </row>
    <row r="74" spans="4:13" x14ac:dyDescent="0.3">
      <c r="D74" s="39"/>
      <c r="E74" s="40"/>
      <c r="F74" s="40"/>
      <c r="G74" s="40"/>
      <c r="H74" s="40"/>
      <c r="I74" s="40"/>
      <c r="J74" s="40"/>
      <c r="K74" s="40"/>
      <c r="L74" s="40"/>
      <c r="M74" s="41"/>
    </row>
    <row r="75" spans="4:13" x14ac:dyDescent="0.3">
      <c r="D75" s="39"/>
      <c r="E75" s="40"/>
      <c r="F75" s="40"/>
      <c r="G75" s="40"/>
      <c r="H75" s="40"/>
      <c r="I75" s="40"/>
      <c r="J75" s="40"/>
      <c r="K75" s="40"/>
      <c r="L75" s="40"/>
      <c r="M75" s="41"/>
    </row>
    <row r="76" spans="4:13" x14ac:dyDescent="0.3">
      <c r="D76" s="39"/>
      <c r="E76" s="40"/>
      <c r="F76" s="40"/>
      <c r="G76" s="40"/>
      <c r="H76" s="40"/>
      <c r="I76" s="40"/>
      <c r="J76" s="40"/>
      <c r="K76" s="40"/>
      <c r="L76" s="40"/>
      <c r="M76" s="41"/>
    </row>
    <row r="77" spans="4:13" x14ac:dyDescent="0.3">
      <c r="D77" s="39"/>
      <c r="E77" s="40"/>
      <c r="F77" s="40"/>
      <c r="G77" s="40"/>
      <c r="H77" s="40"/>
      <c r="I77" s="40"/>
      <c r="J77" s="40"/>
      <c r="K77" s="40"/>
      <c r="L77" s="40"/>
      <c r="M77" s="41"/>
    </row>
    <row r="78" spans="4:13" x14ac:dyDescent="0.3">
      <c r="D78" s="42"/>
      <c r="E78" s="43"/>
      <c r="F78" s="43"/>
      <c r="G78" s="43"/>
      <c r="H78" s="43"/>
      <c r="I78" s="43"/>
      <c r="J78" s="43"/>
      <c r="K78" s="43"/>
      <c r="L78" s="43"/>
      <c r="M78" s="44"/>
    </row>
    <row r="81" spans="4:13" ht="15.6" x14ac:dyDescent="0.3">
      <c r="D81" s="46" t="s">
        <v>2401</v>
      </c>
      <c r="E81" s="46"/>
      <c r="F81" s="46"/>
      <c r="G81" s="46"/>
      <c r="H81" s="46"/>
      <c r="I81" s="46"/>
      <c r="J81" s="46"/>
      <c r="K81" s="46"/>
      <c r="L81" s="46"/>
      <c r="M81" s="46"/>
    </row>
    <row r="82" spans="4:13" x14ac:dyDescent="0.3">
      <c r="D82" s="36" t="s">
        <v>2402</v>
      </c>
      <c r="E82" s="37"/>
      <c r="F82" s="37"/>
      <c r="G82" s="37"/>
      <c r="H82" s="37"/>
      <c r="I82" s="37"/>
      <c r="J82" s="37"/>
      <c r="K82" s="37"/>
      <c r="L82" s="37"/>
      <c r="M82" s="38"/>
    </row>
    <row r="83" spans="4:13" x14ac:dyDescent="0.3">
      <c r="D83" s="39"/>
      <c r="E83" s="40"/>
      <c r="F83" s="40"/>
      <c r="G83" s="40"/>
      <c r="H83" s="40"/>
      <c r="I83" s="40"/>
      <c r="J83" s="40"/>
      <c r="K83" s="40"/>
      <c r="L83" s="40"/>
      <c r="M83" s="41"/>
    </row>
    <row r="84" spans="4:13" x14ac:dyDescent="0.3">
      <c r="D84" s="39"/>
      <c r="E84" s="40"/>
      <c r="F84" s="40"/>
      <c r="G84" s="40"/>
      <c r="H84" s="40"/>
      <c r="I84" s="40"/>
      <c r="J84" s="40"/>
      <c r="K84" s="40"/>
      <c r="L84" s="40"/>
      <c r="M84" s="41"/>
    </row>
    <row r="85" spans="4:13" x14ac:dyDescent="0.3">
      <c r="D85" s="39"/>
      <c r="E85" s="40"/>
      <c r="F85" s="40"/>
      <c r="G85" s="40"/>
      <c r="H85" s="40"/>
      <c r="I85" s="40"/>
      <c r="J85" s="40"/>
      <c r="K85" s="40"/>
      <c r="L85" s="40"/>
      <c r="M85" s="41"/>
    </row>
    <row r="86" spans="4:13" x14ac:dyDescent="0.3">
      <c r="D86" s="39"/>
      <c r="E86" s="40"/>
      <c r="F86" s="40"/>
      <c r="G86" s="40"/>
      <c r="H86" s="40"/>
      <c r="I86" s="40"/>
      <c r="J86" s="40"/>
      <c r="K86" s="40"/>
      <c r="L86" s="40"/>
      <c r="M86" s="41"/>
    </row>
    <row r="87" spans="4:13" x14ac:dyDescent="0.3">
      <c r="D87" s="42"/>
      <c r="E87" s="43"/>
      <c r="F87" s="43"/>
      <c r="G87" s="43"/>
      <c r="H87" s="43"/>
      <c r="I87" s="43"/>
      <c r="J87" s="43"/>
      <c r="K87" s="43"/>
      <c r="L87" s="43"/>
      <c r="M87" s="44"/>
    </row>
  </sheetData>
  <mergeCells count="19">
    <mergeCell ref="D6:M6"/>
    <mergeCell ref="D2:M3"/>
    <mergeCell ref="D25:M30"/>
    <mergeCell ref="D33:M33"/>
    <mergeCell ref="D34:M39"/>
    <mergeCell ref="D7:M12"/>
    <mergeCell ref="D15:M15"/>
    <mergeCell ref="D16:M21"/>
    <mergeCell ref="D24:M24"/>
    <mergeCell ref="D42:M42"/>
    <mergeCell ref="D43:M48"/>
    <mergeCell ref="D51:M51"/>
    <mergeCell ref="D52:M57"/>
    <mergeCell ref="D60:M60"/>
    <mergeCell ref="D82:M87"/>
    <mergeCell ref="D61:M69"/>
    <mergeCell ref="D72:M72"/>
    <mergeCell ref="D73:M78"/>
    <mergeCell ref="D81:M8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Raw Data</vt:lpstr>
      <vt:lpstr>Pivot Tables</vt:lpstr>
      <vt:lpstr>Advanced Analysis</vt:lpstr>
      <vt:lpstr>Statastical Analysis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Renu Gajipara</dc:creator>
  <cp:lastModifiedBy>Renu Gajipara</cp:lastModifiedBy>
  <dcterms:created xsi:type="dcterms:W3CDTF">2026-05-26T08:24:34Z</dcterms:created>
  <dcterms:modified xsi:type="dcterms:W3CDTF">2026-06-05T14:37:14Z</dcterms:modified>
</cp:coreProperties>
</file>